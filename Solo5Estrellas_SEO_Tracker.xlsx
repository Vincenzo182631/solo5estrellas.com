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16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8.xml" ContentType="application/vnd.openxmlformats-officedocument.drawing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drawings/drawing9.xml" ContentType="application/vnd.openxmlformats-officedocument.drawing+xml"/>
  <Override PartName="/xl/drawings/drawing1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Executive Dashboard" sheetId="2" state="visible" r:id="rId4"/>
    <sheet name="Master Tracker" sheetId="3" state="visible" r:id="rId5"/>
    <sheet name="Technical SEO" sheetId="4" state="visible" r:id="rId6"/>
    <sheet name="Keywords" sheetId="5" state="visible" r:id="rId7"/>
    <sheet name="Rankings" sheetId="6" state="visible" r:id="rId8"/>
    <sheet name="Content" sheetId="7" state="visible" r:id="rId9"/>
    <sheet name="Hotel Pages" sheetId="8" state="visible" r:id="rId10"/>
    <sheet name="Destination Pages" sheetId="9" state="visible" r:id="rId11"/>
    <sheet name="U.S. Hispanic SEO" sheetId="10" state="visible" r:id="rId12"/>
    <sheet name="International Markets" sheetId="11" state="visible" r:id="rId13"/>
    <sheet name="AEO" sheetId="12" state="visible" r:id="rId14"/>
    <sheet name="GEO - AI Visibility" sheetId="13" state="visible" r:id="rId15"/>
    <sheet name="Schema" sheetId="14" state="visible" r:id="rId16"/>
    <sheet name="Backlinks" sheetId="15" state="visible" r:id="rId17"/>
    <sheet name="Competitors" sheetId="16" state="visible" r:id="rId18"/>
    <sheet name="Completed Work" sheetId="17" state="visible" r:id="rId19"/>
    <sheet name="Lists" sheetId="18" state="visible" r:id="rId20"/>
  </sheets>
  <definedNames>
    <definedName function="false" hidden="true" localSheetId="11" name="_xlnm._FilterDatabase" vbProcedure="false">AEO!$A$4:$K$204</definedName>
    <definedName function="false" hidden="true" localSheetId="14" name="_xlnm._FilterDatabase" vbProcedure="false">Backlinks!$A$4:$L$204</definedName>
    <definedName function="false" hidden="true" localSheetId="15" name="_xlnm._FilterDatabase" vbProcedure="false">Competitors!$A$4:$L$104</definedName>
    <definedName function="false" hidden="true" localSheetId="6" name="_xlnm._FilterDatabase" vbProcedure="false">Content!$A$4:$M$204</definedName>
    <definedName function="false" hidden="true" localSheetId="8" name="_xlnm._FilterDatabase" vbProcedure="false">'Destination Pages'!$A$4:$N$204</definedName>
    <definedName function="false" hidden="true" localSheetId="12" name="_xlnm._FilterDatabase" vbProcedure="false">'GEO - AI Visibility'!$A$4:$J$504</definedName>
    <definedName function="false" hidden="true" localSheetId="7" name="_xlnm._FilterDatabase" vbProcedure="false">'Hotel Pages'!$A$4:$R$304</definedName>
    <definedName function="false" hidden="true" localSheetId="10" name="_xlnm._FilterDatabase" vbProcedure="false">'International Markets'!$A$4:$M$14</definedName>
    <definedName function="false" hidden="true" localSheetId="4" name="_xlnm._FilterDatabase" vbProcedure="false">Keywords!$A$4:$P$304</definedName>
    <definedName function="false" hidden="true" localSheetId="2" name="_xlnm._FilterDatabase" vbProcedure="false">'Master Tracker'!$A$4:$AG$300</definedName>
    <definedName function="false" hidden="true" localSheetId="5" name="_xlnm._FilterDatabase" vbProcedure="false">Rankings!$A$4:$M$304</definedName>
    <definedName function="false" hidden="true" localSheetId="13" name="_xlnm._FilterDatabase" vbProcedure="false">Schema!$A$4:$J$104</definedName>
    <definedName function="false" hidden="true" localSheetId="3" name="_xlnm._FilterDatabase" vbProcedure="false">'Technical SEO'!$A$4:$H$64</definedName>
    <definedName function="false" hidden="true" localSheetId="9" name="_xlnm._FilterDatabase" vbProcedure="false">'U.S. Hispanic SEO'!$A$4:$K$204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<sst xmlns="http://schemas.openxmlformats.org/spreadsheetml/2006/main" count="1347" uniqueCount="680">
  <si>
    <t xml:space="preserve">Solo5Estrellas.com — SEO / AEO / GEO Master Tracker</t>
  </si>
  <si>
    <t xml:space="preserve">Created 6 Oct 2026 from the SEO proposal. Spanish-language luxury hotels: U.S. Spanish, Mexico, Spain, Latin America.</t>
  </si>
  <si>
    <t xml:space="preserve">How to use</t>
  </si>
  <si>
    <t xml:space="preserve">1</t>
  </si>
  <si>
    <t xml:space="preserve">Every issue or opportunity is ONE row on 'Master Tracker' (one URL or template, one issue). Seeded rows come from the Oct 2026 audit.</t>
  </si>
  <si>
    <t xml:space="preserve">2</t>
  </si>
  <si>
    <t xml:space="preserve">Blue text = values you type. Black = formulas (do not overwrite). Yellow fill = baseline cells to fill in Week 1 from Search Console, GA4 and Semrush.</t>
  </si>
  <si>
    <t xml:space="preserve">3</t>
  </si>
  <si>
    <t xml:space="preserve">Pick Status, Priority, Impact, Effort, Category, Market from the dropdowns. Allowed statuses: Identified &gt; Approved &gt; Planned &gt; In Progress &gt; Waiting for Client &gt; Waiting for Developer &gt; Testing &gt; Monitoring &gt; Completed.</t>
  </si>
  <si>
    <t xml:space="preserve">4</t>
  </si>
  <si>
    <t xml:space="preserve">'Executive Dashboard' reads the Master Tracker automatically. KPI baselines and targets are inputs there.</t>
  </si>
  <si>
    <t xml:space="preserve">5</t>
  </si>
  <si>
    <t xml:space="preserve">Specialist tabs (Keywords, Rankings, Content, Hotel Pages, Destination Pages, U.S. Hispanic SEO, International Markets, AEO, GEO - AI Visibility, Schema, Backlinks, Competitors) hold detail; link their rows back to a Master Tracker ID.</t>
  </si>
  <si>
    <t xml:space="preserve">6</t>
  </si>
  <si>
    <t xml:space="preserve">When a row reaches Completed, copy it to 'Completed Work' with the Before and After metric.</t>
  </si>
  <si>
    <t xml:space="preserve">Data status</t>
  </si>
  <si>
    <t xml:space="preserve">•</t>
  </si>
  <si>
    <t xml:space="preserve">No keyword volumes, positions, clicks or impressions are entered. Semrush API units were exhausted and Search Console/GA4 were not yet connected. Cells are blank by design — do not estimate.</t>
  </si>
  <si>
    <t xml:space="preserve">Priority formula (proposal section 25.3): Score = Demand x Intent x Value x Probability / Effort, each input 1-5. Scored on the Keywords tab.</t>
  </si>
  <si>
    <t xml:space="preserve">Review cadence</t>
  </si>
  <si>
    <t xml:space="preserve">Daily: indexing and errors. Weekly: GSC, rankings, crawl, AI spot checks. Monthly: KPI review, audit, market and competitor analysis, AI prompt log.</t>
  </si>
  <si>
    <t xml:space="preserve">Legend example</t>
  </si>
  <si>
    <t xml:space="preserve">Blue</t>
  </si>
  <si>
    <t xml:space="preserve">Input you type</t>
  </si>
  <si>
    <t xml:space="preserve">Black</t>
  </si>
  <si>
    <t xml:space="preserve">Formula</t>
  </si>
  <si>
    <t xml:space="preserve">Yellow</t>
  </si>
  <si>
    <t xml:space="preserve">Baseline to capture in Week 1</t>
  </si>
  <si>
    <t xml:space="preserve">Executive Dashboard</t>
  </si>
  <si>
    <t xml:space="preserve">Task counts read from Master Tracker. KPI baseline and targets are inputs (blue); targets are set after Week 1 baseline.</t>
  </si>
  <si>
    <t xml:space="preserve">Tasks by status</t>
  </si>
  <si>
    <t xml:space="preserve">Open tasks by priority</t>
  </si>
  <si>
    <t xml:space="preserve">Open tasks by category</t>
  </si>
  <si>
    <t xml:space="preserve">Status</t>
  </si>
  <si>
    <t xml:space="preserve">Tasks</t>
  </si>
  <si>
    <t xml:space="preserve">Priority</t>
  </si>
  <si>
    <t xml:space="preserve">Open tasks</t>
  </si>
  <si>
    <t xml:space="preserve">Category</t>
  </si>
  <si>
    <t xml:space="preserve">Identified</t>
  </si>
  <si>
    <t xml:space="preserve">Critical</t>
  </si>
  <si>
    <t xml:space="preserve">Technical</t>
  </si>
  <si>
    <t xml:space="preserve">Approved</t>
  </si>
  <si>
    <t xml:space="preserve">High</t>
  </si>
  <si>
    <t xml:space="preserve">Indexing</t>
  </si>
  <si>
    <t xml:space="preserve">Planned</t>
  </si>
  <si>
    <t xml:space="preserve">Medium</t>
  </si>
  <si>
    <t xml:space="preserve">Metadata</t>
  </si>
  <si>
    <t xml:space="preserve">In Progress</t>
  </si>
  <si>
    <t xml:space="preserve">Low</t>
  </si>
  <si>
    <t xml:space="preserve">Localization</t>
  </si>
  <si>
    <t xml:space="preserve">Waiting for Client</t>
  </si>
  <si>
    <t xml:space="preserve">Schema</t>
  </si>
  <si>
    <t xml:space="preserve">Waiting for Developer</t>
  </si>
  <si>
    <t xml:space="preserve">Internal linking</t>
  </si>
  <si>
    <t xml:space="preserve">Testing</t>
  </si>
  <si>
    <t xml:space="preserve">Content</t>
  </si>
  <si>
    <t xml:space="preserve">Monitoring</t>
  </si>
  <si>
    <t xml:space="preserve">AEO</t>
  </si>
  <si>
    <t xml:space="preserve">Completed</t>
  </si>
  <si>
    <t xml:space="preserve">GEO</t>
  </si>
  <si>
    <t xml:space="preserve">Total with an ID</t>
  </si>
  <si>
    <t xml:space="preserve">Entity</t>
  </si>
  <si>
    <t xml:space="preserve">Overdue (target passed, not Completed/Monitoring)</t>
  </si>
  <si>
    <t xml:space="preserve">Tracking</t>
  </si>
  <si>
    <t xml:space="preserve">Completion rate</t>
  </si>
  <si>
    <t xml:space="preserve">Keywords</t>
  </si>
  <si>
    <t xml:space="preserve">Backlinks</t>
  </si>
  <si>
    <t xml:space="preserve">Performance</t>
  </si>
  <si>
    <t xml:space="preserve">KPI scorecard (fill baseline in Week 1; targets are % change vs baseline)</t>
  </si>
  <si>
    <t xml:space="preserve">KPI</t>
  </si>
  <si>
    <t xml:space="preserve">Baseline</t>
  </si>
  <si>
    <t xml:space="preserve">Current</t>
  </si>
  <si>
    <t xml:space="preserve">Change vs baseline</t>
  </si>
  <si>
    <t xml:space="preserve">30-day target</t>
  </si>
  <si>
    <t xml:space="preserve">90-day target</t>
  </si>
  <si>
    <t xml:space="preserve">6-month target</t>
  </si>
  <si>
    <t xml:space="preserve">Source</t>
  </si>
  <si>
    <t xml:space="preserve">Organic clicks</t>
  </si>
  <si>
    <t xml:space="preserve">GSC</t>
  </si>
  <si>
    <t xml:space="preserve">Organic impressions</t>
  </si>
  <si>
    <t xml:space="preserve">CTR</t>
  </si>
  <si>
    <t xml:space="preserve">Average position</t>
  </si>
  <si>
    <t xml:space="preserve">Keywords in top 3</t>
  </si>
  <si>
    <t xml:space="preserve">Semrush</t>
  </si>
  <si>
    <t xml:space="preserve">Keywords in top 10</t>
  </si>
  <si>
    <t xml:space="preserve">Keywords in top 20</t>
  </si>
  <si>
    <t xml:space="preserve">Non-brand clicks</t>
  </si>
  <si>
    <t xml:space="preserve">GSC (non-brand filter)</t>
  </si>
  <si>
    <t xml:space="preserve">Branded clicks</t>
  </si>
  <si>
    <t xml:space="preserve">Indexed pages (high-value)</t>
  </si>
  <si>
    <t xml:space="preserve">GSC coverage</t>
  </si>
  <si>
    <t xml:space="preserve">Organic conversions (inquiries)</t>
  </si>
  <si>
    <t xml:space="preserve">GA4</t>
  </si>
  <si>
    <t xml:space="preserve">Booking searches</t>
  </si>
  <si>
    <t xml:space="preserve">Hotel inquiries</t>
  </si>
  <si>
    <t xml:space="preserve">GA4 / CRM</t>
  </si>
  <si>
    <t xml:space="preserve">Revenue from organic ($)</t>
  </si>
  <si>
    <t xml:space="preserve">Booking system</t>
  </si>
  <si>
    <t xml:space="preserve">AI citations per month</t>
  </si>
  <si>
    <t xml:space="preserve">Prompt log</t>
  </si>
  <si>
    <t xml:space="preserve">Featured snippets</t>
  </si>
  <si>
    <t xml:space="preserve">Referring domains</t>
  </si>
  <si>
    <t xml:space="preserve">Semrush / Ahrefs</t>
  </si>
  <si>
    <t xml:space="preserve">U.S. Spanish organic sessions</t>
  </si>
  <si>
    <t xml:space="preserve">GA4 + GSC</t>
  </si>
  <si>
    <t xml:space="preserve">Latin America organic sessions</t>
  </si>
  <si>
    <t xml:space="preserve">Note: no baseline or target has been entered. Do not promise rankings; set targets from baseline.</t>
  </si>
  <si>
    <t xml:space="preserve">Master Tracker</t>
  </si>
  <si>
    <t xml:space="preserve">One row per URL/template + issue. Blue = type here; CTR is a formula.</t>
  </si>
  <si>
    <t xml:space="preserve">ID</t>
  </si>
  <si>
    <t xml:space="preserve">Date identified</t>
  </si>
  <si>
    <t xml:space="preserve">Market</t>
  </si>
  <si>
    <t xml:space="preserve">Country</t>
  </si>
  <si>
    <t xml:space="preserve">Language/locale</t>
  </si>
  <si>
    <t xml:space="preserve">URL</t>
  </si>
  <si>
    <t xml:space="preserve">Page type</t>
  </si>
  <si>
    <t xml:space="preserve">Issue/opportunity</t>
  </si>
  <si>
    <t xml:space="preserve">Keyword</t>
  </si>
  <si>
    <t xml:space="preserve">Search intent</t>
  </si>
  <si>
    <t xml:space="preserve">Search volume</t>
  </si>
  <si>
    <t xml:space="preserve">Current position</t>
  </si>
  <si>
    <t xml:space="preserve">Baseline clicks</t>
  </si>
  <si>
    <t xml:space="preserve">Baseline impressions</t>
  </si>
  <si>
    <t xml:space="preserve">Impact</t>
  </si>
  <si>
    <t xml:space="preserve">Effort</t>
  </si>
  <si>
    <t xml:space="preserve">Recommended action</t>
  </si>
  <si>
    <t xml:space="preserve">Assigned owner</t>
  </si>
  <si>
    <t xml:space="preserve">Date started</t>
  </si>
  <si>
    <t xml:space="preserve">Target completion</t>
  </si>
  <si>
    <t xml:space="preserve">Completion date</t>
  </si>
  <si>
    <t xml:space="preserve">Before metric</t>
  </si>
  <si>
    <t xml:space="preserve">After metric</t>
  </si>
  <si>
    <t xml:space="preserve">KPI affected</t>
  </si>
  <si>
    <t xml:space="preserve">Search Console status</t>
  </si>
  <si>
    <t xml:space="preserve">Indexing status</t>
  </si>
  <si>
    <t xml:space="preserve">AI visibility</t>
  </si>
  <si>
    <t xml:space="preserve">Notes</t>
  </si>
  <si>
    <t xml:space="preserve">Next review date</t>
  </si>
  <si>
    <t xml:space="preserve">T1</t>
  </si>
  <si>
    <t xml:space="preserve">All Spanish</t>
  </si>
  <si>
    <t xml:space="preserve">All</t>
  </si>
  <si>
    <t xml:space="preserve">es</t>
  </si>
  <si>
    <t xml:space="preserve">All indexable templates</t>
  </si>
  <si>
    <t xml:space="preserve">Site-wide</t>
  </si>
  <si>
    <t xml:space="preserve">No canonical tags on any of 17 sampled templates</t>
  </si>
  <si>
    <t xml:space="preserve">S</t>
  </si>
  <si>
    <t xml:space="preserve">Add self-referencing absolute canonical to every indexable URL</t>
  </si>
  <si>
    <t xml:space="preserve">Dev</t>
  </si>
  <si>
    <t xml:space="preserve">Duplicate-canonical flags in GSC to 0</t>
  </si>
  <si>
    <t xml:space="preserve">Sampled 6 Oct 2026</t>
  </si>
  <si>
    <t xml:space="preserve">T2</t>
  </si>
  <si>
    <t xml:space="preserve">solo5estrellas.com / www.solo5estrellas.com</t>
  </si>
  <si>
    <t xml:space="preserve">Apex and www both return 200; http redirects with 302</t>
  </si>
  <si>
    <t xml:space="preserve">One canonical host; 301 for http and the alternate host</t>
  </si>
  <si>
    <t xml:space="preserve">One host in GSC</t>
  </si>
  <si>
    <t xml:space="preserve">T3</t>
  </si>
  <si>
    <t xml:space="preserve">/cities/{id}/{any-slug}.html</t>
  </si>
  <si>
    <t xml:space="preserve">City</t>
  </si>
  <si>
    <t xml:space="preserve">Any slug resolves with 200 (e.g. /cities/192/anything.html)</t>
  </si>
  <si>
    <t xml:space="preserve">M</t>
  </si>
  <si>
    <t xml:space="preserve">301 to canonical slug; real 404 when ID unknown</t>
  </si>
  <si>
    <t xml:space="preserve">Duplicate URLs to 0</t>
  </si>
  <si>
    <t xml:space="preserve">T4</t>
  </si>
  <si>
    <t xml:space="preserve">/cities/9999/foo.html</t>
  </si>
  <si>
    <t xml:space="preserve">Soft 404: unknown ID returns 200</t>
  </si>
  <si>
    <t xml:space="preserve">Return 404/410 for missing IDs</t>
  </si>
  <si>
    <t xml:space="preserve">Soft-404 count in GSC</t>
  </si>
  <si>
    <t xml:space="preserve">T5</t>
  </si>
  <si>
    <t xml:space="preserve">/sitemap.xml</t>
  </si>
  <si>
    <t xml:space="preserve">Sitemap/robots</t>
  </si>
  <si>
    <t xml:space="preserve">Sitemap lists 14 URLs; no hotel, city, chain or region URLs</t>
  </si>
  <si>
    <t xml:space="preserve">Segmented sitemap index with real lastmod; submit in GSC and Bing</t>
  </si>
  <si>
    <t xml:space="preserve">Indexed vs submitted URLs by type</t>
  </si>
  <si>
    <t xml:space="preserve">T6</t>
  </si>
  <si>
    <t xml:space="preserve">/collection/ and /luxury_hotels/; /chains/2/ and /collection/2/</t>
  </si>
  <si>
    <t xml:space="preserve">Collection</t>
  </si>
  <si>
    <t xml:space="preserve">Duplicate hub URLs (identical content)</t>
  </si>
  <si>
    <t xml:space="preserve">Choose one URL, 301 the other</t>
  </si>
  <si>
    <t xml:space="preserve">T7</t>
  </si>
  <si>
    <t xml:space="preserve">/robots.txt</t>
  </si>
  <si>
    <t xml:space="preserve">No Sitemap: line</t>
  </si>
  <si>
    <t xml:space="preserve">Add sitemap index URL</t>
  </si>
  <si>
    <t xml:space="preserve">Sitemap fetch status</t>
  </si>
  <si>
    <t xml:space="preserve">T8</t>
  </si>
  <si>
    <t xml:space="preserve">/sitemap/ (footer link)</t>
  </si>
  <si>
    <t xml:space="preserve">Footer link returns 404</t>
  </si>
  <si>
    <t xml:space="preserve">Create HTML sitemap or remove link</t>
  </si>
  <si>
    <t xml:space="preserve">404 internal links to 0</t>
  </si>
  <si>
    <t xml:space="preserve">T9</t>
  </si>
  <si>
    <t xml:space="preserve">/cities/192/new_york.html; /cities/44/cancun.html</t>
  </si>
  <si>
    <t xml:space="preserve">~3.6 s server response on city pages (others ~0.6 s)</t>
  </si>
  <si>
    <t xml:space="preserve">Cache and lazy-load hotel lists</t>
  </si>
  <si>
    <t xml:space="preserve">TTFB under 0.8 s</t>
  </si>
  <si>
    <t xml:space="preserve">T10</t>
  </si>
  <si>
    <t xml:space="preserve">/regions/8/europe.html</t>
  </si>
  <si>
    <t xml:space="preserve">Region</t>
  </si>
  <si>
    <t xml:space="preserve">1,075 links and 199 KB HTML on one page</t>
  </si>
  <si>
    <t xml:space="preserve">Group by city; cap links per page</t>
  </si>
  <si>
    <t xml:space="preserve">Links per page under 300</t>
  </si>
  <si>
    <t xml:space="preserve">T11</t>
  </si>
  <si>
    <t xml:space="preserve">Outdated jQuery 1.11.2, Facebook SDK v2.8</t>
  </si>
  <si>
    <t xml:space="preserve">Upgrade or remove</t>
  </si>
  <si>
    <t xml:space="preserve">Lighthouse mobile score</t>
  </si>
  <si>
    <t xml:space="preserve">T12</t>
  </si>
  <si>
    <t xml:space="preserve">CFID cookie set for 30 years on every request</t>
  </si>
  <si>
    <t xml:space="preserve">Session cookies set only after interaction</t>
  </si>
  <si>
    <t xml:space="preserve">M1</t>
  </si>
  <si>
    <t xml:space="preserve">All templates</t>
  </si>
  <si>
    <t xml:space="preserve">Identical meta description on every page; generic titles</t>
  </si>
  <si>
    <t xml:space="preserve">Title and description templates per page type</t>
  </si>
  <si>
    <t xml:space="preserve">Dev + Editor</t>
  </si>
  <si>
    <t xml:space="preserve">Unique titles/descriptions 100%; CTR</t>
  </si>
  <si>
    <t xml:space="preserve">M2</t>
  </si>
  <si>
    <t xml:space="preserve">/collection/, /destinations/, /faq.cfm, /company.cfm, /testimonials.cfm, /guarantee.cfm</t>
  </si>
  <si>
    <t xml:space="preserve">English titles on Spanish pages</t>
  </si>
  <si>
    <t xml:space="preserve">Translate titles and H1s</t>
  </si>
  <si>
    <t xml:space="preserve">Editor</t>
  </si>
  <si>
    <t xml:space="preserve">Impressions on Spanish queries</t>
  </si>
  <si>
    <t xml:space="preserve">M3</t>
  </si>
  <si>
    <t xml:space="preserve">City template</t>
  </si>
  <si>
    <t xml:space="preserve">City pages titled 'Bienvenido'</t>
  </si>
  <si>
    <t xml:space="preserve">Title: Hoteles de lujo en {ciudad}: los mejores 5 estrellas</t>
  </si>
  <si>
    <t xml:space="preserve">City-page impressions</t>
  </si>
  <si>
    <t xml:space="preserve">H1</t>
  </si>
  <si>
    <t xml:space="preserve">Region and hub pages</t>
  </si>
  <si>
    <t xml:space="preserve">hreflang es points to homepage, x-default to English homepage on every page</t>
  </si>
  <si>
    <t xml:space="preserve">Page-level reciprocal es/en pairs with WhataHotel</t>
  </si>
  <si>
    <t xml:space="preserve">hreflang errors to 0</t>
  </si>
  <si>
    <t xml:space="preserve">H2</t>
  </si>
  <si>
    <t xml:space="preserve">Malformed hreflang es tag (no ID, no closing quote)</t>
  </si>
  <si>
    <t xml:space="preserve">Remove or repair immediately</t>
  </si>
  <si>
    <t xml:space="preserve">Valid head markup</t>
  </si>
  <si>
    <t xml:space="preserve">L1</t>
  </si>
  <si>
    <t xml:space="preserve">Booking loader and offer text</t>
  </si>
  <si>
    <t xml:space="preserve">Hotel</t>
  </si>
  <si>
    <t xml:space="preserve">Mixed tú/usted ('Reserva tu habitación' vs 'Reciba')</t>
  </si>
  <si>
    <t xml:space="preserve">Use usted throughout</t>
  </si>
  <si>
    <t xml:space="preserve">Native-review error count</t>
  </si>
  <si>
    <t xml:space="preserve">L2</t>
  </si>
  <si>
    <t xml:space="preserve">Hotel template (schema offer)</t>
  </si>
  <si>
    <t xml:space="preserve">Typo 'Reciba Una Nnoche Gratis'</t>
  </si>
  <si>
    <t xml:space="preserve">Fix wording and sentence case</t>
  </si>
  <si>
    <t xml:space="preserve">L3</t>
  </si>
  <si>
    <t xml:space="preserve">Occupancy selector</t>
  </si>
  <si>
    <t xml:space="preserve">'1 Alojamiento, 2 Adulta' wrong noun and plural</t>
  </si>
  <si>
    <t xml:space="preserve">'1 habitación, 2 adultos'</t>
  </si>
  <si>
    <t xml:space="preserve">Availability-search rate</t>
  </si>
  <si>
    <t xml:space="preserve">L4</t>
  </si>
  <si>
    <t xml:space="preserve">Mexico</t>
  </si>
  <si>
    <t xml:space="preserve">City H1 and nav</t>
  </si>
  <si>
    <t xml:space="preserve">'Cancun' without accent</t>
  </si>
  <si>
    <t xml:space="preserve">Use 'Cancún' everywhere</t>
  </si>
  <si>
    <t xml:space="preserve">Impressions on 'Cancún' queries</t>
  </si>
  <si>
    <t xml:space="preserve">L5</t>
  </si>
  <si>
    <t xml:space="preserve">Language toggle</t>
  </si>
  <si>
    <t xml:space="preserve">Toggle labelled 'Spanish / English' on a Spanish page</t>
  </si>
  <si>
    <t xml:space="preserve">'Español / English'</t>
  </si>
  <si>
    <t xml:space="preserve">L6</t>
  </si>
  <si>
    <t xml:space="preserve">Possible encoding corruption in hotel schema text</t>
  </si>
  <si>
    <t xml:space="preserve">Verify UTF-8 end to end</t>
  </si>
  <si>
    <t xml:space="preserve">To verify</t>
  </si>
  <si>
    <t xml:space="preserve">S1</t>
  </si>
  <si>
    <t xml:space="preserve">Organization sameAs points to WhataHotel profiles; no Lorraine Travel parent</t>
  </si>
  <si>
    <t xml:space="preserve">Rebuild Organization graph with parentOrganization</t>
  </si>
  <si>
    <t xml:space="preserve">Dev + SEO</t>
  </si>
  <si>
    <t xml:space="preserve">Valid entity graph</t>
  </si>
  <si>
    <t xml:space="preserve">S2</t>
  </si>
  <si>
    <t xml:space="preserve">/hotels/{id}/</t>
  </si>
  <si>
    <t xml:space="preserve">No Hotel/LodgingBusiness schema; zero-price Offer markup</t>
  </si>
  <si>
    <t xml:space="preserve">Add Hotel entity; remove zero-price offers</t>
  </si>
  <si>
    <t xml:space="preserve">Schema errors to 0</t>
  </si>
  <si>
    <t xml:space="preserve">S3</t>
  </si>
  <si>
    <t xml:space="preserve">Hotel, city, chain</t>
  </si>
  <si>
    <t xml:space="preserve">No breadcrumbs or BreadcrumbList</t>
  </si>
  <si>
    <t xml:space="preserve">Visible breadcrumbs plus schema</t>
  </si>
  <si>
    <t xml:space="preserve">Breadcrumb coverage</t>
  </si>
  <si>
    <t xml:space="preserve">E1</t>
  </si>
  <si>
    <t xml:space="preserve">/company.cfm</t>
  </si>
  <si>
    <t xml:space="preserve">Company</t>
  </si>
  <si>
    <t xml:space="preserve">About page: English title, no H1, no named experts</t>
  </si>
  <si>
    <t xml:space="preserve">Rebuild About Lorraine Travel; advisor profiles</t>
  </si>
  <si>
    <t xml:space="preserve">Client + Editor</t>
  </si>
  <si>
    <t xml:space="preserve">Page indexed; branded impressions</t>
  </si>
  <si>
    <t xml:space="preserve">C1</t>
  </si>
  <si>
    <t xml:space="preserve">United States - Spanish</t>
  </si>
  <si>
    <t xml:space="preserve">United States</t>
  </si>
  <si>
    <t xml:space="preserve">New (Spanish path)</t>
  </si>
  <si>
    <t xml:space="preserve">No Miami hub</t>
  </si>
  <si>
    <t xml:space="preserve">Launch Miami hub from city template</t>
  </si>
  <si>
    <t xml:space="preserve">Impressions; top-10 hub keywords</t>
  </si>
  <si>
    <t xml:space="preserve">Demand to validate</t>
  </si>
  <si>
    <t xml:space="preserve">C2</t>
  </si>
  <si>
    <t xml:space="preserve">/cities/192/new_york.html</t>
  </si>
  <si>
    <t xml:space="preserve">New York page is a listing (74 hotels, 'Bienvenido' title)</t>
  </si>
  <si>
    <t xml:space="preserve">Rebuild with hub template</t>
  </si>
  <si>
    <t xml:space="preserve">Top-10 keywords</t>
  </si>
  <si>
    <t xml:space="preserve">C3</t>
  </si>
  <si>
    <t xml:space="preserve">/cities/44/cancun.html</t>
  </si>
  <si>
    <t xml:space="preserve">Cancún page is a listing</t>
  </si>
  <si>
    <t xml:space="preserve">C4</t>
  </si>
  <si>
    <t xml:space="preserve">/chains/2/four_seasons.html</t>
  </si>
  <si>
    <t xml:space="preserve">Chain</t>
  </si>
  <si>
    <t xml:space="preserve">Four Seasons perks unsourced and undated</t>
  </si>
  <si>
    <t xml:space="preserve">Rebuild with sourced perks, FAQ, comparison</t>
  </si>
  <si>
    <t xml:space="preserve">Impressions 'hoteles Four Seasons'</t>
  </si>
  <si>
    <t xml:space="preserve">A1</t>
  </si>
  <si>
    <t xml:space="preserve">/faq.cfm</t>
  </si>
  <si>
    <t xml:space="preserve">FAQ</t>
  </si>
  <si>
    <t xml:space="preserve">No benefits/FAQ hub with direct answers</t>
  </si>
  <si>
    <t xml:space="preserve">15 direct answers (40-60 words) with sources</t>
  </si>
  <si>
    <t xml:space="preserve">Snippet/PAA entries</t>
  </si>
  <si>
    <t xml:space="preserve">G1</t>
  </si>
  <si>
    <t xml:space="preserve">Research</t>
  </si>
  <si>
    <t xml:space="preserve">No AI-visibility baseline</t>
  </si>
  <si>
    <t xml:space="preserve">Run 40-prompt baseline across 5 AI systems</t>
  </si>
  <si>
    <t xml:space="preserve">SEO</t>
  </si>
  <si>
    <t xml:space="preserve">AI citations</t>
  </si>
  <si>
    <t xml:space="preserve">K1</t>
  </si>
  <si>
    <t xml:space="preserve">No keyword or competitor data (Semrush units exhausted)</t>
  </si>
  <si>
    <t xml:space="preserve">Restore API units or use alternative tool</t>
  </si>
  <si>
    <t xml:space="preserve">Client</t>
  </si>
  <si>
    <t xml:space="preserve">Keyword set available</t>
  </si>
  <si>
    <t xml:space="preserve">TR1</t>
  </si>
  <si>
    <t xml:space="preserve">GA4 / GTM</t>
  </si>
  <si>
    <t xml:space="preserve">Conversion events not verified</t>
  </si>
  <si>
    <t xml:space="preserve">Audit/add hotel_search, availability_search, booking_click, inquiry_submit, phone/email click, special_offer_click</t>
  </si>
  <si>
    <t xml:space="preserve">Events firing</t>
  </si>
  <si>
    <t xml:space="preserve">Technical SEO</t>
  </si>
  <si>
    <t xml:space="preserve">Audit checklist. Results from the 6 Oct 2026 crawl of 17 templates; 'Not yet' items need the full crawl.</t>
  </si>
  <si>
    <t xml:space="preserve">Area</t>
  </si>
  <si>
    <t xml:space="preserve">Check</t>
  </si>
  <si>
    <t xml:space="preserve">Result (6 Oct 2026)</t>
  </si>
  <si>
    <t xml:space="preserve">Tracker ID / action</t>
  </si>
  <si>
    <t xml:space="preserve">Planned week</t>
  </si>
  <si>
    <t xml:space="preserve">Owner</t>
  </si>
  <si>
    <t xml:space="preserve">Crawling</t>
  </si>
  <si>
    <t xml:space="preserve">Full JS-rendered crawl of all templates</t>
  </si>
  <si>
    <t xml:space="preserve">Not yet run</t>
  </si>
  <si>
    <t xml:space="preserve">Run Screaming Frog/Semrush Site Audit</t>
  </si>
  <si>
    <t xml:space="preserve">Week 1</t>
  </si>
  <si>
    <t xml:space="preserve">Indexability</t>
  </si>
  <si>
    <t xml:space="preserve">Canonicals</t>
  </si>
  <si>
    <t xml:space="preserve">Fail: 0 of 17 sampled</t>
  </si>
  <si>
    <t xml:space="preserve">Host consolidation (apex/www/http)</t>
  </si>
  <si>
    <t xml:space="preserve">Fail: both hosts 200, http 302</t>
  </si>
  <si>
    <t xml:space="preserve">Soft 404 / invalid IDs</t>
  </si>
  <si>
    <t xml:space="preserve">Fail</t>
  </si>
  <si>
    <t xml:space="preserve">T3, T4</t>
  </si>
  <si>
    <t xml:space="preserve">robots.txt</t>
  </si>
  <si>
    <t xml:space="preserve">Sitemap directive</t>
  </si>
  <si>
    <t xml:space="preserve">Fail: missing</t>
  </si>
  <si>
    <t xml:space="preserve">Week 2</t>
  </si>
  <si>
    <t xml:space="preserve">Blocks only low-value paths (/booking/, /admin/, /tools/, /data/, /cfc/)</t>
  </si>
  <si>
    <t xml:space="preserve">Pass</t>
  </si>
  <si>
    <t xml:space="preserve">Keep; decide GPTBot/ClaudeBot/Google-Extended policy</t>
  </si>
  <si>
    <t xml:space="preserve">XML sitemap</t>
  </si>
  <si>
    <t xml:space="preserve">Coverage by page type</t>
  </si>
  <si>
    <t xml:space="preserve">Fail: 14 URLs</t>
  </si>
  <si>
    <t xml:space="preserve">Real lastmod</t>
  </si>
  <si>
    <t xml:space="preserve">Fail: identical date on all URLs</t>
  </si>
  <si>
    <t xml:space="preserve">Duplicate content</t>
  </si>
  <si>
    <t xml:space="preserve">Duplicate hubs and chains</t>
  </si>
  <si>
    <t xml:space="preserve">Redirects</t>
  </si>
  <si>
    <t xml:space="preserve">Redirect chains and 302s</t>
  </si>
  <si>
    <t xml:space="preserve">Not yet crawled</t>
  </si>
  <si>
    <t xml:space="preserve">Crawl; map</t>
  </si>
  <si>
    <t xml:space="preserve">Links</t>
  </si>
  <si>
    <t xml:space="preserve">Broken internal links (footer /sitemap/)</t>
  </si>
  <si>
    <t xml:space="preserve">Fail: 404</t>
  </si>
  <si>
    <t xml:space="preserve">Faceted navigation</t>
  </si>
  <si>
    <t xml:space="preserve">Flight-time, distance, chain, country, region, city filters</t>
  </si>
  <si>
    <t xml:space="preserve">List parameters; noindex/disallow policy</t>
  </si>
  <si>
    <t xml:space="preserve">Pagination</t>
  </si>
  <si>
    <t xml:space="preserve">Hotel lists on city/region pages</t>
  </si>
  <si>
    <t xml:space="preserve">Not yet reviewed</t>
  </si>
  <si>
    <t xml:space="preserve">Crawlable links or full lists</t>
  </si>
  <si>
    <t xml:space="preserve">Week 3</t>
  </si>
  <si>
    <t xml:space="preserve">JavaScript</t>
  </si>
  <si>
    <t xml:space="preserve">Rates and gallery rendered client-side</t>
  </si>
  <si>
    <t xml:space="preserve">Partial: server HTML has 1 img on hotel page</t>
  </si>
  <si>
    <t xml:space="preserve">Check GSC URL Inspection</t>
  </si>
  <si>
    <t xml:space="preserve">Server response</t>
  </si>
  <si>
    <t xml:space="preserve">Fail on NY/Cancún (~3.6 s)</t>
  </si>
  <si>
    <t xml:space="preserve">Core Web Vitals (field)</t>
  </si>
  <si>
    <t xml:space="preserve">Not yet measured</t>
  </si>
  <si>
    <t xml:space="preserve">Pull CrUX/GSC</t>
  </si>
  <si>
    <t xml:space="preserve">Images</t>
  </si>
  <si>
    <t xml:space="preserve">Alt text, lazy loading, sizing</t>
  </si>
  <si>
    <t xml:space="preserve">Audit</t>
  </si>
  <si>
    <t xml:space="preserve">Language</t>
  </si>
  <si>
    <t xml:space="preserve">lang attribute</t>
  </si>
  <si>
    <t xml:space="preserve">Pass: lang="es"</t>
  </si>
  <si>
    <t xml:space="preserve">Keep</t>
  </si>
  <si>
    <t xml:space="preserve">—</t>
  </si>
  <si>
    <t xml:space="preserve">hreflang</t>
  </si>
  <si>
    <t xml:space="preserve">H1, H2</t>
  </si>
  <si>
    <t xml:space="preserve">Structured data</t>
  </si>
  <si>
    <t xml:space="preserve">JSON-LD validity and fit</t>
  </si>
  <si>
    <t xml:space="preserve">Partial</t>
  </si>
  <si>
    <t xml:space="preserve">S1-S3</t>
  </si>
  <si>
    <t xml:space="preserve">HTTPS</t>
  </si>
  <si>
    <t xml:space="preserve">HTTPS enforced, HSTS</t>
  </si>
  <si>
    <t xml:space="preserve">Partial: https works; http uses 302</t>
  </si>
  <si>
    <t xml:space="preserve">Orphans and click depth</t>
  </si>
  <si>
    <t xml:space="preserve">Compare DB IDs to crawl</t>
  </si>
  <si>
    <t xml:space="preserve">Cookies</t>
  </si>
  <si>
    <t xml:space="preserve">Persistent CFID on every request</t>
  </si>
  <si>
    <t xml:space="preserve">Week 4</t>
  </si>
  <si>
    <t xml:space="preserve">Native Spanish keyword framework. Volume and difficulty: fill from Semrush (blank until data available). Score = Demand x Intent x Value x Probability / Effort.</t>
  </si>
  <si>
    <t xml:space="preserve">Intent</t>
  </si>
  <si>
    <t xml:space="preserve">Cluster</t>
  </si>
  <si>
    <t xml:space="preserve">Target page</t>
  </si>
  <si>
    <t xml:space="preserve">Keyword difficulty</t>
  </si>
  <si>
    <t xml:space="preserve">Demand (1-5)</t>
  </si>
  <si>
    <t xml:space="preserve">Intent (1-5)</t>
  </si>
  <si>
    <t xml:space="preserve">Value (1-5)</t>
  </si>
  <si>
    <t xml:space="preserve">Probability (1-5)</t>
  </si>
  <si>
    <t xml:space="preserve">Effort (1-5)</t>
  </si>
  <si>
    <t xml:space="preserve">Opportunity score</t>
  </si>
  <si>
    <t xml:space="preserve">Bucket</t>
  </si>
  <si>
    <t xml:space="preserve">Master ID</t>
  </si>
  <si>
    <t xml:space="preserve">Bucket rule (editable): Quick win = score&gt;=100 and effort&lt;=2; Strategic = score&gt;=100; Long-term = 30-99; else Low/avoid</t>
  </si>
  <si>
    <t xml:space="preserve">hoteles de lujo en Miami</t>
  </si>
  <si>
    <t xml:space="preserve">Destination + luxury</t>
  </si>
  <si>
    <t xml:space="preserve">City hub</t>
  </si>
  <si>
    <t xml:space="preserve">Miami hub</t>
  </si>
  <si>
    <t xml:space="preserve">hoteles cinco estrellas Nueva York</t>
  </si>
  <si>
    <t xml:space="preserve">New York hub</t>
  </si>
  <si>
    <t xml:space="preserve">hoteles de lujo en Madrid</t>
  </si>
  <si>
    <t xml:space="preserve">Spain</t>
  </si>
  <si>
    <t xml:space="preserve">Madrid hub</t>
  </si>
  <si>
    <t xml:space="preserve">resorts de lujo Cancún</t>
  </si>
  <si>
    <t xml:space="preserve">Cancún hub</t>
  </si>
  <si>
    <t xml:space="preserve">hoteles Four Seasons</t>
  </si>
  <si>
    <t xml:space="preserve">Brand</t>
  </si>
  <si>
    <t xml:space="preserve">¿Cómo conseguir beneficios VIP en Four Seasons?</t>
  </si>
  <si>
    <t xml:space="preserve">Informational</t>
  </si>
  <si>
    <t xml:space="preserve">Four Seasons chain page</t>
  </si>
  <si>
    <t xml:space="preserve">mejores hoteles para luna de miel</t>
  </si>
  <si>
    <t xml:space="preserve">Commercial investigation</t>
  </si>
  <si>
    <t xml:space="preserve">Luna de miel collection</t>
  </si>
  <si>
    <t xml:space="preserve">Rankings</t>
  </si>
  <si>
    <t xml:space="preserve">Weekly positions per keyword and market (Semrush position tracking). Enter one column per week.</t>
  </si>
  <si>
    <t xml:space="preserve">Country database</t>
  </si>
  <si>
    <t xml:space="preserve">Target URL</t>
  </si>
  <si>
    <t xml:space="preserve">Baseline position</t>
  </si>
  <si>
    <t xml:space="preserve">Wk 1</t>
  </si>
  <si>
    <t xml:space="preserve">Wk 2</t>
  </si>
  <si>
    <t xml:space="preserve">Wk 3</t>
  </si>
  <si>
    <t xml:space="preserve">Wk 4</t>
  </si>
  <si>
    <t xml:space="preserve">Latest</t>
  </si>
  <si>
    <t xml:space="preserve">SERP feature</t>
  </si>
  <si>
    <t xml:space="preserve">Guides, comparisons, FAQs and hub support pages.</t>
  </si>
  <si>
    <t xml:space="preserve">Title (Spanish)</t>
  </si>
  <si>
    <t xml:space="preserve">Hub</t>
  </si>
  <si>
    <t xml:space="preserve">Content type</t>
  </si>
  <si>
    <t xml:space="preserve">Target keyword</t>
  </si>
  <si>
    <t xml:space="preserve">Author/expert</t>
  </si>
  <si>
    <t xml:space="preserve">Publish date</t>
  </si>
  <si>
    <t xml:space="preserve">Last reviewed</t>
  </si>
  <si>
    <t xml:space="preserve">Next refresh</t>
  </si>
  <si>
    <t xml:space="preserve">Impressions (90d)</t>
  </si>
  <si>
    <t xml:space="preserve">Clicks (90d)</t>
  </si>
  <si>
    <t xml:space="preserve">Hoteles de lujo en Madrid</t>
  </si>
  <si>
    <t xml:space="preserve">(new)</t>
  </si>
  <si>
    <t xml:space="preserve">Madrid</t>
  </si>
  <si>
    <t xml:space="preserve">Dónde alojarse en Madrid: Salamanca, Centro y Retiro</t>
  </si>
  <si>
    <t xml:space="preserve">Guide</t>
  </si>
  <si>
    <t xml:space="preserve">dónde alojarse en Madrid</t>
  </si>
  <si>
    <t xml:space="preserve">Four Seasons vs. Ritz-Carlton</t>
  </si>
  <si>
    <t xml:space="preserve">Chains</t>
  </si>
  <si>
    <t xml:space="preserve">Comparison</t>
  </si>
  <si>
    <t xml:space="preserve">Four Seasons vs Ritz Carlton</t>
  </si>
  <si>
    <t xml:space="preserve">Hotel Pages</t>
  </si>
  <si>
    <t xml:space="preserve">Hotel-level work. Revenue tier comes from the client's top-100 list.</t>
  </si>
  <si>
    <t xml:space="preserve">Hotel ID</t>
  </si>
  <si>
    <t xml:space="preserve">Revenue tier (A/B/C)</t>
  </si>
  <si>
    <t xml:space="preserve">Unique title</t>
  </si>
  <si>
    <t xml:space="preserve">Unique description</t>
  </si>
  <si>
    <t xml:space="preserve">Unique body (words)</t>
  </si>
  <si>
    <t xml:space="preserve">Verified perks block</t>
  </si>
  <si>
    <t xml:space="preserve">FAQ on page</t>
  </si>
  <si>
    <t xml:space="preserve">Hotel schema</t>
  </si>
  <si>
    <t xml:space="preserve">Inquiries (90d)</t>
  </si>
  <si>
    <t xml:space="preserve">1 Hotel Brooklyn Bridge</t>
  </si>
  <si>
    <t xml:space="preserve">New York</t>
  </si>
  <si>
    <t xml:space="preserve">Estados Unidos</t>
  </si>
  <si>
    <t xml:space="preserve">/hotels/6494/1-hotel-brooklyn-bridge.html</t>
  </si>
  <si>
    <t xml:space="preserve">No</t>
  </si>
  <si>
    <t xml:space="preserve">~1,400</t>
  </si>
  <si>
    <t xml:space="preserve">Yes (sales-line answers)</t>
  </si>
  <si>
    <t xml:space="preserve">Destination Pages</t>
  </si>
  <si>
    <t xml:space="preserve">City, country, region, chain and collection hubs.</t>
  </si>
  <si>
    <t xml:space="preserve">Type</t>
  </si>
  <si>
    <t xml:space="preserve">URL (current or planned)</t>
  </si>
  <si>
    <t xml:space="preserve">Market priority</t>
  </si>
  <si>
    <t xml:space="preserve">Direct answer</t>
  </si>
  <si>
    <t xml:space="preserve">Selection table</t>
  </si>
  <si>
    <t xml:space="preserve">Neighborhood guide</t>
  </si>
  <si>
    <t xml:space="preserve">FAQ (5-8)</t>
  </si>
  <si>
    <t xml:space="preserve">Hoteles de lujo en Miami</t>
  </si>
  <si>
    <t xml:space="preserve">(new, Spanish path)</t>
  </si>
  <si>
    <t xml:space="preserve">Hoteles de lujo en Nueva York</t>
  </si>
  <si>
    <t xml:space="preserve">Hoteles de lujo en Cancún</t>
  </si>
  <si>
    <t xml:space="preserve">Hoteles Four Seasons</t>
  </si>
  <si>
    <t xml:space="preserve">Hoteles de lujo en Europa</t>
  </si>
  <si>
    <t xml:space="preserve">U.S. Hispanic SEO</t>
  </si>
  <si>
    <t xml:space="preserve">U.S. Spanish performance by state/city. Isolate with GA4 language es* + country US; in GSC use country US + Spanish query classification.</t>
  </si>
  <si>
    <t xml:space="preserve">State</t>
  </si>
  <si>
    <t xml:space="preserve">Metro</t>
  </si>
  <si>
    <t xml:space="preserve">Query / cluster</t>
  </si>
  <si>
    <t xml:space="preserve">Landing page</t>
  </si>
  <si>
    <t xml:space="preserve">Impressions</t>
  </si>
  <si>
    <t xml:space="preserve">Clicks</t>
  </si>
  <si>
    <t xml:space="preserve">Avg. position</t>
  </si>
  <si>
    <t xml:space="preserve">Inquiries</t>
  </si>
  <si>
    <t xml:space="preserve">Doorway-guardrail check (tools, own recs, distinct demand)</t>
  </si>
  <si>
    <t xml:space="preserve">FL</t>
  </si>
  <si>
    <t xml:space="preserve">Miami / South Florida</t>
  </si>
  <si>
    <t xml:space="preserve">NY</t>
  </si>
  <si>
    <t xml:space="preserve">NV</t>
  </si>
  <si>
    <t xml:space="preserve">Las Vegas</t>
  </si>
  <si>
    <t xml:space="preserve">hoteles de lujo Las Vegas</t>
  </si>
  <si>
    <t xml:space="preserve">Las Vegas hub</t>
  </si>
  <si>
    <t xml:space="preserve">TX</t>
  </si>
  <si>
    <t xml:space="preserve">Houston</t>
  </si>
  <si>
    <t xml:space="preserve">escapadas de lujo desde Houston</t>
  </si>
  <si>
    <t xml:space="preserve">(origin-city guide - validate demand first)</t>
  </si>
  <si>
    <t xml:space="preserve">Dallas</t>
  </si>
  <si>
    <t xml:space="preserve">hoteles de lujo cerca de Dallas</t>
  </si>
  <si>
    <t xml:space="preserve">International Markets (Market Dashboard)</t>
  </si>
  <si>
    <t xml:space="preserve">Tier = working hypothesis from the proposal; re-rank in Week 2 with GSC country data. Enter monthly values; CTR and totals are formulas.</t>
  </si>
  <si>
    <t xml:space="preserve">Tier</t>
  </si>
  <si>
    <t xml:space="preserve">Ranking keywords</t>
  </si>
  <si>
    <t xml:space="preserve">Conversions</t>
  </si>
  <si>
    <t xml:space="preserve">Top destinations</t>
  </si>
  <si>
    <t xml:space="preserve">MoM growth in clicks</t>
  </si>
  <si>
    <t xml:space="preserve">Prior-month clicks</t>
  </si>
  <si>
    <t xml:space="preserve">Decision gate</t>
  </si>
  <si>
    <t xml:space="preserve">Share of clicks</t>
  </si>
  <si>
    <t xml:space="preserve">Full Tier 1 investment</t>
  </si>
  <si>
    <t xml:space="preserve">Constraint: confirm EUR booking path</t>
  </si>
  <si>
    <t xml:space="preserve">Colombia</t>
  </si>
  <si>
    <t xml:space="preserve">Dedicated pages if impressions justify</t>
  </si>
  <si>
    <t xml:space="preserve">Chile</t>
  </si>
  <si>
    <t xml:space="preserve">Same</t>
  </si>
  <si>
    <t xml:space="preserve">Argentina</t>
  </si>
  <si>
    <t xml:space="preserve">Review payment path first</t>
  </si>
  <si>
    <t xml:space="preserve">Puerto Rico</t>
  </si>
  <si>
    <t xml:space="preserve">Track within U.S. Spanish too</t>
  </si>
  <si>
    <t xml:space="preserve">Peru</t>
  </si>
  <si>
    <t xml:space="preserve">Monitor</t>
  </si>
  <si>
    <t xml:space="preserve">Central America</t>
  </si>
  <si>
    <t xml:space="preserve">Other emerging markets</t>
  </si>
  <si>
    <t xml:space="preserve">Monitor via GSC</t>
  </si>
  <si>
    <t xml:space="preserve">Total</t>
  </si>
  <si>
    <t xml:space="preserve">Rule: a country gets dedicated pages, currency display or hreflang value only when it produces about 8-10% of Spanish organic impressions AND has a working booking/inquiry path.</t>
  </si>
  <si>
    <t xml:space="preserve">Question coverage: one owning page per question; answers 40-60 words with source and date.</t>
  </si>
  <si>
    <t xml:space="preserve">Question (Spanish)</t>
  </si>
  <si>
    <t xml:space="preserve">Owning page</t>
  </si>
  <si>
    <t xml:space="preserve">Answer written (Y/N)</t>
  </si>
  <si>
    <t xml:space="preserve">Words</t>
  </si>
  <si>
    <t xml:space="preserve">Source cited</t>
  </si>
  <si>
    <t xml:space="preserve">Verified date</t>
  </si>
  <si>
    <t xml:space="preserve">FAQ schema matches visible text</t>
  </si>
  <si>
    <t xml:space="preserve">Featured snippet / PAA</t>
  </si>
  <si>
    <t xml:space="preserve">¿Cuál es el mejor hotel de lujo en Madrid?</t>
  </si>
  <si>
    <t xml:space="preserve">N</t>
  </si>
  <si>
    <t xml:space="preserve">¿Cuál es el mejor Four Seasons en México?</t>
  </si>
  <si>
    <t xml:space="preserve">Four Seasons chain + México</t>
  </si>
  <si>
    <t xml:space="preserve">¿Qué hoteles incluyen desayuno gratis?</t>
  </si>
  <si>
    <t xml:space="preserve">Benefits hub</t>
  </si>
  <si>
    <t xml:space="preserve">Four Seasons chain</t>
  </si>
  <si>
    <t xml:space="preserve">¿Qué hotel es mejor para una luna de miel en Cancún?</t>
  </si>
  <si>
    <t xml:space="preserve">¿Dónde alojarse en Miami para unas vacaciones de lujo?</t>
  </si>
  <si>
    <t xml:space="preserve">¿Vale la pena reservar mediante una agencia de viajes de lujo?</t>
  </si>
  <si>
    <t xml:space="preserve">/company.cfm + FAQ</t>
  </si>
  <si>
    <t xml:space="preserve">GEO - AI Visibility</t>
  </si>
  <si>
    <t xml:space="preserve">Monthly prompt log. One row per prompt x AI system x month.</t>
  </si>
  <si>
    <t xml:space="preserve">Month</t>
  </si>
  <si>
    <t xml:space="preserve">Prompt (Spanish)</t>
  </si>
  <si>
    <t xml:space="preserve">Market phrasing</t>
  </si>
  <si>
    <t xml:space="preserve">AI system</t>
  </si>
  <si>
    <t xml:space="preserve">Solo5Estrellas appears (Y/N)</t>
  </si>
  <si>
    <t xml:space="preserve">Cited URL</t>
  </si>
  <si>
    <t xml:space="preserve">Position / order</t>
  </si>
  <si>
    <t xml:space="preserve">Competitors cited</t>
  </si>
  <si>
    <t xml:space="preserve">Claim accurate (Y/N)</t>
  </si>
  <si>
    <t xml:space="preserve">Citation rate (tracked prompts)</t>
  </si>
  <si>
    <t xml:space="preserve">¿Cuáles son los mejores hoteles de lujo en Miami?</t>
  </si>
  <si>
    <t xml:space="preserve">U.S.</t>
  </si>
  <si>
    <t xml:space="preserve">Google AI Overviews</t>
  </si>
  <si>
    <t xml:space="preserve">¿Cuál es el mejor hotel en Madrid para una luna de miel?</t>
  </si>
  <si>
    <t xml:space="preserve">ChatGPT Search</t>
  </si>
  <si>
    <t xml:space="preserve">¿Dónde puedo reservar Four Seasons con beneficios VIP?</t>
  </si>
  <si>
    <t xml:space="preserve">Perplexity</t>
  </si>
  <si>
    <t xml:space="preserve">¿Cuáles son los mejores hoteles cinco estrellas en Nueva York?</t>
  </si>
  <si>
    <t xml:space="preserve">Gemini</t>
  </si>
  <si>
    <t xml:space="preserve">Structured-data status by template. Markup must match visible content.</t>
  </si>
  <si>
    <t xml:space="preserve">Template / URL</t>
  </si>
  <si>
    <t xml:space="preserve">Schema type</t>
  </si>
  <si>
    <t xml:space="preserve">Present today</t>
  </si>
  <si>
    <t xml:space="preserve">Issue</t>
  </si>
  <si>
    <t xml:space="preserve">Recommendation</t>
  </si>
  <si>
    <t xml:space="preserve">Validation tool</t>
  </si>
  <si>
    <t xml:space="preserve">Errors</t>
  </si>
  <si>
    <t xml:space="preserve">Warnings</t>
  </si>
  <si>
    <t xml:space="preserve">All pages</t>
  </si>
  <si>
    <t xml:space="preserve">Organization</t>
  </si>
  <si>
    <t xml:space="preserve">Yes</t>
  </si>
  <si>
    <t xml:space="preserve">sameAs points to WhataHotel profiles; no parent/address</t>
  </si>
  <si>
    <t xml:space="preserve">Rebuild with Lorraine Travel parentOrganization</t>
  </si>
  <si>
    <t xml:space="preserve">WebSite</t>
  </si>
  <si>
    <t xml:space="preserve">No inLanguage</t>
  </si>
  <si>
    <t xml:space="preserve">Add inLanguage es</t>
  </si>
  <si>
    <t xml:space="preserve">FAQPage</t>
  </si>
  <si>
    <t xml:space="preserve">Answers are sales copy</t>
  </si>
  <si>
    <t xml:space="preserve">Rewrite to match visible FAQ</t>
  </si>
  <si>
    <t xml:space="preserve">TravelAgency + Offer</t>
  </si>
  <si>
    <t xml:space="preserve">Zero-price OnlineOnly offers</t>
  </si>
  <si>
    <t xml:space="preserve">Remove; describe perks as text</t>
  </si>
  <si>
    <t xml:space="preserve">Missing</t>
  </si>
  <si>
    <t xml:space="preserve">Add address, geo, image; starRating only with visible source</t>
  </si>
  <si>
    <t xml:space="preserve">Hotel / City</t>
  </si>
  <si>
    <t xml:space="preserve">BreadcrumbList</t>
  </si>
  <si>
    <t xml:space="preserve">No visible breadcrumbs</t>
  </si>
  <si>
    <t xml:space="preserve">Add both</t>
  </si>
  <si>
    <t xml:space="preserve">Guides</t>
  </si>
  <si>
    <t xml:space="preserve">Article</t>
  </si>
  <si>
    <t xml:space="preserve">No guides yet</t>
  </si>
  <si>
    <t xml:space="preserve">Add with Person author and dates</t>
  </si>
  <si>
    <t xml:space="preserve">Link and mention targets. Spanish-language publishers and brand partner pages first.</t>
  </si>
  <si>
    <t xml:space="preserve">Target domain</t>
  </si>
  <si>
    <t xml:space="preserve">Authority (Semrush AS)</t>
  </si>
  <si>
    <t xml:space="preserve">Pitch/angle</t>
  </si>
  <si>
    <t xml:space="preserve">Contact</t>
  </si>
  <si>
    <t xml:space="preserve">Date contacted</t>
  </si>
  <si>
    <t xml:space="preserve">Link URL</t>
  </si>
  <si>
    <t xml:space="preserve">Date won</t>
  </si>
  <si>
    <t xml:space="preserve">Competitors</t>
  </si>
  <si>
    <t xml:space="preserve">Per market. Domains marked 'confirm' were named from general knowledge and must be verified in the SERP.</t>
  </si>
  <si>
    <t xml:space="preserve">Domain</t>
  </si>
  <si>
    <t xml:space="preserve">Group</t>
  </si>
  <si>
    <t xml:space="preserve">Seen in SERP</t>
  </si>
  <si>
    <t xml:space="preserve">Top keywords (count)</t>
  </si>
  <si>
    <t xml:space="preserve">Schema types used</t>
  </si>
  <si>
    <t xml:space="preserve">FAQ coverage</t>
  </si>
  <si>
    <t xml:space="preserve">Strengths</t>
  </si>
  <si>
    <t xml:space="preserve">Gap for Solo5Estrellas</t>
  </si>
  <si>
    <t xml:space="preserve">thehotelguru.com</t>
  </si>
  <si>
    <t xml:space="preserve">Hotel review / editorial</t>
  </si>
  <si>
    <t xml:space="preserve">oyster.com</t>
  </si>
  <si>
    <t xml:space="preserve">btravel.com</t>
  </si>
  <si>
    <t xml:space="preserve">Spanish agency / retail</t>
  </si>
  <si>
    <t xml:space="preserve">viajeselcorteingles.es</t>
  </si>
  <si>
    <t xml:space="preserve">booking.com</t>
  </si>
  <si>
    <t xml:space="preserve">OTA</t>
  </si>
  <si>
    <t xml:space="preserve">Confirm</t>
  </si>
  <si>
    <t xml:space="preserve">expedia.com</t>
  </si>
  <si>
    <t xml:space="preserve">hotels.com</t>
  </si>
  <si>
    <t xml:space="preserve">despegar.com</t>
  </si>
  <si>
    <t xml:space="preserve">fourseasons.com (Spanish pages)</t>
  </si>
  <si>
    <t xml:space="preserve">Hotel brand</t>
  </si>
  <si>
    <t xml:space="preserve">forbes.es</t>
  </si>
  <si>
    <t xml:space="preserve">Spanish travel publisher</t>
  </si>
  <si>
    <t xml:space="preserve">Completed Work</t>
  </si>
  <si>
    <t xml:space="preserve">Archive with before/after. Change is a formula.</t>
  </si>
  <si>
    <t xml:space="preserve">Task</t>
  </si>
  <si>
    <t xml:space="preserve">URL / template</t>
  </si>
  <si>
    <t xml:space="preserve">Change</t>
  </si>
  <si>
    <t xml:space="preserve">PageType</t>
  </si>
  <si>
    <t xml:space="preserve">Transactional</t>
  </si>
  <si>
    <t xml:space="preserve">Home</t>
  </si>
  <si>
    <t xml:space="preserve">L</t>
  </si>
  <si>
    <t xml:space="preserve">SEO + Dev</t>
  </si>
  <si>
    <t xml:space="preserve">n/a</t>
  </si>
  <si>
    <t xml:space="preserve">Special offer</t>
  </si>
  <si>
    <t xml:space="preserve">Villas</t>
  </si>
  <si>
    <t xml:space="preserve">Other</t>
  </si>
  <si>
    <t xml:space="preserve">Search/filter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</si>
</sst>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%"/>
    <numFmt numFmtId="166" formatCode="0.0%"/>
    <numFmt numFmtId="167" formatCode="yyyy\-mm\-dd"/>
    <numFmt numFmtId="168" formatCode="#,##0"/>
    <numFmt numFmtId="169" formatCode="0.0"/>
    <numFmt numFmtId="170" formatCode="mmm\ yyyy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2A4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2"/>
      <color rgb="FF1F2A4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EB9C"/>
      </patternFill>
    </fill>
    <fill>
      <patternFill patternType="solid">
        <fgColor rgb="FF1F2A44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F2A4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8CBAD"/>
        </patternFill>
      </fill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true"/>
  </sheetPr>
  <dimension ref="A1:B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</row>
    <row r="5" customFormat="false" ht="15" hidden="false" customHeight="false" outlineLevel="0" collapsed="false">
      <c r="A5" s="5" t="s">
        <v>3</v>
      </c>
      <c r="B5" s="4" t="s">
        <v>4</v>
      </c>
    </row>
    <row r="6" customFormat="false" ht="15" hidden="false" customHeight="false" outlineLevel="0" collapsed="false">
      <c r="A6" s="5" t="s">
        <v>5</v>
      </c>
      <c r="B6" s="4" t="s">
        <v>6</v>
      </c>
    </row>
    <row r="7" customFormat="false" ht="23.85" hidden="false" customHeight="false" outlineLevel="0" collapsed="false">
      <c r="A7" s="5" t="s">
        <v>7</v>
      </c>
      <c r="B7" s="4" t="s">
        <v>8</v>
      </c>
    </row>
    <row r="8" customFormat="false" ht="15" hidden="false" customHeight="false" outlineLevel="0" collapsed="false">
      <c r="A8" s="5" t="s">
        <v>9</v>
      </c>
      <c r="B8" s="4" t="s">
        <v>10</v>
      </c>
    </row>
    <row r="9" customFormat="false" ht="23.85" hidden="false" customHeight="false" outlineLevel="0" collapsed="false">
      <c r="A9" s="5" t="s">
        <v>11</v>
      </c>
      <c r="B9" s="4" t="s">
        <v>12</v>
      </c>
    </row>
    <row r="10" customFormat="false" ht="15" hidden="false" customHeight="false" outlineLevel="0" collapsed="false">
      <c r="A10" s="5" t="s">
        <v>13</v>
      </c>
      <c r="B10" s="4" t="s">
        <v>14</v>
      </c>
    </row>
    <row r="11" customFormat="false" ht="15" hidden="false" customHeight="false" outlineLevel="0" collapsed="false">
      <c r="A11" s="3" t="s">
        <v>15</v>
      </c>
      <c r="B11" s="4"/>
    </row>
    <row r="12" customFormat="false" ht="23.85" hidden="false" customHeight="false" outlineLevel="0" collapsed="false">
      <c r="A12" s="5" t="s">
        <v>16</v>
      </c>
      <c r="B12" s="4" t="s">
        <v>17</v>
      </c>
    </row>
    <row r="13" customFormat="false" ht="15" hidden="false" customHeight="false" outlineLevel="0" collapsed="false">
      <c r="A13" s="5" t="s">
        <v>16</v>
      </c>
      <c r="B13" s="4" t="s">
        <v>18</v>
      </c>
    </row>
    <row r="14" customFormat="false" ht="15" hidden="false" customHeight="false" outlineLevel="0" collapsed="false">
      <c r="A14" s="6" t="s">
        <v>19</v>
      </c>
      <c r="B14" s="4" t="s">
        <v>20</v>
      </c>
    </row>
    <row r="16" customFormat="false" ht="15" hidden="false" customHeight="false" outlineLevel="0" collapsed="false">
      <c r="A16" s="6" t="s">
        <v>21</v>
      </c>
    </row>
    <row r="17" customFormat="false" ht="15" hidden="false" customHeight="false" outlineLevel="0" collapsed="false">
      <c r="A17" s="7" t="s">
        <v>22</v>
      </c>
      <c r="B17" s="5" t="s">
        <v>23</v>
      </c>
    </row>
    <row r="18" customFormat="false" ht="15" hidden="false" customHeight="false" outlineLevel="0" collapsed="false">
      <c r="A18" s="5" t="s">
        <v>24</v>
      </c>
      <c r="B18" s="5" t="s">
        <v>25</v>
      </c>
    </row>
    <row r="19" customFormat="false" ht="15" hidden="false" customHeight="false" outlineLevel="0" collapsed="false">
      <c r="A19" s="8" t="s">
        <v>26</v>
      </c>
      <c r="B19" s="5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true"/>
  </sheetPr>
  <dimension ref="A1:H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18"/>
    <col collapsed="false" customWidth="true" hidden="false" outlineLevel="0" max="7" min="5" style="0" width="14"/>
    <col collapsed="false" customWidth="true" hidden="false" outlineLevel="0" max="8" min="8" style="0" width="28"/>
  </cols>
  <sheetData>
    <row r="1" customFormat="false" ht="19.7" hidden="false" customHeight="false" outlineLevel="0" collapsed="false">
      <c r="A1" s="1" t="s">
        <v>28</v>
      </c>
    </row>
    <row r="2" customFormat="false" ht="15" hidden="false" customHeight="false" outlineLevel="0" collapsed="false">
      <c r="A2" s="2" t="s">
        <v>29</v>
      </c>
    </row>
    <row r="4" customFormat="false" ht="15" hidden="false" customHeight="false" outlineLevel="0" collapsed="false">
      <c r="A4" s="6" t="s">
        <v>30</v>
      </c>
      <c r="D4" s="6" t="s">
        <v>31</v>
      </c>
      <c r="G4" s="6" t="s">
        <v>32</v>
      </c>
    </row>
    <row r="5" customFormat="false" ht="31.5" hidden="false" customHeight="true" outlineLevel="0" collapsed="false">
      <c r="A5" s="9" t="s">
        <v>33</v>
      </c>
      <c r="B5" s="9" t="s">
        <v>34</v>
      </c>
      <c r="D5" s="10" t="s">
        <v>35</v>
      </c>
      <c r="E5" s="10" t="s">
        <v>36</v>
      </c>
      <c r="G5" s="10" t="s">
        <v>37</v>
      </c>
      <c r="H5" s="10" t="s">
        <v>36</v>
      </c>
    </row>
    <row r="6" customFormat="false" ht="15" hidden="false" customHeight="false" outlineLevel="0" collapsed="false">
      <c r="A6" s="5" t="s">
        <v>38</v>
      </c>
      <c r="B6" s="5" t="n">
        <f aca="false">COUNTIF('Master Tracker'!$X$5:$X$300,A6)</f>
        <v>35</v>
      </c>
      <c r="D6" s="5" t="s">
        <v>39</v>
      </c>
      <c r="E6" s="5" t="n">
        <f aca="false">COUNTIFS('Master Tracker'!$Q$5:$Q$300,D6,'Master Tracker'!$X$5:$X$300,"&lt;&gt;Completed",'Master Tracker'!$A$5:$A$300,"&lt;&gt;")</f>
        <v>9</v>
      </c>
      <c r="G6" s="5" t="s">
        <v>40</v>
      </c>
      <c r="H6" s="5" t="n">
        <f aca="false">COUNTIFS('Master Tracker'!$I$5:$I$300,G6,'Master Tracker'!$X$5:$X$300,"&lt;&gt;Completed",'Master Tracker'!$A$5:$A$300,"&lt;&gt;")</f>
        <v>7</v>
      </c>
    </row>
    <row r="7" customFormat="false" ht="15" hidden="false" customHeight="false" outlineLevel="0" collapsed="false">
      <c r="A7" s="5" t="s">
        <v>41</v>
      </c>
      <c r="B7" s="5" t="n">
        <f aca="false">COUNTIF('Master Tracker'!$X$5:$X$300,A7)</f>
        <v>0</v>
      </c>
      <c r="D7" s="5" t="s">
        <v>42</v>
      </c>
      <c r="E7" s="5" t="n">
        <f aca="false">COUNTIFS('Master Tracker'!$Q$5:$Q$300,D7,'Master Tracker'!$X$5:$X$300,"&lt;&gt;Completed",'Master Tracker'!$A$5:$A$300,"&lt;&gt;")</f>
        <v>19</v>
      </c>
      <c r="G7" s="5" t="s">
        <v>43</v>
      </c>
      <c r="H7" s="5" t="n">
        <f aca="false">COUNTIFS('Master Tracker'!$I$5:$I$300,G7,'Master Tracker'!$X$5:$X$300,"&lt;&gt;Completed",'Master Tracker'!$A$5:$A$300,"&lt;&gt;")</f>
        <v>5</v>
      </c>
    </row>
    <row r="8" customFormat="false" ht="15" hidden="false" customHeight="false" outlineLevel="0" collapsed="false">
      <c r="A8" s="5" t="s">
        <v>44</v>
      </c>
      <c r="B8" s="5" t="n">
        <f aca="false">COUNTIF('Master Tracker'!$X$5:$X$300,A8)</f>
        <v>0</v>
      </c>
      <c r="D8" s="5" t="s">
        <v>45</v>
      </c>
      <c r="E8" s="5" t="n">
        <f aca="false">COUNTIFS('Master Tracker'!$Q$5:$Q$300,D8,'Master Tracker'!$X$5:$X$300,"&lt;&gt;Completed",'Master Tracker'!$A$5:$A$300,"&lt;&gt;")</f>
        <v>5</v>
      </c>
      <c r="G8" s="5" t="s">
        <v>46</v>
      </c>
      <c r="H8" s="5" t="n">
        <f aca="false">COUNTIFS('Master Tracker'!$I$5:$I$300,G8,'Master Tracker'!$X$5:$X$300,"&lt;&gt;Completed",'Master Tracker'!$A$5:$A$300,"&lt;&gt;")</f>
        <v>2</v>
      </c>
    </row>
    <row r="9" customFormat="false" ht="15" hidden="false" customHeight="false" outlineLevel="0" collapsed="false">
      <c r="A9" s="5" t="s">
        <v>47</v>
      </c>
      <c r="B9" s="5" t="n">
        <f aca="false">COUNTIF('Master Tracker'!$X$5:$X$300,A9)</f>
        <v>0</v>
      </c>
      <c r="D9" s="5" t="s">
        <v>48</v>
      </c>
      <c r="E9" s="5" t="n">
        <f aca="false">COUNTIFS('Master Tracker'!$Q$5:$Q$300,D9,'Master Tracker'!$X$5:$X$300,"&lt;&gt;Completed",'Master Tracker'!$A$5:$A$300,"&lt;&gt;")</f>
        <v>2</v>
      </c>
      <c r="G9" s="5" t="s">
        <v>49</v>
      </c>
      <c r="H9" s="5" t="n">
        <f aca="false">COUNTIFS('Master Tracker'!$I$5:$I$300,G9,'Master Tracker'!$X$5:$X$300,"&lt;&gt;Completed",'Master Tracker'!$A$5:$A$300,"&lt;&gt;")</f>
        <v>6</v>
      </c>
    </row>
    <row r="10" customFormat="false" ht="15" hidden="false" customHeight="false" outlineLevel="0" collapsed="false">
      <c r="A10" s="5" t="s">
        <v>50</v>
      </c>
      <c r="B10" s="5" t="n">
        <f aca="false">COUNTIF('Master Tracker'!$X$5:$X$300,A10)</f>
        <v>0</v>
      </c>
      <c r="G10" s="5" t="s">
        <v>51</v>
      </c>
      <c r="H10" s="5" t="n">
        <f aca="false">COUNTIFS('Master Tracker'!$I$5:$I$300,G10,'Master Tracker'!$X$5:$X$300,"&lt;&gt;Completed",'Master Tracker'!$A$5:$A$300,"&lt;&gt;")</f>
        <v>3</v>
      </c>
    </row>
    <row r="11" customFormat="false" ht="15" hidden="false" customHeight="false" outlineLevel="0" collapsed="false">
      <c r="A11" s="5" t="s">
        <v>52</v>
      </c>
      <c r="B11" s="5" t="n">
        <f aca="false">COUNTIF('Master Tracker'!$X$5:$X$300,A11)</f>
        <v>0</v>
      </c>
      <c r="G11" s="5" t="s">
        <v>53</v>
      </c>
      <c r="H11" s="5" t="n">
        <f aca="false">COUNTIFS('Master Tracker'!$I$5:$I$300,G11,'Master Tracker'!$X$5:$X$300,"&lt;&gt;Completed",'Master Tracker'!$A$5:$A$300,"&lt;&gt;")</f>
        <v>1</v>
      </c>
    </row>
    <row r="12" customFormat="false" ht="15" hidden="false" customHeight="false" outlineLevel="0" collapsed="false">
      <c r="A12" s="5" t="s">
        <v>54</v>
      </c>
      <c r="B12" s="5" t="n">
        <f aca="false">COUNTIF('Master Tracker'!$X$5:$X$300,A12)</f>
        <v>0</v>
      </c>
      <c r="G12" s="5" t="s">
        <v>55</v>
      </c>
      <c r="H12" s="5" t="n">
        <f aca="false">COUNTIFS('Master Tracker'!$I$5:$I$300,G12,'Master Tracker'!$X$5:$X$300,"&lt;&gt;Completed",'Master Tracker'!$A$5:$A$300,"&lt;&gt;")</f>
        <v>4</v>
      </c>
    </row>
    <row r="13" customFormat="false" ht="15" hidden="false" customHeight="false" outlineLevel="0" collapsed="false">
      <c r="A13" s="5" t="s">
        <v>56</v>
      </c>
      <c r="B13" s="5" t="n">
        <f aca="false">COUNTIF('Master Tracker'!$X$5:$X$300,A13)</f>
        <v>0</v>
      </c>
      <c r="G13" s="5" t="s">
        <v>57</v>
      </c>
      <c r="H13" s="5" t="n">
        <f aca="false">COUNTIFS('Master Tracker'!$I$5:$I$300,G13,'Master Tracker'!$X$5:$X$300,"&lt;&gt;Completed",'Master Tracker'!$A$5:$A$300,"&lt;&gt;")</f>
        <v>1</v>
      </c>
    </row>
    <row r="14" customFormat="false" ht="15" hidden="false" customHeight="false" outlineLevel="0" collapsed="false">
      <c r="A14" s="5" t="s">
        <v>58</v>
      </c>
      <c r="B14" s="5" t="n">
        <f aca="false">COUNTIF('Master Tracker'!$X$5:$X$300,A14)</f>
        <v>0</v>
      </c>
      <c r="G14" s="5" t="s">
        <v>59</v>
      </c>
      <c r="H14" s="5" t="n">
        <f aca="false">COUNTIFS('Master Tracker'!$I$5:$I$300,G14,'Master Tracker'!$X$5:$X$300,"&lt;&gt;Completed",'Master Tracker'!$A$5:$A$300,"&lt;&gt;")</f>
        <v>1</v>
      </c>
    </row>
    <row r="15" customFormat="false" ht="15" hidden="false" customHeight="false" outlineLevel="0" collapsed="false">
      <c r="A15" s="6" t="s">
        <v>60</v>
      </c>
      <c r="B15" s="6" t="n">
        <f aca="false">COUNTA('Master Tracker'!$A$5:$A$300)</f>
        <v>35</v>
      </c>
      <c r="G15" s="5" t="s">
        <v>61</v>
      </c>
      <c r="H15" s="5" t="n">
        <f aca="false">COUNTIFS('Master Tracker'!$I$5:$I$300,G15,'Master Tracker'!$X$5:$X$300,"&lt;&gt;Completed",'Master Tracker'!$A$5:$A$300,"&lt;&gt;")</f>
        <v>1</v>
      </c>
    </row>
    <row r="16" customFormat="false" ht="15" hidden="false" customHeight="false" outlineLevel="0" collapsed="false">
      <c r="A16" s="5" t="s">
        <v>62</v>
      </c>
      <c r="B16" s="5" t="n">
        <f aca="true">COUNTIFS('Master Tracker'!$W$5:$W$300,"&lt;"&amp;TODAY(),'Master Tracker'!$X$5:$X$300,"&lt;&gt;Completed",'Master Tracker'!$X$5:$X$300,"&lt;&gt;Monitoring",'Master Tracker'!$A$5:$A$300,"&lt;&gt;")</f>
        <v>0</v>
      </c>
      <c r="G16" s="5" t="s">
        <v>63</v>
      </c>
      <c r="H16" s="5" t="n">
        <f aca="false">COUNTIFS('Master Tracker'!$I$5:$I$300,G16,'Master Tracker'!$X$5:$X$300,"&lt;&gt;Completed",'Master Tracker'!$A$5:$A$300,"&lt;&gt;")</f>
        <v>1</v>
      </c>
    </row>
    <row r="17" customFormat="false" ht="15" hidden="false" customHeight="false" outlineLevel="0" collapsed="false">
      <c r="A17" s="5" t="s">
        <v>64</v>
      </c>
      <c r="B17" s="11" t="n">
        <f aca="false">IFERROR(B14/B15,0)</f>
        <v>0</v>
      </c>
      <c r="G17" s="5" t="s">
        <v>65</v>
      </c>
      <c r="H17" s="5" t="n">
        <f aca="false">COUNTIFS('Master Tracker'!$I$5:$I$300,G17,'Master Tracker'!$X$5:$X$300,"&lt;&gt;Completed",'Master Tracker'!$A$5:$A$300,"&lt;&gt;")</f>
        <v>1</v>
      </c>
    </row>
    <row r="18" customFormat="false" ht="15" hidden="false" customHeight="false" outlineLevel="0" collapsed="false">
      <c r="G18" s="5" t="s">
        <v>66</v>
      </c>
      <c r="H18" s="5" t="n">
        <f aca="false">COUNTIFS('Master Tracker'!$I$5:$I$300,G18,'Master Tracker'!$X$5:$X$300,"&lt;&gt;Completed",'Master Tracker'!$A$5:$A$300,"&lt;&gt;")</f>
        <v>0</v>
      </c>
    </row>
    <row r="19" customFormat="false" ht="15" hidden="false" customHeight="false" outlineLevel="0" collapsed="false">
      <c r="G19" s="5" t="s">
        <v>67</v>
      </c>
      <c r="H19" s="5" t="n">
        <f aca="false">COUNTIFS('Master Tracker'!$I$5:$I$300,G19,'Master Tracker'!$X$5:$X$300,"&lt;&gt;Completed",'Master Tracker'!$A$5:$A$300,"&lt;&gt;")</f>
        <v>2</v>
      </c>
    </row>
    <row r="23" customFormat="false" ht="15" hidden="false" customHeight="false" outlineLevel="0" collapsed="false">
      <c r="A23" s="6" t="s">
        <v>68</v>
      </c>
    </row>
    <row r="24" customFormat="false" ht="31.5" hidden="false" customHeight="true" outlineLevel="0" collapsed="false">
      <c r="A24" s="9" t="s">
        <v>69</v>
      </c>
      <c r="B24" s="9" t="s">
        <v>70</v>
      </c>
      <c r="C24" s="9" t="s">
        <v>71</v>
      </c>
      <c r="D24" s="9" t="s">
        <v>72</v>
      </c>
      <c r="E24" s="9" t="s">
        <v>73</v>
      </c>
      <c r="F24" s="9" t="s">
        <v>74</v>
      </c>
      <c r="G24" s="9" t="s">
        <v>75</v>
      </c>
      <c r="H24" s="9" t="s">
        <v>76</v>
      </c>
    </row>
    <row r="25" customFormat="false" ht="15" hidden="false" customHeight="false" outlineLevel="0" collapsed="false">
      <c r="A25" s="12" t="s">
        <v>77</v>
      </c>
      <c r="B25" s="13"/>
      <c r="C25" s="14"/>
      <c r="D25" s="15" t="str">
        <f aca="false">IF(OR(B25="",C25="",B25=0),"",C25/B25-1)</f>
        <v/>
      </c>
      <c r="E25" s="14"/>
      <c r="F25" s="14"/>
      <c r="G25" s="14"/>
      <c r="H25" s="12" t="s">
        <v>78</v>
      </c>
    </row>
    <row r="26" customFormat="false" ht="15" hidden="false" customHeight="false" outlineLevel="0" collapsed="false">
      <c r="A26" s="12" t="s">
        <v>79</v>
      </c>
      <c r="B26" s="13"/>
      <c r="C26" s="14"/>
      <c r="D26" s="15" t="str">
        <f aca="false">IF(OR(B26="",C26="",B26=0),"",C26/B26-1)</f>
        <v/>
      </c>
      <c r="E26" s="14"/>
      <c r="F26" s="14"/>
      <c r="G26" s="14"/>
      <c r="H26" s="12" t="s">
        <v>78</v>
      </c>
    </row>
    <row r="27" customFormat="false" ht="15" hidden="false" customHeight="false" outlineLevel="0" collapsed="false">
      <c r="A27" s="12" t="s">
        <v>80</v>
      </c>
      <c r="B27" s="16"/>
      <c r="C27" s="17"/>
      <c r="D27" s="15" t="str">
        <f aca="false">IF(OR(B27="",C27="",B27=0),"",C27/B27-1)</f>
        <v/>
      </c>
      <c r="E27" s="17"/>
      <c r="F27" s="17"/>
      <c r="G27" s="17"/>
      <c r="H27" s="12" t="s">
        <v>78</v>
      </c>
    </row>
    <row r="28" customFormat="false" ht="15" hidden="false" customHeight="false" outlineLevel="0" collapsed="false">
      <c r="A28" s="12" t="s">
        <v>81</v>
      </c>
      <c r="B28" s="13"/>
      <c r="C28" s="14"/>
      <c r="D28" s="15" t="str">
        <f aca="false">IF(OR(B28="",C28="",B28=0),"",C28/B28-1)</f>
        <v/>
      </c>
      <c r="E28" s="14"/>
      <c r="F28" s="14"/>
      <c r="G28" s="14"/>
      <c r="H28" s="12" t="s">
        <v>78</v>
      </c>
    </row>
    <row r="29" customFormat="false" ht="15" hidden="false" customHeight="false" outlineLevel="0" collapsed="false">
      <c r="A29" s="12" t="s">
        <v>82</v>
      </c>
      <c r="B29" s="13"/>
      <c r="C29" s="14"/>
      <c r="D29" s="15" t="str">
        <f aca="false">IF(OR(B29="",C29="",B29=0),"",C29/B29-1)</f>
        <v/>
      </c>
      <c r="E29" s="14"/>
      <c r="F29" s="14"/>
      <c r="G29" s="14"/>
      <c r="H29" s="12" t="s">
        <v>83</v>
      </c>
    </row>
    <row r="30" customFormat="false" ht="15" hidden="false" customHeight="false" outlineLevel="0" collapsed="false">
      <c r="A30" s="12" t="s">
        <v>84</v>
      </c>
      <c r="B30" s="13"/>
      <c r="C30" s="14"/>
      <c r="D30" s="15" t="str">
        <f aca="false">IF(OR(B30="",C30="",B30=0),"",C30/B30-1)</f>
        <v/>
      </c>
      <c r="E30" s="14"/>
      <c r="F30" s="14"/>
      <c r="G30" s="14"/>
      <c r="H30" s="12" t="s">
        <v>83</v>
      </c>
    </row>
    <row r="31" customFormat="false" ht="15" hidden="false" customHeight="false" outlineLevel="0" collapsed="false">
      <c r="A31" s="12" t="s">
        <v>85</v>
      </c>
      <c r="B31" s="13"/>
      <c r="C31" s="14"/>
      <c r="D31" s="15" t="str">
        <f aca="false">IF(OR(B31="",C31="",B31=0),"",C31/B31-1)</f>
        <v/>
      </c>
      <c r="E31" s="14"/>
      <c r="F31" s="14"/>
      <c r="G31" s="14"/>
      <c r="H31" s="12" t="s">
        <v>83</v>
      </c>
    </row>
    <row r="32" customFormat="false" ht="15" hidden="false" customHeight="false" outlineLevel="0" collapsed="false">
      <c r="A32" s="12" t="s">
        <v>86</v>
      </c>
      <c r="B32" s="13"/>
      <c r="C32" s="14"/>
      <c r="D32" s="15" t="str">
        <f aca="false">IF(OR(B32="",C32="",B32=0),"",C32/B32-1)</f>
        <v/>
      </c>
      <c r="E32" s="14"/>
      <c r="F32" s="14"/>
      <c r="G32" s="14"/>
      <c r="H32" s="12" t="s">
        <v>87</v>
      </c>
    </row>
    <row r="33" customFormat="false" ht="15" hidden="false" customHeight="false" outlineLevel="0" collapsed="false">
      <c r="A33" s="12" t="s">
        <v>88</v>
      </c>
      <c r="B33" s="13"/>
      <c r="C33" s="14"/>
      <c r="D33" s="15" t="str">
        <f aca="false">IF(OR(B33="",C33="",B33=0),"",C33/B33-1)</f>
        <v/>
      </c>
      <c r="E33" s="14"/>
      <c r="F33" s="14"/>
      <c r="G33" s="14"/>
      <c r="H33" s="12" t="s">
        <v>78</v>
      </c>
    </row>
    <row r="34" customFormat="false" ht="15" hidden="false" customHeight="false" outlineLevel="0" collapsed="false">
      <c r="A34" s="12" t="s">
        <v>89</v>
      </c>
      <c r="B34" s="13"/>
      <c r="C34" s="14"/>
      <c r="D34" s="15" t="str">
        <f aca="false">IF(OR(B34="",C34="",B34=0),"",C34/B34-1)</f>
        <v/>
      </c>
      <c r="E34" s="14"/>
      <c r="F34" s="14"/>
      <c r="G34" s="14"/>
      <c r="H34" s="12" t="s">
        <v>90</v>
      </c>
    </row>
    <row r="35" customFormat="false" ht="15" hidden="false" customHeight="false" outlineLevel="0" collapsed="false">
      <c r="A35" s="12" t="s">
        <v>91</v>
      </c>
      <c r="B35" s="13"/>
      <c r="C35" s="14"/>
      <c r="D35" s="15" t="str">
        <f aca="false">IF(OR(B35="",C35="",B35=0),"",C35/B35-1)</f>
        <v/>
      </c>
      <c r="E35" s="14"/>
      <c r="F35" s="14"/>
      <c r="G35" s="14"/>
      <c r="H35" s="12" t="s">
        <v>92</v>
      </c>
    </row>
    <row r="36" customFormat="false" ht="15" hidden="false" customHeight="false" outlineLevel="0" collapsed="false">
      <c r="A36" s="12" t="s">
        <v>93</v>
      </c>
      <c r="B36" s="13"/>
      <c r="C36" s="14"/>
      <c r="D36" s="15" t="str">
        <f aca="false">IF(OR(B36="",C36="",B36=0),"",C36/B36-1)</f>
        <v/>
      </c>
      <c r="E36" s="14"/>
      <c r="F36" s="14"/>
      <c r="G36" s="14"/>
      <c r="H36" s="12" t="s">
        <v>92</v>
      </c>
    </row>
    <row r="37" customFormat="false" ht="15" hidden="false" customHeight="false" outlineLevel="0" collapsed="false">
      <c r="A37" s="12" t="s">
        <v>94</v>
      </c>
      <c r="B37" s="13"/>
      <c r="C37" s="14"/>
      <c r="D37" s="15" t="str">
        <f aca="false">IF(OR(B37="",C37="",B37=0),"",C37/B37-1)</f>
        <v/>
      </c>
      <c r="E37" s="14"/>
      <c r="F37" s="14"/>
      <c r="G37" s="14"/>
      <c r="H37" s="12" t="s">
        <v>95</v>
      </c>
    </row>
    <row r="38" customFormat="false" ht="15" hidden="false" customHeight="false" outlineLevel="0" collapsed="false">
      <c r="A38" s="12" t="s">
        <v>96</v>
      </c>
      <c r="B38" s="13"/>
      <c r="C38" s="14"/>
      <c r="D38" s="15" t="str">
        <f aca="false">IF(OR(B38="",C38="",B38=0),"",C38/B38-1)</f>
        <v/>
      </c>
      <c r="E38" s="14"/>
      <c r="F38" s="14"/>
      <c r="G38" s="14"/>
      <c r="H38" s="12" t="s">
        <v>97</v>
      </c>
    </row>
    <row r="39" customFormat="false" ht="15" hidden="false" customHeight="false" outlineLevel="0" collapsed="false">
      <c r="A39" s="12" t="s">
        <v>98</v>
      </c>
      <c r="B39" s="13"/>
      <c r="C39" s="14"/>
      <c r="D39" s="15" t="str">
        <f aca="false">IF(OR(B39="",C39="",B39=0),"",C39/B39-1)</f>
        <v/>
      </c>
      <c r="E39" s="14"/>
      <c r="F39" s="14"/>
      <c r="G39" s="14"/>
      <c r="H39" s="12" t="s">
        <v>99</v>
      </c>
    </row>
    <row r="40" customFormat="false" ht="15" hidden="false" customHeight="false" outlineLevel="0" collapsed="false">
      <c r="A40" s="12" t="s">
        <v>100</v>
      </c>
      <c r="B40" s="13"/>
      <c r="C40" s="14"/>
      <c r="D40" s="15" t="str">
        <f aca="false">IF(OR(B40="",C40="",B40=0),"",C40/B40-1)</f>
        <v/>
      </c>
      <c r="E40" s="14"/>
      <c r="F40" s="14"/>
      <c r="G40" s="14"/>
      <c r="H40" s="12" t="s">
        <v>83</v>
      </c>
    </row>
    <row r="41" customFormat="false" ht="15" hidden="false" customHeight="false" outlineLevel="0" collapsed="false">
      <c r="A41" s="12" t="s">
        <v>101</v>
      </c>
      <c r="B41" s="13"/>
      <c r="C41" s="14"/>
      <c r="D41" s="15" t="str">
        <f aca="false">IF(OR(B41="",C41="",B41=0),"",C41/B41-1)</f>
        <v/>
      </c>
      <c r="E41" s="14"/>
      <c r="F41" s="14"/>
      <c r="G41" s="14"/>
      <c r="H41" s="12" t="s">
        <v>102</v>
      </c>
    </row>
    <row r="42" customFormat="false" ht="15" hidden="false" customHeight="false" outlineLevel="0" collapsed="false">
      <c r="A42" s="12" t="s">
        <v>103</v>
      </c>
      <c r="B42" s="13"/>
      <c r="C42" s="14"/>
      <c r="D42" s="15" t="str">
        <f aca="false">IF(OR(B42="",C42="",B42=0),"",C42/B42-1)</f>
        <v/>
      </c>
      <c r="E42" s="14"/>
      <c r="F42" s="14"/>
      <c r="G42" s="14"/>
      <c r="H42" s="12" t="s">
        <v>104</v>
      </c>
    </row>
    <row r="43" customFormat="false" ht="15" hidden="false" customHeight="false" outlineLevel="0" collapsed="false">
      <c r="A43" s="12" t="s">
        <v>105</v>
      </c>
      <c r="B43" s="13"/>
      <c r="C43" s="14"/>
      <c r="D43" s="15" t="str">
        <f aca="false">IF(OR(B43="",C43="",B43=0),"",C43/B43-1)</f>
        <v/>
      </c>
      <c r="E43" s="14"/>
      <c r="F43" s="14"/>
      <c r="G43" s="14"/>
      <c r="H43" s="12" t="s">
        <v>92</v>
      </c>
    </row>
    <row r="45" customFormat="false" ht="15" hidden="false" customHeight="false" outlineLevel="0" collapsed="false">
      <c r="A45" s="2" t="s">
        <v>106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true"/>
  </sheetPr>
  <dimension ref="A1:AG3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3"/>
    <col collapsed="false" customWidth="true" hidden="false" outlineLevel="0" max="3" min="3" style="0" width="18"/>
    <col collapsed="false" customWidth="true" hidden="false" outlineLevel="0" max="5" min="4" style="0" width="12"/>
    <col collapsed="false" customWidth="true" hidden="false" outlineLevel="0" max="6" min="6" style="0" width="34"/>
    <col collapsed="false" customWidth="true" hidden="false" outlineLevel="0" max="7" min="7" style="0" width="13"/>
    <col collapsed="false" customWidth="true" hidden="false" outlineLevel="0" max="8" min="8" style="0" width="44"/>
    <col collapsed="false" customWidth="true" hidden="false" outlineLevel="0" max="9" min="9" style="0" width="15"/>
    <col collapsed="false" customWidth="true" hidden="false" outlineLevel="0" max="10" min="10" style="0" width="18"/>
    <col collapsed="false" customWidth="true" hidden="false" outlineLevel="0" max="11" min="11" style="0" width="16"/>
    <col collapsed="false" customWidth="true" hidden="false" outlineLevel="0" max="14" min="12" style="0" width="11"/>
    <col collapsed="false" customWidth="true" hidden="false" outlineLevel="0" max="15" min="15" style="0" width="13"/>
    <col collapsed="false" customWidth="true" hidden="false" outlineLevel="0" max="16" min="16" style="0" width="9"/>
    <col collapsed="false" customWidth="true" hidden="false" outlineLevel="0" max="17" min="17" style="0" width="10"/>
    <col collapsed="false" customWidth="true" hidden="false" outlineLevel="0" max="18" min="18" style="0" width="9"/>
    <col collapsed="false" customWidth="true" hidden="false" outlineLevel="0" max="19" min="19" style="0" width="8"/>
    <col collapsed="false" customWidth="true" hidden="false" outlineLevel="0" max="20" min="20" style="0" width="50"/>
    <col collapsed="false" customWidth="true" hidden="false" outlineLevel="0" max="21" min="21" style="0" width="14"/>
    <col collapsed="false" customWidth="true" hidden="false" outlineLevel="0" max="23" min="22" style="0" width="13"/>
    <col collapsed="false" customWidth="true" hidden="false" outlineLevel="0" max="24" min="24" style="0" width="18"/>
    <col collapsed="false" customWidth="true" hidden="false" outlineLevel="0" max="25" min="25" style="0" width="13"/>
    <col collapsed="false" customWidth="true" hidden="false" outlineLevel="0" max="27" min="26" style="0" width="16"/>
    <col collapsed="false" customWidth="true" hidden="false" outlineLevel="0" max="28" min="28" style="0" width="24"/>
    <col collapsed="false" customWidth="true" hidden="false" outlineLevel="0" max="30" min="29" style="0" width="18"/>
    <col collapsed="false" customWidth="true" hidden="false" outlineLevel="0" max="31" min="31" style="0" width="14"/>
    <col collapsed="false" customWidth="true" hidden="false" outlineLevel="0" max="32" min="32" style="0" width="34"/>
    <col collapsed="false" customWidth="true" hidden="false" outlineLevel="0" max="33" min="33" style="0" width="13"/>
  </cols>
  <sheetData>
    <row r="1" customFormat="false" ht="19.7" hidden="false" customHeight="false" outlineLevel="0" collapsed="false">
      <c r="A1" s="1" t="s">
        <v>107</v>
      </c>
    </row>
    <row r="2" customFormat="false" ht="15" hidden="false" customHeight="false" outlineLevel="0" collapsed="false">
      <c r="A2" s="2" t="s">
        <v>108</v>
      </c>
    </row>
    <row r="4" customFormat="false" ht="31.5" hidden="false" customHeight="true" outlineLevel="0" collapsed="false">
      <c r="A4" s="9" t="s">
        <v>109</v>
      </c>
      <c r="B4" s="9" t="s">
        <v>110</v>
      </c>
      <c r="C4" s="9" t="s">
        <v>111</v>
      </c>
      <c r="D4" s="9" t="s">
        <v>112</v>
      </c>
      <c r="E4" s="9" t="s">
        <v>113</v>
      </c>
      <c r="F4" s="9" t="s">
        <v>114</v>
      </c>
      <c r="G4" s="9" t="s">
        <v>115</v>
      </c>
      <c r="H4" s="9" t="s">
        <v>116</v>
      </c>
      <c r="I4" s="9" t="s">
        <v>37</v>
      </c>
      <c r="J4" s="9" t="s">
        <v>117</v>
      </c>
      <c r="K4" s="9" t="s">
        <v>118</v>
      </c>
      <c r="L4" s="9" t="s">
        <v>119</v>
      </c>
      <c r="M4" s="9" t="s">
        <v>120</v>
      </c>
      <c r="N4" s="9" t="s">
        <v>121</v>
      </c>
      <c r="O4" s="9" t="s">
        <v>122</v>
      </c>
      <c r="P4" s="9" t="s">
        <v>80</v>
      </c>
      <c r="Q4" s="9" t="s">
        <v>35</v>
      </c>
      <c r="R4" s="9" t="s">
        <v>123</v>
      </c>
      <c r="S4" s="9" t="s">
        <v>124</v>
      </c>
      <c r="T4" s="9" t="s">
        <v>125</v>
      </c>
      <c r="U4" s="9" t="s">
        <v>126</v>
      </c>
      <c r="V4" s="9" t="s">
        <v>127</v>
      </c>
      <c r="W4" s="9" t="s">
        <v>128</v>
      </c>
      <c r="X4" s="9" t="s">
        <v>33</v>
      </c>
      <c r="Y4" s="9" t="s">
        <v>129</v>
      </c>
      <c r="Z4" s="9" t="s">
        <v>130</v>
      </c>
      <c r="AA4" s="9" t="s">
        <v>131</v>
      </c>
      <c r="AB4" s="9" t="s">
        <v>132</v>
      </c>
      <c r="AC4" s="9" t="s">
        <v>133</v>
      </c>
      <c r="AD4" s="9" t="s">
        <v>134</v>
      </c>
      <c r="AE4" s="9" t="s">
        <v>135</v>
      </c>
      <c r="AF4" s="9" t="s">
        <v>136</v>
      </c>
      <c r="AG4" s="9" t="s">
        <v>137</v>
      </c>
    </row>
    <row r="5" customFormat="false" ht="23.85" hidden="false" customHeight="false" outlineLevel="0" collapsed="false">
      <c r="A5" s="18" t="s">
        <v>138</v>
      </c>
      <c r="B5" s="19" t="n">
        <v>46301</v>
      </c>
      <c r="C5" s="20" t="s">
        <v>139</v>
      </c>
      <c r="D5" s="20" t="s">
        <v>140</v>
      </c>
      <c r="E5" s="20" t="s">
        <v>141</v>
      </c>
      <c r="F5" s="20" t="s">
        <v>142</v>
      </c>
      <c r="G5" s="20" t="s">
        <v>143</v>
      </c>
      <c r="H5" s="20" t="s">
        <v>144</v>
      </c>
      <c r="I5" s="20" t="s">
        <v>40</v>
      </c>
      <c r="J5" s="20"/>
      <c r="K5" s="20"/>
      <c r="L5" s="21"/>
      <c r="M5" s="21"/>
      <c r="N5" s="21"/>
      <c r="O5" s="21"/>
      <c r="P5" s="22" t="str">
        <f aca="false">IFERROR(N5/O5,"")</f>
        <v/>
      </c>
      <c r="Q5" s="20" t="s">
        <v>39</v>
      </c>
      <c r="R5" s="20" t="s">
        <v>42</v>
      </c>
      <c r="S5" s="20" t="s">
        <v>145</v>
      </c>
      <c r="T5" s="20" t="s">
        <v>146</v>
      </c>
      <c r="U5" s="20" t="s">
        <v>147</v>
      </c>
      <c r="V5" s="19"/>
      <c r="W5" s="19" t="n">
        <v>46307</v>
      </c>
      <c r="X5" s="20" t="s">
        <v>38</v>
      </c>
      <c r="Y5" s="19"/>
      <c r="Z5" s="20"/>
      <c r="AA5" s="20"/>
      <c r="AB5" s="20" t="s">
        <v>148</v>
      </c>
      <c r="AC5" s="20"/>
      <c r="AD5" s="20"/>
      <c r="AE5" s="20"/>
      <c r="AF5" s="20" t="s">
        <v>149</v>
      </c>
      <c r="AG5" s="19" t="n">
        <v>46308</v>
      </c>
    </row>
    <row r="6" customFormat="false" ht="23.85" hidden="false" customHeight="false" outlineLevel="0" collapsed="false">
      <c r="A6" s="18" t="s">
        <v>150</v>
      </c>
      <c r="B6" s="19" t="n">
        <v>46301</v>
      </c>
      <c r="C6" s="20" t="s">
        <v>139</v>
      </c>
      <c r="D6" s="20" t="s">
        <v>140</v>
      </c>
      <c r="E6" s="20" t="s">
        <v>141</v>
      </c>
      <c r="F6" s="20" t="s">
        <v>151</v>
      </c>
      <c r="G6" s="20" t="s">
        <v>143</v>
      </c>
      <c r="H6" s="20" t="s">
        <v>152</v>
      </c>
      <c r="I6" s="20" t="s">
        <v>40</v>
      </c>
      <c r="J6" s="20"/>
      <c r="K6" s="20"/>
      <c r="L6" s="21"/>
      <c r="M6" s="21"/>
      <c r="N6" s="21"/>
      <c r="O6" s="21"/>
      <c r="P6" s="22" t="str">
        <f aca="false">IFERROR(N6/O6,"")</f>
        <v/>
      </c>
      <c r="Q6" s="20" t="s">
        <v>39</v>
      </c>
      <c r="R6" s="20" t="s">
        <v>42</v>
      </c>
      <c r="S6" s="20" t="s">
        <v>145</v>
      </c>
      <c r="T6" s="20" t="s">
        <v>153</v>
      </c>
      <c r="U6" s="20" t="s">
        <v>147</v>
      </c>
      <c r="V6" s="19"/>
      <c r="W6" s="19" t="n">
        <v>46307</v>
      </c>
      <c r="X6" s="20" t="s">
        <v>38</v>
      </c>
      <c r="Y6" s="19"/>
      <c r="Z6" s="20"/>
      <c r="AA6" s="20"/>
      <c r="AB6" s="20" t="s">
        <v>154</v>
      </c>
      <c r="AC6" s="20"/>
      <c r="AD6" s="20"/>
      <c r="AE6" s="20"/>
      <c r="AF6" s="20"/>
      <c r="AG6" s="19" t="n">
        <v>46308</v>
      </c>
    </row>
    <row r="7" customFormat="false" ht="23.85" hidden="false" customHeight="false" outlineLevel="0" collapsed="false">
      <c r="A7" s="18" t="s">
        <v>155</v>
      </c>
      <c r="B7" s="19" t="n">
        <v>46301</v>
      </c>
      <c r="C7" s="20" t="s">
        <v>139</v>
      </c>
      <c r="D7" s="20" t="s">
        <v>140</v>
      </c>
      <c r="E7" s="20" t="s">
        <v>141</v>
      </c>
      <c r="F7" s="20" t="s">
        <v>156</v>
      </c>
      <c r="G7" s="20" t="s">
        <v>157</v>
      </c>
      <c r="H7" s="20" t="s">
        <v>158</v>
      </c>
      <c r="I7" s="20" t="s">
        <v>43</v>
      </c>
      <c r="J7" s="20"/>
      <c r="K7" s="20"/>
      <c r="L7" s="21"/>
      <c r="M7" s="21"/>
      <c r="N7" s="21"/>
      <c r="O7" s="21"/>
      <c r="P7" s="22" t="str">
        <f aca="false">IFERROR(N7/O7,"")</f>
        <v/>
      </c>
      <c r="Q7" s="20" t="s">
        <v>39</v>
      </c>
      <c r="R7" s="20" t="s">
        <v>42</v>
      </c>
      <c r="S7" s="20" t="s">
        <v>159</v>
      </c>
      <c r="T7" s="20" t="s">
        <v>160</v>
      </c>
      <c r="U7" s="20" t="s">
        <v>147</v>
      </c>
      <c r="V7" s="19"/>
      <c r="W7" s="19" t="n">
        <v>46307</v>
      </c>
      <c r="X7" s="20" t="s">
        <v>38</v>
      </c>
      <c r="Y7" s="19"/>
      <c r="Z7" s="20"/>
      <c r="AA7" s="20"/>
      <c r="AB7" s="20" t="s">
        <v>161</v>
      </c>
      <c r="AC7" s="20"/>
      <c r="AD7" s="20"/>
      <c r="AE7" s="20"/>
      <c r="AF7" s="20"/>
      <c r="AG7" s="19" t="n">
        <v>46308</v>
      </c>
    </row>
    <row r="8" customFormat="false" ht="15" hidden="false" customHeight="false" outlineLevel="0" collapsed="false">
      <c r="A8" s="18" t="s">
        <v>162</v>
      </c>
      <c r="B8" s="19" t="n">
        <v>46301</v>
      </c>
      <c r="C8" s="20" t="s">
        <v>139</v>
      </c>
      <c r="D8" s="20" t="s">
        <v>140</v>
      </c>
      <c r="E8" s="20" t="s">
        <v>141</v>
      </c>
      <c r="F8" s="20" t="s">
        <v>163</v>
      </c>
      <c r="G8" s="20" t="s">
        <v>157</v>
      </c>
      <c r="H8" s="20" t="s">
        <v>164</v>
      </c>
      <c r="I8" s="20" t="s">
        <v>43</v>
      </c>
      <c r="J8" s="20"/>
      <c r="K8" s="20"/>
      <c r="L8" s="21"/>
      <c r="M8" s="21"/>
      <c r="N8" s="21"/>
      <c r="O8" s="21"/>
      <c r="P8" s="22" t="str">
        <f aca="false">IFERROR(N8/O8,"")</f>
        <v/>
      </c>
      <c r="Q8" s="20" t="s">
        <v>39</v>
      </c>
      <c r="R8" s="20" t="s">
        <v>42</v>
      </c>
      <c r="S8" s="20" t="s">
        <v>145</v>
      </c>
      <c r="T8" s="20" t="s">
        <v>165</v>
      </c>
      <c r="U8" s="20" t="s">
        <v>147</v>
      </c>
      <c r="V8" s="19"/>
      <c r="W8" s="19" t="n">
        <v>46307</v>
      </c>
      <c r="X8" s="20" t="s">
        <v>38</v>
      </c>
      <c r="Y8" s="19"/>
      <c r="Z8" s="20"/>
      <c r="AA8" s="20"/>
      <c r="AB8" s="20" t="s">
        <v>166</v>
      </c>
      <c r="AC8" s="20"/>
      <c r="AD8" s="20"/>
      <c r="AE8" s="20"/>
      <c r="AF8" s="20"/>
      <c r="AG8" s="19" t="n">
        <v>46308</v>
      </c>
    </row>
    <row r="9" customFormat="false" ht="23.85" hidden="false" customHeight="false" outlineLevel="0" collapsed="false">
      <c r="A9" s="18" t="s">
        <v>167</v>
      </c>
      <c r="B9" s="19" t="n">
        <v>46301</v>
      </c>
      <c r="C9" s="20" t="s">
        <v>139</v>
      </c>
      <c r="D9" s="20" t="s">
        <v>140</v>
      </c>
      <c r="E9" s="20" t="s">
        <v>141</v>
      </c>
      <c r="F9" s="20" t="s">
        <v>168</v>
      </c>
      <c r="G9" s="20" t="s">
        <v>169</v>
      </c>
      <c r="H9" s="20" t="s">
        <v>170</v>
      </c>
      <c r="I9" s="20" t="s">
        <v>43</v>
      </c>
      <c r="J9" s="20"/>
      <c r="K9" s="20"/>
      <c r="L9" s="21"/>
      <c r="M9" s="21"/>
      <c r="N9" s="21"/>
      <c r="O9" s="21"/>
      <c r="P9" s="22" t="str">
        <f aca="false">IFERROR(N9/O9,"")</f>
        <v/>
      </c>
      <c r="Q9" s="20" t="s">
        <v>39</v>
      </c>
      <c r="R9" s="20" t="s">
        <v>42</v>
      </c>
      <c r="S9" s="20" t="s">
        <v>159</v>
      </c>
      <c r="T9" s="20" t="s">
        <v>171</v>
      </c>
      <c r="U9" s="20" t="s">
        <v>147</v>
      </c>
      <c r="V9" s="19"/>
      <c r="W9" s="19" t="n">
        <v>46311</v>
      </c>
      <c r="X9" s="20" t="s">
        <v>38</v>
      </c>
      <c r="Y9" s="19"/>
      <c r="Z9" s="20"/>
      <c r="AA9" s="20"/>
      <c r="AB9" s="20" t="s">
        <v>172</v>
      </c>
      <c r="AC9" s="20"/>
      <c r="AD9" s="20"/>
      <c r="AE9" s="20"/>
      <c r="AF9" s="20"/>
      <c r="AG9" s="19" t="n">
        <v>46308</v>
      </c>
    </row>
    <row r="10" customFormat="false" ht="23.85" hidden="false" customHeight="false" outlineLevel="0" collapsed="false">
      <c r="A10" s="18" t="s">
        <v>173</v>
      </c>
      <c r="B10" s="19" t="n">
        <v>46301</v>
      </c>
      <c r="C10" s="20" t="s">
        <v>139</v>
      </c>
      <c r="D10" s="20" t="s">
        <v>140</v>
      </c>
      <c r="E10" s="20" t="s">
        <v>141</v>
      </c>
      <c r="F10" s="20" t="s">
        <v>174</v>
      </c>
      <c r="G10" s="20" t="s">
        <v>175</v>
      </c>
      <c r="H10" s="20" t="s">
        <v>176</v>
      </c>
      <c r="I10" s="20" t="s">
        <v>43</v>
      </c>
      <c r="J10" s="20"/>
      <c r="K10" s="20"/>
      <c r="L10" s="21"/>
      <c r="M10" s="21"/>
      <c r="N10" s="21"/>
      <c r="O10" s="21"/>
      <c r="P10" s="22" t="str">
        <f aca="false">IFERROR(N10/O10,"")</f>
        <v/>
      </c>
      <c r="Q10" s="20" t="s">
        <v>42</v>
      </c>
      <c r="R10" s="20" t="s">
        <v>45</v>
      </c>
      <c r="S10" s="20" t="s">
        <v>145</v>
      </c>
      <c r="T10" s="20" t="s">
        <v>177</v>
      </c>
      <c r="U10" s="20" t="s">
        <v>147</v>
      </c>
      <c r="V10" s="19"/>
      <c r="W10" s="19" t="n">
        <v>46311</v>
      </c>
      <c r="X10" s="20" t="s">
        <v>38</v>
      </c>
      <c r="Y10" s="19"/>
      <c r="Z10" s="20"/>
      <c r="AA10" s="20"/>
      <c r="AB10" s="20" t="s">
        <v>161</v>
      </c>
      <c r="AC10" s="20"/>
      <c r="AD10" s="20"/>
      <c r="AE10" s="20"/>
      <c r="AF10" s="20"/>
      <c r="AG10" s="19" t="n">
        <v>46308</v>
      </c>
    </row>
    <row r="11" customFormat="false" ht="15" hidden="false" customHeight="false" outlineLevel="0" collapsed="false">
      <c r="A11" s="18" t="s">
        <v>178</v>
      </c>
      <c r="B11" s="19" t="n">
        <v>46301</v>
      </c>
      <c r="C11" s="20" t="s">
        <v>139</v>
      </c>
      <c r="D11" s="20" t="s">
        <v>140</v>
      </c>
      <c r="E11" s="20" t="s">
        <v>141</v>
      </c>
      <c r="F11" s="20" t="s">
        <v>179</v>
      </c>
      <c r="G11" s="20" t="s">
        <v>169</v>
      </c>
      <c r="H11" s="20" t="s">
        <v>180</v>
      </c>
      <c r="I11" s="20" t="s">
        <v>43</v>
      </c>
      <c r="J11" s="20"/>
      <c r="K11" s="20"/>
      <c r="L11" s="21"/>
      <c r="M11" s="21"/>
      <c r="N11" s="21"/>
      <c r="O11" s="21"/>
      <c r="P11" s="22" t="str">
        <f aca="false">IFERROR(N11/O11,"")</f>
        <v/>
      </c>
      <c r="Q11" s="20" t="s">
        <v>45</v>
      </c>
      <c r="R11" s="20" t="s">
        <v>45</v>
      </c>
      <c r="S11" s="20" t="s">
        <v>145</v>
      </c>
      <c r="T11" s="20" t="s">
        <v>181</v>
      </c>
      <c r="U11" s="20" t="s">
        <v>147</v>
      </c>
      <c r="V11" s="19"/>
      <c r="W11" s="19" t="n">
        <v>46311</v>
      </c>
      <c r="X11" s="20" t="s">
        <v>38</v>
      </c>
      <c r="Y11" s="19"/>
      <c r="Z11" s="20"/>
      <c r="AA11" s="20"/>
      <c r="AB11" s="20" t="s">
        <v>182</v>
      </c>
      <c r="AC11" s="20"/>
      <c r="AD11" s="20"/>
      <c r="AE11" s="20"/>
      <c r="AF11" s="20"/>
      <c r="AG11" s="19" t="n">
        <v>46308</v>
      </c>
    </row>
    <row r="12" customFormat="false" ht="15" hidden="false" customHeight="false" outlineLevel="0" collapsed="false">
      <c r="A12" s="18" t="s">
        <v>183</v>
      </c>
      <c r="B12" s="19" t="n">
        <v>46301</v>
      </c>
      <c r="C12" s="20" t="s">
        <v>139</v>
      </c>
      <c r="D12" s="20" t="s">
        <v>140</v>
      </c>
      <c r="E12" s="20" t="s">
        <v>141</v>
      </c>
      <c r="F12" s="20" t="s">
        <v>184</v>
      </c>
      <c r="G12" s="20" t="s">
        <v>143</v>
      </c>
      <c r="H12" s="20" t="s">
        <v>185</v>
      </c>
      <c r="I12" s="20" t="s">
        <v>40</v>
      </c>
      <c r="J12" s="20"/>
      <c r="K12" s="20"/>
      <c r="L12" s="21"/>
      <c r="M12" s="21"/>
      <c r="N12" s="21"/>
      <c r="O12" s="21"/>
      <c r="P12" s="22" t="str">
        <f aca="false">IFERROR(N12/O12,"")</f>
        <v/>
      </c>
      <c r="Q12" s="20" t="s">
        <v>42</v>
      </c>
      <c r="R12" s="20" t="s">
        <v>45</v>
      </c>
      <c r="S12" s="20" t="s">
        <v>145</v>
      </c>
      <c r="T12" s="20" t="s">
        <v>186</v>
      </c>
      <c r="U12" s="20" t="s">
        <v>147</v>
      </c>
      <c r="V12" s="19"/>
      <c r="W12" s="19" t="n">
        <v>46314</v>
      </c>
      <c r="X12" s="20" t="s">
        <v>38</v>
      </c>
      <c r="Y12" s="19"/>
      <c r="Z12" s="20"/>
      <c r="AA12" s="20"/>
      <c r="AB12" s="20" t="s">
        <v>187</v>
      </c>
      <c r="AC12" s="20"/>
      <c r="AD12" s="20"/>
      <c r="AE12" s="20"/>
      <c r="AF12" s="20"/>
      <c r="AG12" s="19" t="n">
        <v>46308</v>
      </c>
    </row>
    <row r="13" customFormat="false" ht="23.85" hidden="false" customHeight="false" outlineLevel="0" collapsed="false">
      <c r="A13" s="18" t="s">
        <v>188</v>
      </c>
      <c r="B13" s="19" t="n">
        <v>46301</v>
      </c>
      <c r="C13" s="20" t="s">
        <v>139</v>
      </c>
      <c r="D13" s="20" t="s">
        <v>140</v>
      </c>
      <c r="E13" s="20" t="s">
        <v>141</v>
      </c>
      <c r="F13" s="20" t="s">
        <v>189</v>
      </c>
      <c r="G13" s="20" t="s">
        <v>157</v>
      </c>
      <c r="H13" s="20" t="s">
        <v>190</v>
      </c>
      <c r="I13" s="20" t="s">
        <v>67</v>
      </c>
      <c r="J13" s="20"/>
      <c r="K13" s="20"/>
      <c r="L13" s="21"/>
      <c r="M13" s="21"/>
      <c r="N13" s="21"/>
      <c r="O13" s="21"/>
      <c r="P13" s="22" t="str">
        <f aca="false">IFERROR(N13/O13,"")</f>
        <v/>
      </c>
      <c r="Q13" s="20" t="s">
        <v>42</v>
      </c>
      <c r="R13" s="20" t="s">
        <v>45</v>
      </c>
      <c r="S13" s="20" t="s">
        <v>159</v>
      </c>
      <c r="T13" s="20" t="s">
        <v>191</v>
      </c>
      <c r="U13" s="20" t="s">
        <v>147</v>
      </c>
      <c r="V13" s="19"/>
      <c r="W13" s="19" t="n">
        <v>46321</v>
      </c>
      <c r="X13" s="20" t="s">
        <v>38</v>
      </c>
      <c r="Y13" s="19"/>
      <c r="Z13" s="20"/>
      <c r="AA13" s="20"/>
      <c r="AB13" s="20" t="s">
        <v>192</v>
      </c>
      <c r="AC13" s="20"/>
      <c r="AD13" s="20"/>
      <c r="AE13" s="20"/>
      <c r="AF13" s="20"/>
      <c r="AG13" s="19" t="n">
        <v>46308</v>
      </c>
    </row>
    <row r="14" customFormat="false" ht="15" hidden="false" customHeight="false" outlineLevel="0" collapsed="false">
      <c r="A14" s="18" t="s">
        <v>193</v>
      </c>
      <c r="B14" s="19" t="n">
        <v>46301</v>
      </c>
      <c r="C14" s="20" t="s">
        <v>139</v>
      </c>
      <c r="D14" s="20" t="s">
        <v>140</v>
      </c>
      <c r="E14" s="20" t="s">
        <v>141</v>
      </c>
      <c r="F14" s="20" t="s">
        <v>194</v>
      </c>
      <c r="G14" s="20" t="s">
        <v>195</v>
      </c>
      <c r="H14" s="20" t="s">
        <v>196</v>
      </c>
      <c r="I14" s="20" t="s">
        <v>53</v>
      </c>
      <c r="J14" s="20"/>
      <c r="K14" s="20"/>
      <c r="L14" s="21"/>
      <c r="M14" s="21"/>
      <c r="N14" s="21"/>
      <c r="O14" s="21"/>
      <c r="P14" s="22" t="str">
        <f aca="false">IFERROR(N14/O14,"")</f>
        <v/>
      </c>
      <c r="Q14" s="20" t="s">
        <v>45</v>
      </c>
      <c r="R14" s="20" t="s">
        <v>45</v>
      </c>
      <c r="S14" s="20" t="s">
        <v>159</v>
      </c>
      <c r="T14" s="20" t="s">
        <v>197</v>
      </c>
      <c r="U14" s="20" t="s">
        <v>147</v>
      </c>
      <c r="V14" s="19"/>
      <c r="W14" s="19" t="n">
        <v>46328</v>
      </c>
      <c r="X14" s="20" t="s">
        <v>38</v>
      </c>
      <c r="Y14" s="19"/>
      <c r="Z14" s="20"/>
      <c r="AA14" s="20"/>
      <c r="AB14" s="20" t="s">
        <v>198</v>
      </c>
      <c r="AC14" s="20"/>
      <c r="AD14" s="20"/>
      <c r="AE14" s="20"/>
      <c r="AF14" s="20"/>
      <c r="AG14" s="19" t="n">
        <v>46308</v>
      </c>
    </row>
    <row r="15" customFormat="false" ht="15" hidden="false" customHeight="false" outlineLevel="0" collapsed="false">
      <c r="A15" s="18" t="s">
        <v>199</v>
      </c>
      <c r="B15" s="19" t="n">
        <v>46301</v>
      </c>
      <c r="C15" s="20" t="s">
        <v>139</v>
      </c>
      <c r="D15" s="20" t="s">
        <v>140</v>
      </c>
      <c r="E15" s="20" t="s">
        <v>141</v>
      </c>
      <c r="F15" s="20" t="s">
        <v>143</v>
      </c>
      <c r="G15" s="20" t="s">
        <v>143</v>
      </c>
      <c r="H15" s="20" t="s">
        <v>200</v>
      </c>
      <c r="I15" s="20" t="s">
        <v>67</v>
      </c>
      <c r="J15" s="20"/>
      <c r="K15" s="20"/>
      <c r="L15" s="21"/>
      <c r="M15" s="21"/>
      <c r="N15" s="21"/>
      <c r="O15" s="21"/>
      <c r="P15" s="22" t="str">
        <f aca="false">IFERROR(N15/O15,"")</f>
        <v/>
      </c>
      <c r="Q15" s="20" t="s">
        <v>45</v>
      </c>
      <c r="R15" s="20" t="s">
        <v>48</v>
      </c>
      <c r="S15" s="20" t="s">
        <v>159</v>
      </c>
      <c r="T15" s="20" t="s">
        <v>201</v>
      </c>
      <c r="U15" s="20" t="s">
        <v>147</v>
      </c>
      <c r="V15" s="19"/>
      <c r="W15" s="19" t="n">
        <v>46335</v>
      </c>
      <c r="X15" s="20" t="s">
        <v>38</v>
      </c>
      <c r="Y15" s="19"/>
      <c r="Z15" s="20"/>
      <c r="AA15" s="20"/>
      <c r="AB15" s="20" t="s">
        <v>202</v>
      </c>
      <c r="AC15" s="20"/>
      <c r="AD15" s="20"/>
      <c r="AE15" s="20"/>
      <c r="AF15" s="20"/>
      <c r="AG15" s="19" t="n">
        <v>46308</v>
      </c>
    </row>
    <row r="16" customFormat="false" ht="15" hidden="false" customHeight="false" outlineLevel="0" collapsed="false">
      <c r="A16" s="18" t="s">
        <v>203</v>
      </c>
      <c r="B16" s="19" t="n">
        <v>46301</v>
      </c>
      <c r="C16" s="20" t="s">
        <v>139</v>
      </c>
      <c r="D16" s="20" t="s">
        <v>140</v>
      </c>
      <c r="E16" s="20" t="s">
        <v>141</v>
      </c>
      <c r="F16" s="20" t="s">
        <v>143</v>
      </c>
      <c r="G16" s="20" t="s">
        <v>143</v>
      </c>
      <c r="H16" s="20" t="s">
        <v>204</v>
      </c>
      <c r="I16" s="20" t="s">
        <v>40</v>
      </c>
      <c r="J16" s="20"/>
      <c r="K16" s="20"/>
      <c r="L16" s="21"/>
      <c r="M16" s="21"/>
      <c r="N16" s="21"/>
      <c r="O16" s="21"/>
      <c r="P16" s="22" t="str">
        <f aca="false">IFERROR(N16/O16,"")</f>
        <v/>
      </c>
      <c r="Q16" s="20" t="s">
        <v>48</v>
      </c>
      <c r="R16" s="20" t="s">
        <v>48</v>
      </c>
      <c r="S16" s="20" t="s">
        <v>145</v>
      </c>
      <c r="T16" s="20" t="s">
        <v>205</v>
      </c>
      <c r="U16" s="20" t="s">
        <v>147</v>
      </c>
      <c r="V16" s="19"/>
      <c r="W16" s="19" t="n">
        <v>46335</v>
      </c>
      <c r="X16" s="20" t="s">
        <v>38</v>
      </c>
      <c r="Y16" s="19"/>
      <c r="Z16" s="20"/>
      <c r="AA16" s="20"/>
      <c r="AB16" s="20"/>
      <c r="AC16" s="20"/>
      <c r="AD16" s="20"/>
      <c r="AE16" s="20"/>
      <c r="AF16" s="20"/>
      <c r="AG16" s="19" t="n">
        <v>46308</v>
      </c>
    </row>
    <row r="17" customFormat="false" ht="23.85" hidden="false" customHeight="false" outlineLevel="0" collapsed="false">
      <c r="A17" s="18" t="s">
        <v>206</v>
      </c>
      <c r="B17" s="19" t="n">
        <v>46301</v>
      </c>
      <c r="C17" s="20" t="s">
        <v>139</v>
      </c>
      <c r="D17" s="20" t="s">
        <v>140</v>
      </c>
      <c r="E17" s="20" t="s">
        <v>141</v>
      </c>
      <c r="F17" s="20" t="s">
        <v>207</v>
      </c>
      <c r="G17" s="20" t="s">
        <v>143</v>
      </c>
      <c r="H17" s="20" t="s">
        <v>208</v>
      </c>
      <c r="I17" s="20" t="s">
        <v>46</v>
      </c>
      <c r="J17" s="20"/>
      <c r="K17" s="20"/>
      <c r="L17" s="21"/>
      <c r="M17" s="21"/>
      <c r="N17" s="21"/>
      <c r="O17" s="21"/>
      <c r="P17" s="22" t="str">
        <f aca="false">IFERROR(N17/O17,"")</f>
        <v/>
      </c>
      <c r="Q17" s="20" t="s">
        <v>39</v>
      </c>
      <c r="R17" s="20" t="s">
        <v>42</v>
      </c>
      <c r="S17" s="20" t="s">
        <v>145</v>
      </c>
      <c r="T17" s="20" t="s">
        <v>209</v>
      </c>
      <c r="U17" s="20" t="s">
        <v>210</v>
      </c>
      <c r="V17" s="19"/>
      <c r="W17" s="19" t="n">
        <v>46311</v>
      </c>
      <c r="X17" s="20" t="s">
        <v>38</v>
      </c>
      <c r="Y17" s="19"/>
      <c r="Z17" s="20"/>
      <c r="AA17" s="20"/>
      <c r="AB17" s="20" t="s">
        <v>211</v>
      </c>
      <c r="AC17" s="20"/>
      <c r="AD17" s="20"/>
      <c r="AE17" s="20"/>
      <c r="AF17" s="20"/>
      <c r="AG17" s="19" t="n">
        <v>46308</v>
      </c>
    </row>
    <row r="18" customFormat="false" ht="35.05" hidden="false" customHeight="false" outlineLevel="0" collapsed="false">
      <c r="A18" s="18" t="s">
        <v>212</v>
      </c>
      <c r="B18" s="19" t="n">
        <v>46301</v>
      </c>
      <c r="C18" s="20" t="s">
        <v>139</v>
      </c>
      <c r="D18" s="20" t="s">
        <v>140</v>
      </c>
      <c r="E18" s="20" t="s">
        <v>141</v>
      </c>
      <c r="F18" s="20" t="s">
        <v>213</v>
      </c>
      <c r="G18" s="20" t="s">
        <v>143</v>
      </c>
      <c r="H18" s="20" t="s">
        <v>214</v>
      </c>
      <c r="I18" s="20" t="s">
        <v>49</v>
      </c>
      <c r="J18" s="20"/>
      <c r="K18" s="20"/>
      <c r="L18" s="21"/>
      <c r="M18" s="21"/>
      <c r="N18" s="21"/>
      <c r="O18" s="21"/>
      <c r="P18" s="22" t="str">
        <f aca="false">IFERROR(N18/O18,"")</f>
        <v/>
      </c>
      <c r="Q18" s="20" t="s">
        <v>42</v>
      </c>
      <c r="R18" s="20" t="s">
        <v>42</v>
      </c>
      <c r="S18" s="20" t="s">
        <v>145</v>
      </c>
      <c r="T18" s="20" t="s">
        <v>215</v>
      </c>
      <c r="U18" s="20" t="s">
        <v>216</v>
      </c>
      <c r="V18" s="19"/>
      <c r="W18" s="19" t="n">
        <v>46311</v>
      </c>
      <c r="X18" s="20" t="s">
        <v>38</v>
      </c>
      <c r="Y18" s="19"/>
      <c r="Z18" s="20"/>
      <c r="AA18" s="20"/>
      <c r="AB18" s="20" t="s">
        <v>217</v>
      </c>
      <c r="AC18" s="20"/>
      <c r="AD18" s="20"/>
      <c r="AE18" s="20"/>
      <c r="AF18" s="20"/>
      <c r="AG18" s="19" t="n">
        <v>46308</v>
      </c>
    </row>
    <row r="19" customFormat="false" ht="15" hidden="false" customHeight="false" outlineLevel="0" collapsed="false">
      <c r="A19" s="18" t="s">
        <v>218</v>
      </c>
      <c r="B19" s="19" t="n">
        <v>46301</v>
      </c>
      <c r="C19" s="20" t="s">
        <v>139</v>
      </c>
      <c r="D19" s="20" t="s">
        <v>140</v>
      </c>
      <c r="E19" s="20" t="s">
        <v>141</v>
      </c>
      <c r="F19" s="20" t="s">
        <v>219</v>
      </c>
      <c r="G19" s="20" t="s">
        <v>157</v>
      </c>
      <c r="H19" s="20" t="s">
        <v>220</v>
      </c>
      <c r="I19" s="20" t="s">
        <v>46</v>
      </c>
      <c r="J19" s="20"/>
      <c r="K19" s="20"/>
      <c r="L19" s="21"/>
      <c r="M19" s="21"/>
      <c r="N19" s="21"/>
      <c r="O19" s="21"/>
      <c r="P19" s="22" t="str">
        <f aca="false">IFERROR(N19/O19,"")</f>
        <v/>
      </c>
      <c r="Q19" s="20" t="s">
        <v>39</v>
      </c>
      <c r="R19" s="20" t="s">
        <v>42</v>
      </c>
      <c r="S19" s="20" t="s">
        <v>145</v>
      </c>
      <c r="T19" s="20" t="s">
        <v>221</v>
      </c>
      <c r="U19" s="20" t="s">
        <v>147</v>
      </c>
      <c r="V19" s="19"/>
      <c r="W19" s="19" t="n">
        <v>46311</v>
      </c>
      <c r="X19" s="20" t="s">
        <v>38</v>
      </c>
      <c r="Y19" s="19"/>
      <c r="Z19" s="20"/>
      <c r="AA19" s="20"/>
      <c r="AB19" s="20" t="s">
        <v>222</v>
      </c>
      <c r="AC19" s="20"/>
      <c r="AD19" s="20"/>
      <c r="AE19" s="20"/>
      <c r="AF19" s="20"/>
      <c r="AG19" s="19" t="n">
        <v>46308</v>
      </c>
    </row>
    <row r="20" customFormat="false" ht="23.85" hidden="false" customHeight="false" outlineLevel="0" collapsed="false">
      <c r="A20" s="18" t="s">
        <v>223</v>
      </c>
      <c r="B20" s="19" t="n">
        <v>46301</v>
      </c>
      <c r="C20" s="20" t="s">
        <v>139</v>
      </c>
      <c r="D20" s="20" t="s">
        <v>140</v>
      </c>
      <c r="E20" s="20" t="s">
        <v>141</v>
      </c>
      <c r="F20" s="20" t="s">
        <v>224</v>
      </c>
      <c r="G20" s="20" t="s">
        <v>195</v>
      </c>
      <c r="H20" s="20" t="s">
        <v>225</v>
      </c>
      <c r="I20" s="20" t="s">
        <v>40</v>
      </c>
      <c r="J20" s="20"/>
      <c r="K20" s="20"/>
      <c r="L20" s="21"/>
      <c r="M20" s="21"/>
      <c r="N20" s="21"/>
      <c r="O20" s="21"/>
      <c r="P20" s="22" t="str">
        <f aca="false">IFERROR(N20/O20,"")</f>
        <v/>
      </c>
      <c r="Q20" s="20" t="s">
        <v>42</v>
      </c>
      <c r="R20" s="20" t="s">
        <v>45</v>
      </c>
      <c r="S20" s="20" t="s">
        <v>159</v>
      </c>
      <c r="T20" s="20" t="s">
        <v>226</v>
      </c>
      <c r="U20" s="20" t="s">
        <v>147</v>
      </c>
      <c r="V20" s="19"/>
      <c r="W20" s="19" t="n">
        <v>46314</v>
      </c>
      <c r="X20" s="20" t="s">
        <v>38</v>
      </c>
      <c r="Y20" s="19"/>
      <c r="Z20" s="20"/>
      <c r="AA20" s="20"/>
      <c r="AB20" s="20" t="s">
        <v>227</v>
      </c>
      <c r="AC20" s="20"/>
      <c r="AD20" s="20"/>
      <c r="AE20" s="20"/>
      <c r="AF20" s="20"/>
      <c r="AG20" s="19" t="n">
        <v>46308</v>
      </c>
    </row>
    <row r="21" customFormat="false" ht="15" hidden="false" customHeight="false" outlineLevel="0" collapsed="false">
      <c r="A21" s="18" t="s">
        <v>228</v>
      </c>
      <c r="B21" s="19" t="n">
        <v>46301</v>
      </c>
      <c r="C21" s="20" t="s">
        <v>139</v>
      </c>
      <c r="D21" s="20" t="s">
        <v>140</v>
      </c>
      <c r="E21" s="20" t="s">
        <v>141</v>
      </c>
      <c r="F21" s="20" t="s">
        <v>219</v>
      </c>
      <c r="G21" s="20" t="s">
        <v>157</v>
      </c>
      <c r="H21" s="20" t="s">
        <v>229</v>
      </c>
      <c r="I21" s="20" t="s">
        <v>40</v>
      </c>
      <c r="J21" s="20"/>
      <c r="K21" s="20"/>
      <c r="L21" s="21"/>
      <c r="M21" s="21"/>
      <c r="N21" s="21"/>
      <c r="O21" s="21"/>
      <c r="P21" s="22" t="str">
        <f aca="false">IFERROR(N21/O21,"")</f>
        <v/>
      </c>
      <c r="Q21" s="20" t="s">
        <v>39</v>
      </c>
      <c r="R21" s="20" t="s">
        <v>45</v>
      </c>
      <c r="S21" s="20" t="s">
        <v>145</v>
      </c>
      <c r="T21" s="20" t="s">
        <v>230</v>
      </c>
      <c r="U21" s="20" t="s">
        <v>147</v>
      </c>
      <c r="V21" s="19"/>
      <c r="W21" s="19" t="n">
        <v>46304</v>
      </c>
      <c r="X21" s="20" t="s">
        <v>38</v>
      </c>
      <c r="Y21" s="19"/>
      <c r="Z21" s="20"/>
      <c r="AA21" s="20"/>
      <c r="AB21" s="20" t="s">
        <v>231</v>
      </c>
      <c r="AC21" s="20"/>
      <c r="AD21" s="20"/>
      <c r="AE21" s="20"/>
      <c r="AF21" s="20"/>
      <c r="AG21" s="19" t="n">
        <v>46308</v>
      </c>
    </row>
    <row r="22" customFormat="false" ht="15" hidden="false" customHeight="false" outlineLevel="0" collapsed="false">
      <c r="A22" s="18" t="s">
        <v>232</v>
      </c>
      <c r="B22" s="19" t="n">
        <v>46301</v>
      </c>
      <c r="C22" s="20" t="s">
        <v>139</v>
      </c>
      <c r="D22" s="20" t="s">
        <v>140</v>
      </c>
      <c r="E22" s="20" t="s">
        <v>141</v>
      </c>
      <c r="F22" s="20" t="s">
        <v>233</v>
      </c>
      <c r="G22" s="20" t="s">
        <v>234</v>
      </c>
      <c r="H22" s="20" t="s">
        <v>235</v>
      </c>
      <c r="I22" s="20" t="s">
        <v>49</v>
      </c>
      <c r="J22" s="20"/>
      <c r="K22" s="20"/>
      <c r="L22" s="21"/>
      <c r="M22" s="21"/>
      <c r="N22" s="21"/>
      <c r="O22" s="21"/>
      <c r="P22" s="22" t="str">
        <f aca="false">IFERROR(N22/O22,"")</f>
        <v/>
      </c>
      <c r="Q22" s="20" t="s">
        <v>42</v>
      </c>
      <c r="R22" s="20" t="s">
        <v>45</v>
      </c>
      <c r="S22" s="20" t="s">
        <v>145</v>
      </c>
      <c r="T22" s="20" t="s">
        <v>236</v>
      </c>
      <c r="U22" s="20" t="s">
        <v>216</v>
      </c>
      <c r="V22" s="19"/>
      <c r="W22" s="19" t="n">
        <v>46318</v>
      </c>
      <c r="X22" s="20" t="s">
        <v>38</v>
      </c>
      <c r="Y22" s="19"/>
      <c r="Z22" s="20"/>
      <c r="AA22" s="20"/>
      <c r="AB22" s="20" t="s">
        <v>237</v>
      </c>
      <c r="AC22" s="20"/>
      <c r="AD22" s="20"/>
      <c r="AE22" s="20"/>
      <c r="AF22" s="20"/>
      <c r="AG22" s="19" t="n">
        <v>46308</v>
      </c>
    </row>
    <row r="23" customFormat="false" ht="15" hidden="false" customHeight="false" outlineLevel="0" collapsed="false">
      <c r="A23" s="18" t="s">
        <v>238</v>
      </c>
      <c r="B23" s="19" t="n">
        <v>46301</v>
      </c>
      <c r="C23" s="20" t="s">
        <v>139</v>
      </c>
      <c r="D23" s="20" t="s">
        <v>140</v>
      </c>
      <c r="E23" s="20" t="s">
        <v>141</v>
      </c>
      <c r="F23" s="20" t="s">
        <v>239</v>
      </c>
      <c r="G23" s="20" t="s">
        <v>234</v>
      </c>
      <c r="H23" s="20" t="s">
        <v>240</v>
      </c>
      <c r="I23" s="20" t="s">
        <v>49</v>
      </c>
      <c r="J23" s="20"/>
      <c r="K23" s="20"/>
      <c r="L23" s="21"/>
      <c r="M23" s="21"/>
      <c r="N23" s="21"/>
      <c r="O23" s="21"/>
      <c r="P23" s="22" t="str">
        <f aca="false">IFERROR(N23/O23,"")</f>
        <v/>
      </c>
      <c r="Q23" s="20" t="s">
        <v>42</v>
      </c>
      <c r="R23" s="20" t="s">
        <v>45</v>
      </c>
      <c r="S23" s="20" t="s">
        <v>145</v>
      </c>
      <c r="T23" s="20" t="s">
        <v>241</v>
      </c>
      <c r="U23" s="20" t="s">
        <v>216</v>
      </c>
      <c r="V23" s="19"/>
      <c r="W23" s="19" t="n">
        <v>46318</v>
      </c>
      <c r="X23" s="20" t="s">
        <v>38</v>
      </c>
      <c r="Y23" s="19"/>
      <c r="Z23" s="20"/>
      <c r="AA23" s="20"/>
      <c r="AB23" s="20"/>
      <c r="AC23" s="20"/>
      <c r="AD23" s="20"/>
      <c r="AE23" s="20"/>
      <c r="AF23" s="20"/>
      <c r="AG23" s="19" t="n">
        <v>46308</v>
      </c>
    </row>
    <row r="24" customFormat="false" ht="15" hidden="false" customHeight="false" outlineLevel="0" collapsed="false">
      <c r="A24" s="18" t="s">
        <v>242</v>
      </c>
      <c r="B24" s="19" t="n">
        <v>46301</v>
      </c>
      <c r="C24" s="20" t="s">
        <v>139</v>
      </c>
      <c r="D24" s="20" t="s">
        <v>140</v>
      </c>
      <c r="E24" s="20" t="s">
        <v>141</v>
      </c>
      <c r="F24" s="20" t="s">
        <v>243</v>
      </c>
      <c r="G24" s="20" t="s">
        <v>234</v>
      </c>
      <c r="H24" s="20" t="s">
        <v>244</v>
      </c>
      <c r="I24" s="20" t="s">
        <v>49</v>
      </c>
      <c r="J24" s="20"/>
      <c r="K24" s="20"/>
      <c r="L24" s="21"/>
      <c r="M24" s="21"/>
      <c r="N24" s="21"/>
      <c r="O24" s="21"/>
      <c r="P24" s="22" t="str">
        <f aca="false">IFERROR(N24/O24,"")</f>
        <v/>
      </c>
      <c r="Q24" s="20" t="s">
        <v>42</v>
      </c>
      <c r="R24" s="20" t="s">
        <v>45</v>
      </c>
      <c r="S24" s="20" t="s">
        <v>145</v>
      </c>
      <c r="T24" s="20" t="s">
        <v>245</v>
      </c>
      <c r="U24" s="20" t="s">
        <v>216</v>
      </c>
      <c r="V24" s="19"/>
      <c r="W24" s="19" t="n">
        <v>46318</v>
      </c>
      <c r="X24" s="20" t="s">
        <v>38</v>
      </c>
      <c r="Y24" s="19"/>
      <c r="Z24" s="20"/>
      <c r="AA24" s="20"/>
      <c r="AB24" s="20" t="s">
        <v>246</v>
      </c>
      <c r="AC24" s="20"/>
      <c r="AD24" s="20"/>
      <c r="AE24" s="20"/>
      <c r="AF24" s="20"/>
      <c r="AG24" s="19" t="n">
        <v>46308</v>
      </c>
    </row>
    <row r="25" customFormat="false" ht="23.85" hidden="false" customHeight="false" outlineLevel="0" collapsed="false">
      <c r="A25" s="18" t="s">
        <v>247</v>
      </c>
      <c r="B25" s="19" t="n">
        <v>46301</v>
      </c>
      <c r="C25" s="20" t="s">
        <v>248</v>
      </c>
      <c r="D25" s="20" t="s">
        <v>248</v>
      </c>
      <c r="E25" s="20" t="s">
        <v>141</v>
      </c>
      <c r="F25" s="20" t="s">
        <v>249</v>
      </c>
      <c r="G25" s="20" t="s">
        <v>157</v>
      </c>
      <c r="H25" s="20" t="s">
        <v>250</v>
      </c>
      <c r="I25" s="20" t="s">
        <v>49</v>
      </c>
      <c r="J25" s="20"/>
      <c r="K25" s="20"/>
      <c r="L25" s="21"/>
      <c r="M25" s="21"/>
      <c r="N25" s="21"/>
      <c r="O25" s="21"/>
      <c r="P25" s="22" t="str">
        <f aca="false">IFERROR(N25/O25,"")</f>
        <v/>
      </c>
      <c r="Q25" s="20" t="s">
        <v>45</v>
      </c>
      <c r="R25" s="20" t="s">
        <v>45</v>
      </c>
      <c r="S25" s="20" t="s">
        <v>145</v>
      </c>
      <c r="T25" s="20" t="s">
        <v>251</v>
      </c>
      <c r="U25" s="20" t="s">
        <v>216</v>
      </c>
      <c r="V25" s="19"/>
      <c r="W25" s="19" t="n">
        <v>46318</v>
      </c>
      <c r="X25" s="20" t="s">
        <v>38</v>
      </c>
      <c r="Y25" s="19"/>
      <c r="Z25" s="20"/>
      <c r="AA25" s="20"/>
      <c r="AB25" s="20" t="s">
        <v>252</v>
      </c>
      <c r="AC25" s="20"/>
      <c r="AD25" s="20"/>
      <c r="AE25" s="20"/>
      <c r="AF25" s="20"/>
      <c r="AG25" s="19" t="n">
        <v>46308</v>
      </c>
    </row>
    <row r="26" customFormat="false" ht="15" hidden="false" customHeight="false" outlineLevel="0" collapsed="false">
      <c r="A26" s="18" t="s">
        <v>253</v>
      </c>
      <c r="B26" s="19" t="n">
        <v>46301</v>
      </c>
      <c r="C26" s="20" t="s">
        <v>139</v>
      </c>
      <c r="D26" s="20" t="s">
        <v>140</v>
      </c>
      <c r="E26" s="20" t="s">
        <v>141</v>
      </c>
      <c r="F26" s="20" t="s">
        <v>254</v>
      </c>
      <c r="G26" s="20" t="s">
        <v>143</v>
      </c>
      <c r="H26" s="20" t="s">
        <v>255</v>
      </c>
      <c r="I26" s="20" t="s">
        <v>49</v>
      </c>
      <c r="J26" s="20"/>
      <c r="K26" s="20"/>
      <c r="L26" s="21"/>
      <c r="M26" s="21"/>
      <c r="N26" s="21"/>
      <c r="O26" s="21"/>
      <c r="P26" s="22" t="str">
        <f aca="false">IFERROR(N26/O26,"")</f>
        <v/>
      </c>
      <c r="Q26" s="20" t="s">
        <v>48</v>
      </c>
      <c r="R26" s="20" t="s">
        <v>48</v>
      </c>
      <c r="S26" s="20" t="s">
        <v>145</v>
      </c>
      <c r="T26" s="20" t="s">
        <v>256</v>
      </c>
      <c r="U26" s="20" t="s">
        <v>147</v>
      </c>
      <c r="V26" s="19"/>
      <c r="W26" s="19" t="n">
        <v>46318</v>
      </c>
      <c r="X26" s="20" t="s">
        <v>38</v>
      </c>
      <c r="Y26" s="19"/>
      <c r="Z26" s="20"/>
      <c r="AA26" s="20"/>
      <c r="AB26" s="20"/>
      <c r="AC26" s="20"/>
      <c r="AD26" s="20"/>
      <c r="AE26" s="20"/>
      <c r="AF26" s="20"/>
      <c r="AG26" s="19" t="n">
        <v>46308</v>
      </c>
    </row>
    <row r="27" customFormat="false" ht="15" hidden="false" customHeight="false" outlineLevel="0" collapsed="false">
      <c r="A27" s="18" t="s">
        <v>257</v>
      </c>
      <c r="B27" s="19" t="n">
        <v>46301</v>
      </c>
      <c r="C27" s="20" t="s">
        <v>139</v>
      </c>
      <c r="D27" s="20" t="s">
        <v>140</v>
      </c>
      <c r="E27" s="20" t="s">
        <v>141</v>
      </c>
      <c r="F27" s="20" t="s">
        <v>143</v>
      </c>
      <c r="G27" s="20" t="s">
        <v>143</v>
      </c>
      <c r="H27" s="20" t="s">
        <v>258</v>
      </c>
      <c r="I27" s="20" t="s">
        <v>40</v>
      </c>
      <c r="J27" s="20"/>
      <c r="K27" s="20"/>
      <c r="L27" s="21"/>
      <c r="M27" s="21"/>
      <c r="N27" s="21"/>
      <c r="O27" s="21"/>
      <c r="P27" s="22" t="str">
        <f aca="false">IFERROR(N27/O27,"")</f>
        <v/>
      </c>
      <c r="Q27" s="20" t="s">
        <v>45</v>
      </c>
      <c r="R27" s="20" t="s">
        <v>45</v>
      </c>
      <c r="S27" s="20" t="s">
        <v>145</v>
      </c>
      <c r="T27" s="20" t="s">
        <v>259</v>
      </c>
      <c r="U27" s="20" t="s">
        <v>147</v>
      </c>
      <c r="V27" s="19"/>
      <c r="W27" s="19" t="n">
        <v>46314</v>
      </c>
      <c r="X27" s="20" t="s">
        <v>38</v>
      </c>
      <c r="Y27" s="19"/>
      <c r="Z27" s="20"/>
      <c r="AA27" s="20"/>
      <c r="AB27" s="20"/>
      <c r="AC27" s="20"/>
      <c r="AD27" s="20"/>
      <c r="AE27" s="20"/>
      <c r="AF27" s="20" t="s">
        <v>260</v>
      </c>
      <c r="AG27" s="19" t="n">
        <v>46308</v>
      </c>
    </row>
    <row r="28" customFormat="false" ht="23.85" hidden="false" customHeight="false" outlineLevel="0" collapsed="false">
      <c r="A28" s="18" t="s">
        <v>261</v>
      </c>
      <c r="B28" s="19" t="n">
        <v>46301</v>
      </c>
      <c r="C28" s="20" t="s">
        <v>139</v>
      </c>
      <c r="D28" s="20" t="s">
        <v>140</v>
      </c>
      <c r="E28" s="20" t="s">
        <v>141</v>
      </c>
      <c r="F28" s="20" t="s">
        <v>143</v>
      </c>
      <c r="G28" s="20" t="s">
        <v>143</v>
      </c>
      <c r="H28" s="20" t="s">
        <v>262</v>
      </c>
      <c r="I28" s="20" t="s">
        <v>51</v>
      </c>
      <c r="J28" s="20"/>
      <c r="K28" s="20"/>
      <c r="L28" s="21"/>
      <c r="M28" s="21"/>
      <c r="N28" s="21"/>
      <c r="O28" s="21"/>
      <c r="P28" s="22" t="str">
        <f aca="false">IFERROR(N28/O28,"")</f>
        <v/>
      </c>
      <c r="Q28" s="20" t="s">
        <v>42</v>
      </c>
      <c r="R28" s="20" t="s">
        <v>42</v>
      </c>
      <c r="S28" s="20" t="s">
        <v>145</v>
      </c>
      <c r="T28" s="20" t="s">
        <v>263</v>
      </c>
      <c r="U28" s="20" t="s">
        <v>264</v>
      </c>
      <c r="V28" s="19"/>
      <c r="W28" s="19" t="n">
        <v>46311</v>
      </c>
      <c r="X28" s="20" t="s">
        <v>38</v>
      </c>
      <c r="Y28" s="19"/>
      <c r="Z28" s="20"/>
      <c r="AA28" s="20"/>
      <c r="AB28" s="20" t="s">
        <v>265</v>
      </c>
      <c r="AC28" s="20"/>
      <c r="AD28" s="20"/>
      <c r="AE28" s="20"/>
      <c r="AF28" s="20"/>
      <c r="AG28" s="19" t="n">
        <v>46308</v>
      </c>
    </row>
    <row r="29" customFormat="false" ht="23.85" hidden="false" customHeight="false" outlineLevel="0" collapsed="false">
      <c r="A29" s="18" t="s">
        <v>266</v>
      </c>
      <c r="B29" s="19" t="n">
        <v>46301</v>
      </c>
      <c r="C29" s="20" t="s">
        <v>139</v>
      </c>
      <c r="D29" s="20" t="s">
        <v>140</v>
      </c>
      <c r="E29" s="20" t="s">
        <v>141</v>
      </c>
      <c r="F29" s="20" t="s">
        <v>267</v>
      </c>
      <c r="G29" s="20" t="s">
        <v>234</v>
      </c>
      <c r="H29" s="20" t="s">
        <v>268</v>
      </c>
      <c r="I29" s="20" t="s">
        <v>51</v>
      </c>
      <c r="J29" s="20"/>
      <c r="K29" s="20"/>
      <c r="L29" s="21"/>
      <c r="M29" s="21"/>
      <c r="N29" s="21"/>
      <c r="O29" s="21"/>
      <c r="P29" s="22" t="str">
        <f aca="false">IFERROR(N29/O29,"")</f>
        <v/>
      </c>
      <c r="Q29" s="20" t="s">
        <v>42</v>
      </c>
      <c r="R29" s="20" t="s">
        <v>45</v>
      </c>
      <c r="S29" s="20" t="s">
        <v>159</v>
      </c>
      <c r="T29" s="20" t="s">
        <v>269</v>
      </c>
      <c r="U29" s="20" t="s">
        <v>264</v>
      </c>
      <c r="V29" s="19"/>
      <c r="W29" s="19" t="n">
        <v>46321</v>
      </c>
      <c r="X29" s="20" t="s">
        <v>38</v>
      </c>
      <c r="Y29" s="19"/>
      <c r="Z29" s="20"/>
      <c r="AA29" s="20"/>
      <c r="AB29" s="20" t="s">
        <v>270</v>
      </c>
      <c r="AC29" s="20"/>
      <c r="AD29" s="20"/>
      <c r="AE29" s="20"/>
      <c r="AF29" s="20"/>
      <c r="AG29" s="19" t="n">
        <v>46308</v>
      </c>
    </row>
    <row r="30" customFormat="false" ht="15" hidden="false" customHeight="false" outlineLevel="0" collapsed="false">
      <c r="A30" s="18" t="s">
        <v>271</v>
      </c>
      <c r="B30" s="19" t="n">
        <v>46301</v>
      </c>
      <c r="C30" s="20" t="s">
        <v>139</v>
      </c>
      <c r="D30" s="20" t="s">
        <v>140</v>
      </c>
      <c r="E30" s="20" t="s">
        <v>141</v>
      </c>
      <c r="F30" s="20" t="s">
        <v>272</v>
      </c>
      <c r="G30" s="20" t="s">
        <v>234</v>
      </c>
      <c r="H30" s="20" t="s">
        <v>273</v>
      </c>
      <c r="I30" s="20" t="s">
        <v>51</v>
      </c>
      <c r="J30" s="20"/>
      <c r="K30" s="20"/>
      <c r="L30" s="21"/>
      <c r="M30" s="21"/>
      <c r="N30" s="21"/>
      <c r="O30" s="21"/>
      <c r="P30" s="22" t="str">
        <f aca="false">IFERROR(N30/O30,"")</f>
        <v/>
      </c>
      <c r="Q30" s="20" t="s">
        <v>42</v>
      </c>
      <c r="R30" s="20" t="s">
        <v>45</v>
      </c>
      <c r="S30" s="20" t="s">
        <v>159</v>
      </c>
      <c r="T30" s="20" t="s">
        <v>274</v>
      </c>
      <c r="U30" s="20" t="s">
        <v>147</v>
      </c>
      <c r="V30" s="19"/>
      <c r="W30" s="19" t="n">
        <v>46314</v>
      </c>
      <c r="X30" s="20" t="s">
        <v>38</v>
      </c>
      <c r="Y30" s="19"/>
      <c r="Z30" s="20"/>
      <c r="AA30" s="20"/>
      <c r="AB30" s="20" t="s">
        <v>275</v>
      </c>
      <c r="AC30" s="20"/>
      <c r="AD30" s="20"/>
      <c r="AE30" s="20"/>
      <c r="AF30" s="20"/>
      <c r="AG30" s="19" t="n">
        <v>46308</v>
      </c>
    </row>
    <row r="31" customFormat="false" ht="23.85" hidden="false" customHeight="false" outlineLevel="0" collapsed="false">
      <c r="A31" s="18" t="s">
        <v>276</v>
      </c>
      <c r="B31" s="19" t="n">
        <v>46301</v>
      </c>
      <c r="C31" s="20" t="s">
        <v>139</v>
      </c>
      <c r="D31" s="20" t="s">
        <v>140</v>
      </c>
      <c r="E31" s="20" t="s">
        <v>141</v>
      </c>
      <c r="F31" s="20" t="s">
        <v>277</v>
      </c>
      <c r="G31" s="20" t="s">
        <v>278</v>
      </c>
      <c r="H31" s="20" t="s">
        <v>279</v>
      </c>
      <c r="I31" s="20" t="s">
        <v>61</v>
      </c>
      <c r="J31" s="20"/>
      <c r="K31" s="20"/>
      <c r="L31" s="21"/>
      <c r="M31" s="21"/>
      <c r="N31" s="21"/>
      <c r="O31" s="21"/>
      <c r="P31" s="22" t="str">
        <f aca="false">IFERROR(N31/O31,"")</f>
        <v/>
      </c>
      <c r="Q31" s="20" t="s">
        <v>42</v>
      </c>
      <c r="R31" s="20" t="s">
        <v>42</v>
      </c>
      <c r="S31" s="20" t="s">
        <v>159</v>
      </c>
      <c r="T31" s="20" t="s">
        <v>280</v>
      </c>
      <c r="U31" s="20" t="s">
        <v>281</v>
      </c>
      <c r="V31" s="19"/>
      <c r="W31" s="19" t="n">
        <v>46325</v>
      </c>
      <c r="X31" s="20" t="s">
        <v>38</v>
      </c>
      <c r="Y31" s="19"/>
      <c r="Z31" s="20"/>
      <c r="AA31" s="20"/>
      <c r="AB31" s="20" t="s">
        <v>282</v>
      </c>
      <c r="AC31" s="20"/>
      <c r="AD31" s="20"/>
      <c r="AE31" s="20"/>
      <c r="AF31" s="20"/>
      <c r="AG31" s="19" t="n">
        <v>46308</v>
      </c>
    </row>
    <row r="32" customFormat="false" ht="23.85" hidden="false" customHeight="false" outlineLevel="0" collapsed="false">
      <c r="A32" s="18" t="s">
        <v>283</v>
      </c>
      <c r="B32" s="19" t="n">
        <v>46301</v>
      </c>
      <c r="C32" s="20" t="s">
        <v>284</v>
      </c>
      <c r="D32" s="20" t="s">
        <v>285</v>
      </c>
      <c r="E32" s="20" t="s">
        <v>141</v>
      </c>
      <c r="F32" s="20" t="s">
        <v>286</v>
      </c>
      <c r="G32" s="20" t="s">
        <v>157</v>
      </c>
      <c r="H32" s="20" t="s">
        <v>287</v>
      </c>
      <c r="I32" s="20" t="s">
        <v>55</v>
      </c>
      <c r="J32" s="20"/>
      <c r="K32" s="20"/>
      <c r="L32" s="21"/>
      <c r="M32" s="21"/>
      <c r="N32" s="21"/>
      <c r="O32" s="21"/>
      <c r="P32" s="22" t="str">
        <f aca="false">IFERROR(N32/O32,"")</f>
        <v/>
      </c>
      <c r="Q32" s="20" t="s">
        <v>42</v>
      </c>
      <c r="R32" s="20" t="s">
        <v>42</v>
      </c>
      <c r="S32" s="20" t="s">
        <v>159</v>
      </c>
      <c r="T32" s="20" t="s">
        <v>288</v>
      </c>
      <c r="U32" s="20" t="s">
        <v>216</v>
      </c>
      <c r="V32" s="19"/>
      <c r="W32" s="19" t="n">
        <v>46321</v>
      </c>
      <c r="X32" s="20" t="s">
        <v>38</v>
      </c>
      <c r="Y32" s="19"/>
      <c r="Z32" s="20"/>
      <c r="AA32" s="20"/>
      <c r="AB32" s="20" t="s">
        <v>289</v>
      </c>
      <c r="AC32" s="20"/>
      <c r="AD32" s="20"/>
      <c r="AE32" s="20"/>
      <c r="AF32" s="20" t="s">
        <v>290</v>
      </c>
      <c r="AG32" s="19" t="n">
        <v>46308</v>
      </c>
    </row>
    <row r="33" customFormat="false" ht="23.85" hidden="false" customHeight="false" outlineLevel="0" collapsed="false">
      <c r="A33" s="18" t="s">
        <v>291</v>
      </c>
      <c r="B33" s="19" t="n">
        <v>46301</v>
      </c>
      <c r="C33" s="20" t="s">
        <v>284</v>
      </c>
      <c r="D33" s="20" t="s">
        <v>285</v>
      </c>
      <c r="E33" s="20" t="s">
        <v>141</v>
      </c>
      <c r="F33" s="20" t="s">
        <v>292</v>
      </c>
      <c r="G33" s="20" t="s">
        <v>157</v>
      </c>
      <c r="H33" s="20" t="s">
        <v>293</v>
      </c>
      <c r="I33" s="20" t="s">
        <v>55</v>
      </c>
      <c r="J33" s="20"/>
      <c r="K33" s="20"/>
      <c r="L33" s="21"/>
      <c r="M33" s="21"/>
      <c r="N33" s="21"/>
      <c r="O33" s="21"/>
      <c r="P33" s="22" t="str">
        <f aca="false">IFERROR(N33/O33,"")</f>
        <v/>
      </c>
      <c r="Q33" s="20" t="s">
        <v>42</v>
      </c>
      <c r="R33" s="20" t="s">
        <v>42</v>
      </c>
      <c r="S33" s="20" t="s">
        <v>159</v>
      </c>
      <c r="T33" s="20" t="s">
        <v>294</v>
      </c>
      <c r="U33" s="20" t="s">
        <v>216</v>
      </c>
      <c r="V33" s="19"/>
      <c r="W33" s="19" t="n">
        <v>46318</v>
      </c>
      <c r="X33" s="20" t="s">
        <v>38</v>
      </c>
      <c r="Y33" s="19"/>
      <c r="Z33" s="20"/>
      <c r="AA33" s="20"/>
      <c r="AB33" s="20" t="s">
        <v>295</v>
      </c>
      <c r="AC33" s="20"/>
      <c r="AD33" s="20"/>
      <c r="AE33" s="20"/>
      <c r="AF33" s="20"/>
      <c r="AG33" s="19" t="n">
        <v>46308</v>
      </c>
    </row>
    <row r="34" customFormat="false" ht="15" hidden="false" customHeight="false" outlineLevel="0" collapsed="false">
      <c r="A34" s="18" t="s">
        <v>296</v>
      </c>
      <c r="B34" s="19" t="n">
        <v>46301</v>
      </c>
      <c r="C34" s="20" t="s">
        <v>248</v>
      </c>
      <c r="D34" s="20" t="s">
        <v>248</v>
      </c>
      <c r="E34" s="20" t="s">
        <v>141</v>
      </c>
      <c r="F34" s="20" t="s">
        <v>297</v>
      </c>
      <c r="G34" s="20" t="s">
        <v>157</v>
      </c>
      <c r="H34" s="20" t="s">
        <v>298</v>
      </c>
      <c r="I34" s="20" t="s">
        <v>55</v>
      </c>
      <c r="J34" s="20"/>
      <c r="K34" s="20"/>
      <c r="L34" s="21"/>
      <c r="M34" s="21"/>
      <c r="N34" s="21"/>
      <c r="O34" s="21"/>
      <c r="P34" s="22" t="str">
        <f aca="false">IFERROR(N34/O34,"")</f>
        <v/>
      </c>
      <c r="Q34" s="20" t="s">
        <v>42</v>
      </c>
      <c r="R34" s="20" t="s">
        <v>42</v>
      </c>
      <c r="S34" s="20" t="s">
        <v>159</v>
      </c>
      <c r="T34" s="20" t="s">
        <v>294</v>
      </c>
      <c r="U34" s="20" t="s">
        <v>216</v>
      </c>
      <c r="V34" s="19"/>
      <c r="W34" s="19" t="n">
        <v>46318</v>
      </c>
      <c r="X34" s="20" t="s">
        <v>38</v>
      </c>
      <c r="Y34" s="19"/>
      <c r="Z34" s="20"/>
      <c r="AA34" s="20"/>
      <c r="AB34" s="20" t="s">
        <v>295</v>
      </c>
      <c r="AC34" s="20"/>
      <c r="AD34" s="20"/>
      <c r="AE34" s="20"/>
      <c r="AF34" s="20"/>
      <c r="AG34" s="19" t="n">
        <v>46308</v>
      </c>
    </row>
    <row r="35" customFormat="false" ht="23.85" hidden="false" customHeight="false" outlineLevel="0" collapsed="false">
      <c r="A35" s="18" t="s">
        <v>299</v>
      </c>
      <c r="B35" s="19" t="n">
        <v>46301</v>
      </c>
      <c r="C35" s="20" t="s">
        <v>284</v>
      </c>
      <c r="D35" s="20" t="s">
        <v>285</v>
      </c>
      <c r="E35" s="20" t="s">
        <v>141</v>
      </c>
      <c r="F35" s="20" t="s">
        <v>300</v>
      </c>
      <c r="G35" s="20" t="s">
        <v>301</v>
      </c>
      <c r="H35" s="20" t="s">
        <v>302</v>
      </c>
      <c r="I35" s="20" t="s">
        <v>55</v>
      </c>
      <c r="J35" s="20"/>
      <c r="K35" s="20"/>
      <c r="L35" s="21"/>
      <c r="M35" s="21"/>
      <c r="N35" s="21"/>
      <c r="O35" s="21"/>
      <c r="P35" s="22" t="str">
        <f aca="false">IFERROR(N35/O35,"")</f>
        <v/>
      </c>
      <c r="Q35" s="20" t="s">
        <v>42</v>
      </c>
      <c r="R35" s="20" t="s">
        <v>42</v>
      </c>
      <c r="S35" s="20" t="s">
        <v>159</v>
      </c>
      <c r="T35" s="20" t="s">
        <v>303</v>
      </c>
      <c r="U35" s="20" t="s">
        <v>216</v>
      </c>
      <c r="V35" s="19"/>
      <c r="W35" s="19" t="n">
        <v>46321</v>
      </c>
      <c r="X35" s="20" t="s">
        <v>38</v>
      </c>
      <c r="Y35" s="19"/>
      <c r="Z35" s="20"/>
      <c r="AA35" s="20"/>
      <c r="AB35" s="20" t="s">
        <v>304</v>
      </c>
      <c r="AC35" s="20"/>
      <c r="AD35" s="20"/>
      <c r="AE35" s="20"/>
      <c r="AF35" s="20"/>
      <c r="AG35" s="19" t="n">
        <v>46308</v>
      </c>
    </row>
    <row r="36" customFormat="false" ht="15" hidden="false" customHeight="false" outlineLevel="0" collapsed="false">
      <c r="A36" s="18" t="s">
        <v>305</v>
      </c>
      <c r="B36" s="19" t="n">
        <v>46301</v>
      </c>
      <c r="C36" s="20" t="s">
        <v>139</v>
      </c>
      <c r="D36" s="20" t="s">
        <v>140</v>
      </c>
      <c r="E36" s="20" t="s">
        <v>141</v>
      </c>
      <c r="F36" s="20" t="s">
        <v>306</v>
      </c>
      <c r="G36" s="20" t="s">
        <v>307</v>
      </c>
      <c r="H36" s="20" t="s">
        <v>308</v>
      </c>
      <c r="I36" s="20" t="s">
        <v>57</v>
      </c>
      <c r="J36" s="20"/>
      <c r="K36" s="20"/>
      <c r="L36" s="21"/>
      <c r="M36" s="21"/>
      <c r="N36" s="21"/>
      <c r="O36" s="21"/>
      <c r="P36" s="22" t="str">
        <f aca="false">IFERROR(N36/O36,"")</f>
        <v/>
      </c>
      <c r="Q36" s="20" t="s">
        <v>42</v>
      </c>
      <c r="R36" s="20" t="s">
        <v>42</v>
      </c>
      <c r="S36" s="20" t="s">
        <v>159</v>
      </c>
      <c r="T36" s="20" t="s">
        <v>309</v>
      </c>
      <c r="U36" s="20" t="s">
        <v>216</v>
      </c>
      <c r="V36" s="19"/>
      <c r="W36" s="19" t="n">
        <v>46325</v>
      </c>
      <c r="X36" s="20" t="s">
        <v>38</v>
      </c>
      <c r="Y36" s="19"/>
      <c r="Z36" s="20"/>
      <c r="AA36" s="20"/>
      <c r="AB36" s="20" t="s">
        <v>310</v>
      </c>
      <c r="AC36" s="20"/>
      <c r="AD36" s="20"/>
      <c r="AE36" s="20"/>
      <c r="AF36" s="20"/>
      <c r="AG36" s="19" t="n">
        <v>46308</v>
      </c>
    </row>
    <row r="37" customFormat="false" ht="15" hidden="false" customHeight="false" outlineLevel="0" collapsed="false">
      <c r="A37" s="18" t="s">
        <v>311</v>
      </c>
      <c r="B37" s="19" t="n">
        <v>46301</v>
      </c>
      <c r="C37" s="20" t="s">
        <v>139</v>
      </c>
      <c r="D37" s="20" t="s">
        <v>140</v>
      </c>
      <c r="E37" s="20" t="s">
        <v>141</v>
      </c>
      <c r="F37" s="20" t="s">
        <v>312</v>
      </c>
      <c r="G37" s="20" t="s">
        <v>143</v>
      </c>
      <c r="H37" s="20" t="s">
        <v>313</v>
      </c>
      <c r="I37" s="20" t="s">
        <v>59</v>
      </c>
      <c r="J37" s="20"/>
      <c r="K37" s="20"/>
      <c r="L37" s="21"/>
      <c r="M37" s="21"/>
      <c r="N37" s="21"/>
      <c r="O37" s="21"/>
      <c r="P37" s="22" t="str">
        <f aca="false">IFERROR(N37/O37,"")</f>
        <v/>
      </c>
      <c r="Q37" s="20" t="s">
        <v>42</v>
      </c>
      <c r="R37" s="20" t="s">
        <v>45</v>
      </c>
      <c r="S37" s="20" t="s">
        <v>145</v>
      </c>
      <c r="T37" s="20" t="s">
        <v>314</v>
      </c>
      <c r="U37" s="20" t="s">
        <v>315</v>
      </c>
      <c r="V37" s="19"/>
      <c r="W37" s="19" t="n">
        <v>46325</v>
      </c>
      <c r="X37" s="20" t="s">
        <v>38</v>
      </c>
      <c r="Y37" s="19"/>
      <c r="Z37" s="20"/>
      <c r="AA37" s="20"/>
      <c r="AB37" s="20" t="s">
        <v>316</v>
      </c>
      <c r="AC37" s="20"/>
      <c r="AD37" s="20"/>
      <c r="AE37" s="20"/>
      <c r="AF37" s="20"/>
      <c r="AG37" s="19" t="n">
        <v>46308</v>
      </c>
    </row>
    <row r="38" customFormat="false" ht="23.85" hidden="false" customHeight="false" outlineLevel="0" collapsed="false">
      <c r="A38" s="18" t="s">
        <v>317</v>
      </c>
      <c r="B38" s="19" t="n">
        <v>46301</v>
      </c>
      <c r="C38" s="20" t="s">
        <v>139</v>
      </c>
      <c r="D38" s="20" t="s">
        <v>140</v>
      </c>
      <c r="E38" s="20" t="s">
        <v>141</v>
      </c>
      <c r="F38" s="20" t="s">
        <v>312</v>
      </c>
      <c r="G38" s="20" t="s">
        <v>143</v>
      </c>
      <c r="H38" s="20" t="s">
        <v>318</v>
      </c>
      <c r="I38" s="20" t="s">
        <v>65</v>
      </c>
      <c r="J38" s="20"/>
      <c r="K38" s="20"/>
      <c r="L38" s="21"/>
      <c r="M38" s="21"/>
      <c r="N38" s="21"/>
      <c r="O38" s="21"/>
      <c r="P38" s="22" t="str">
        <f aca="false">IFERROR(N38/O38,"")</f>
        <v/>
      </c>
      <c r="Q38" s="20" t="s">
        <v>42</v>
      </c>
      <c r="R38" s="20" t="s">
        <v>42</v>
      </c>
      <c r="S38" s="20" t="s">
        <v>145</v>
      </c>
      <c r="T38" s="20" t="s">
        <v>319</v>
      </c>
      <c r="U38" s="20" t="s">
        <v>320</v>
      </c>
      <c r="V38" s="19"/>
      <c r="W38" s="19" t="n">
        <v>46304</v>
      </c>
      <c r="X38" s="20" t="s">
        <v>38</v>
      </c>
      <c r="Y38" s="19"/>
      <c r="Z38" s="20"/>
      <c r="AA38" s="20"/>
      <c r="AB38" s="20" t="s">
        <v>321</v>
      </c>
      <c r="AC38" s="20"/>
      <c r="AD38" s="20"/>
      <c r="AE38" s="20"/>
      <c r="AF38" s="20"/>
      <c r="AG38" s="19" t="n">
        <v>46308</v>
      </c>
    </row>
    <row r="39" customFormat="false" ht="23.85" hidden="false" customHeight="false" outlineLevel="0" collapsed="false">
      <c r="A39" s="18" t="s">
        <v>322</v>
      </c>
      <c r="B39" s="19" t="n">
        <v>46301</v>
      </c>
      <c r="C39" s="20" t="s">
        <v>139</v>
      </c>
      <c r="D39" s="20" t="s">
        <v>140</v>
      </c>
      <c r="E39" s="20" t="s">
        <v>141</v>
      </c>
      <c r="F39" s="20" t="s">
        <v>323</v>
      </c>
      <c r="G39" s="20" t="s">
        <v>143</v>
      </c>
      <c r="H39" s="20" t="s">
        <v>324</v>
      </c>
      <c r="I39" s="20" t="s">
        <v>63</v>
      </c>
      <c r="J39" s="20"/>
      <c r="K39" s="20"/>
      <c r="L39" s="21"/>
      <c r="M39" s="21"/>
      <c r="N39" s="21"/>
      <c r="O39" s="21"/>
      <c r="P39" s="22" t="str">
        <f aca="false">IFERROR(N39/O39,"")</f>
        <v/>
      </c>
      <c r="Q39" s="20" t="s">
        <v>39</v>
      </c>
      <c r="R39" s="20" t="s">
        <v>42</v>
      </c>
      <c r="S39" s="20" t="s">
        <v>159</v>
      </c>
      <c r="T39" s="20" t="s">
        <v>325</v>
      </c>
      <c r="U39" s="20" t="s">
        <v>264</v>
      </c>
      <c r="V39" s="19"/>
      <c r="W39" s="19" t="n">
        <v>46307</v>
      </c>
      <c r="X39" s="20" t="s">
        <v>38</v>
      </c>
      <c r="Y39" s="19"/>
      <c r="Z39" s="20"/>
      <c r="AA39" s="20"/>
      <c r="AB39" s="20" t="s">
        <v>326</v>
      </c>
      <c r="AC39" s="20"/>
      <c r="AD39" s="20"/>
      <c r="AE39" s="20"/>
      <c r="AF39" s="20"/>
      <c r="AG39" s="19" t="n">
        <v>46308</v>
      </c>
    </row>
    <row r="40" customFormat="false" ht="15" hidden="false" customHeight="false" outlineLevel="0" collapsed="false">
      <c r="A40" s="20"/>
      <c r="B40" s="19"/>
      <c r="C40" s="20"/>
      <c r="D40" s="20"/>
      <c r="E40" s="20"/>
      <c r="F40" s="20"/>
      <c r="G40" s="20"/>
      <c r="H40" s="20"/>
      <c r="I40" s="20"/>
      <c r="J40" s="20"/>
      <c r="K40" s="20"/>
      <c r="L40" s="23"/>
      <c r="M40" s="23"/>
      <c r="N40" s="23"/>
      <c r="O40" s="23"/>
      <c r="P40" s="22" t="str">
        <f aca="false">IFERROR(N40/O40,"")</f>
        <v/>
      </c>
      <c r="Q40" s="20"/>
      <c r="R40" s="20"/>
      <c r="S40" s="20"/>
      <c r="T40" s="20"/>
      <c r="U40" s="20"/>
      <c r="V40" s="19"/>
      <c r="W40" s="19"/>
      <c r="X40" s="20"/>
      <c r="Y40" s="19"/>
      <c r="Z40" s="20"/>
      <c r="AA40" s="20"/>
      <c r="AB40" s="20"/>
      <c r="AC40" s="20"/>
      <c r="AD40" s="20"/>
      <c r="AE40" s="20"/>
      <c r="AF40" s="20"/>
      <c r="AG40" s="19"/>
    </row>
    <row r="41" customFormat="false" ht="15" hidden="false" customHeight="false" outlineLevel="0" collapsed="false">
      <c r="A41" s="20"/>
      <c r="B41" s="19"/>
      <c r="C41" s="20"/>
      <c r="D41" s="20"/>
      <c r="E41" s="20"/>
      <c r="F41" s="20"/>
      <c r="G41" s="20"/>
      <c r="H41" s="20"/>
      <c r="I41" s="20"/>
      <c r="J41" s="20"/>
      <c r="K41" s="20"/>
      <c r="L41" s="23"/>
      <c r="M41" s="23"/>
      <c r="N41" s="23"/>
      <c r="O41" s="23"/>
      <c r="P41" s="22" t="str">
        <f aca="false">IFERROR(N41/O41,"")</f>
        <v/>
      </c>
      <c r="Q41" s="20"/>
      <c r="R41" s="20"/>
      <c r="S41" s="20"/>
      <c r="T41" s="20"/>
      <c r="U41" s="20"/>
      <c r="V41" s="19"/>
      <c r="W41" s="19"/>
      <c r="X41" s="20"/>
      <c r="Y41" s="19"/>
      <c r="Z41" s="20"/>
      <c r="AA41" s="20"/>
      <c r="AB41" s="20"/>
      <c r="AC41" s="20"/>
      <c r="AD41" s="20"/>
      <c r="AE41" s="20"/>
      <c r="AF41" s="20"/>
      <c r="AG41" s="19"/>
    </row>
    <row r="42" customFormat="false" ht="15" hidden="false" customHeight="false" outlineLevel="0" collapsed="false">
      <c r="A42" s="20"/>
      <c r="B42" s="19"/>
      <c r="C42" s="20"/>
      <c r="D42" s="20"/>
      <c r="E42" s="20"/>
      <c r="F42" s="20"/>
      <c r="G42" s="20"/>
      <c r="H42" s="20"/>
      <c r="I42" s="20"/>
      <c r="J42" s="20"/>
      <c r="K42" s="20"/>
      <c r="L42" s="23"/>
      <c r="M42" s="23"/>
      <c r="N42" s="23"/>
      <c r="O42" s="23"/>
      <c r="P42" s="22" t="str">
        <f aca="false">IFERROR(N42/O42,"")</f>
        <v/>
      </c>
      <c r="Q42" s="20"/>
      <c r="R42" s="20"/>
      <c r="S42" s="20"/>
      <c r="T42" s="20"/>
      <c r="U42" s="20"/>
      <c r="V42" s="19"/>
      <c r="W42" s="19"/>
      <c r="X42" s="20"/>
      <c r="Y42" s="19"/>
      <c r="Z42" s="20"/>
      <c r="AA42" s="20"/>
      <c r="AB42" s="20"/>
      <c r="AC42" s="20"/>
      <c r="AD42" s="20"/>
      <c r="AE42" s="20"/>
      <c r="AF42" s="20"/>
      <c r="AG42" s="19"/>
    </row>
    <row r="43" customFormat="false" ht="15" hidden="false" customHeight="false" outlineLevel="0" collapsed="false">
      <c r="A43" s="20"/>
      <c r="B43" s="19"/>
      <c r="C43" s="20"/>
      <c r="D43" s="20"/>
      <c r="E43" s="20"/>
      <c r="F43" s="20"/>
      <c r="G43" s="20"/>
      <c r="H43" s="20"/>
      <c r="I43" s="20"/>
      <c r="J43" s="20"/>
      <c r="K43" s="20"/>
      <c r="L43" s="23"/>
      <c r="M43" s="23"/>
      <c r="N43" s="23"/>
      <c r="O43" s="23"/>
      <c r="P43" s="22" t="str">
        <f aca="false">IFERROR(N43/O43,"")</f>
        <v/>
      </c>
      <c r="Q43" s="20"/>
      <c r="R43" s="20"/>
      <c r="S43" s="20"/>
      <c r="T43" s="20"/>
      <c r="U43" s="20"/>
      <c r="V43" s="19"/>
      <c r="W43" s="19"/>
      <c r="X43" s="20"/>
      <c r="Y43" s="19"/>
      <c r="Z43" s="20"/>
      <c r="AA43" s="20"/>
      <c r="AB43" s="20"/>
      <c r="AC43" s="20"/>
      <c r="AD43" s="20"/>
      <c r="AE43" s="20"/>
      <c r="AF43" s="20"/>
      <c r="AG43" s="19"/>
    </row>
    <row r="44" customFormat="false" ht="15" hidden="false" customHeight="false" outlineLevel="0" collapsed="false">
      <c r="A44" s="20"/>
      <c r="B44" s="19"/>
      <c r="C44" s="20"/>
      <c r="D44" s="20"/>
      <c r="E44" s="20"/>
      <c r="F44" s="20"/>
      <c r="G44" s="20"/>
      <c r="H44" s="20"/>
      <c r="I44" s="20"/>
      <c r="J44" s="20"/>
      <c r="K44" s="20"/>
      <c r="L44" s="23"/>
      <c r="M44" s="23"/>
      <c r="N44" s="23"/>
      <c r="O44" s="23"/>
      <c r="P44" s="22" t="str">
        <f aca="false">IFERROR(N44/O44,"")</f>
        <v/>
      </c>
      <c r="Q44" s="20"/>
      <c r="R44" s="20"/>
      <c r="S44" s="20"/>
      <c r="T44" s="20"/>
      <c r="U44" s="20"/>
      <c r="V44" s="19"/>
      <c r="W44" s="19"/>
      <c r="X44" s="20"/>
      <c r="Y44" s="19"/>
      <c r="Z44" s="20"/>
      <c r="AA44" s="20"/>
      <c r="AB44" s="20"/>
      <c r="AC44" s="20"/>
      <c r="AD44" s="20"/>
      <c r="AE44" s="20"/>
      <c r="AF44" s="20"/>
      <c r="AG44" s="19"/>
    </row>
    <row r="45" customFormat="false" ht="15" hidden="false" customHeight="false" outlineLevel="0" collapsed="false">
      <c r="A45" s="20"/>
      <c r="B45" s="19"/>
      <c r="C45" s="20"/>
      <c r="D45" s="20"/>
      <c r="E45" s="20"/>
      <c r="F45" s="20"/>
      <c r="G45" s="20"/>
      <c r="H45" s="20"/>
      <c r="I45" s="20"/>
      <c r="J45" s="20"/>
      <c r="K45" s="20"/>
      <c r="L45" s="23"/>
      <c r="M45" s="23"/>
      <c r="N45" s="23"/>
      <c r="O45" s="23"/>
      <c r="P45" s="22" t="str">
        <f aca="false">IFERROR(N45/O45,"")</f>
        <v/>
      </c>
      <c r="Q45" s="20"/>
      <c r="R45" s="20"/>
      <c r="S45" s="20"/>
      <c r="T45" s="20"/>
      <c r="U45" s="20"/>
      <c r="V45" s="19"/>
      <c r="W45" s="19"/>
      <c r="X45" s="20"/>
      <c r="Y45" s="19"/>
      <c r="Z45" s="20"/>
      <c r="AA45" s="20"/>
      <c r="AB45" s="20"/>
      <c r="AC45" s="20"/>
      <c r="AD45" s="20"/>
      <c r="AE45" s="20"/>
      <c r="AF45" s="20"/>
      <c r="AG45" s="19"/>
    </row>
    <row r="46" customFormat="false" ht="15" hidden="false" customHeight="false" outlineLevel="0" collapsed="false">
      <c r="A46" s="20"/>
      <c r="B46" s="19"/>
      <c r="C46" s="20"/>
      <c r="D46" s="20"/>
      <c r="E46" s="20"/>
      <c r="F46" s="20"/>
      <c r="G46" s="20"/>
      <c r="H46" s="20"/>
      <c r="I46" s="20"/>
      <c r="J46" s="20"/>
      <c r="K46" s="20"/>
      <c r="L46" s="23"/>
      <c r="M46" s="23"/>
      <c r="N46" s="23"/>
      <c r="O46" s="23"/>
      <c r="P46" s="22" t="str">
        <f aca="false">IFERROR(N46/O46,"")</f>
        <v/>
      </c>
      <c r="Q46" s="20"/>
      <c r="R46" s="20"/>
      <c r="S46" s="20"/>
      <c r="T46" s="20"/>
      <c r="U46" s="20"/>
      <c r="V46" s="19"/>
      <c r="W46" s="19"/>
      <c r="X46" s="20"/>
      <c r="Y46" s="19"/>
      <c r="Z46" s="20"/>
      <c r="AA46" s="20"/>
      <c r="AB46" s="20"/>
      <c r="AC46" s="20"/>
      <c r="AD46" s="20"/>
      <c r="AE46" s="20"/>
      <c r="AF46" s="20"/>
      <c r="AG46" s="19"/>
    </row>
    <row r="47" customFormat="false" ht="15" hidden="false" customHeight="false" outlineLevel="0" collapsed="false">
      <c r="A47" s="20"/>
      <c r="B47" s="19"/>
      <c r="C47" s="20"/>
      <c r="D47" s="20"/>
      <c r="E47" s="20"/>
      <c r="F47" s="20"/>
      <c r="G47" s="20"/>
      <c r="H47" s="20"/>
      <c r="I47" s="20"/>
      <c r="J47" s="20"/>
      <c r="K47" s="20"/>
      <c r="L47" s="23"/>
      <c r="M47" s="23"/>
      <c r="N47" s="23"/>
      <c r="O47" s="23"/>
      <c r="P47" s="22" t="str">
        <f aca="false">IFERROR(N47/O47,"")</f>
        <v/>
      </c>
      <c r="Q47" s="20"/>
      <c r="R47" s="20"/>
      <c r="S47" s="20"/>
      <c r="T47" s="20"/>
      <c r="U47" s="20"/>
      <c r="V47" s="19"/>
      <c r="W47" s="19"/>
      <c r="X47" s="20"/>
      <c r="Y47" s="19"/>
      <c r="Z47" s="20"/>
      <c r="AA47" s="20"/>
      <c r="AB47" s="20"/>
      <c r="AC47" s="20"/>
      <c r="AD47" s="20"/>
      <c r="AE47" s="20"/>
      <c r="AF47" s="20"/>
      <c r="AG47" s="19"/>
    </row>
    <row r="48" customFormat="false" ht="15" hidden="false" customHeight="false" outlineLevel="0" collapsed="false">
      <c r="A48" s="20"/>
      <c r="B48" s="19"/>
      <c r="C48" s="20"/>
      <c r="D48" s="20"/>
      <c r="E48" s="20"/>
      <c r="F48" s="20"/>
      <c r="G48" s="20"/>
      <c r="H48" s="20"/>
      <c r="I48" s="20"/>
      <c r="J48" s="20"/>
      <c r="K48" s="20"/>
      <c r="L48" s="23"/>
      <c r="M48" s="23"/>
      <c r="N48" s="23"/>
      <c r="O48" s="23"/>
      <c r="P48" s="22" t="str">
        <f aca="false">IFERROR(N48/O48,"")</f>
        <v/>
      </c>
      <c r="Q48" s="20"/>
      <c r="R48" s="20"/>
      <c r="S48" s="20"/>
      <c r="T48" s="20"/>
      <c r="U48" s="20"/>
      <c r="V48" s="19"/>
      <c r="W48" s="19"/>
      <c r="X48" s="20"/>
      <c r="Y48" s="19"/>
      <c r="Z48" s="20"/>
      <c r="AA48" s="20"/>
      <c r="AB48" s="20"/>
      <c r="AC48" s="20"/>
      <c r="AD48" s="20"/>
      <c r="AE48" s="20"/>
      <c r="AF48" s="20"/>
      <c r="AG48" s="19"/>
    </row>
    <row r="49" customFormat="false" ht="15" hidden="false" customHeight="false" outlineLevel="0" collapsed="false">
      <c r="A49" s="20"/>
      <c r="B49" s="19"/>
      <c r="C49" s="20"/>
      <c r="D49" s="20"/>
      <c r="E49" s="20"/>
      <c r="F49" s="20"/>
      <c r="G49" s="20"/>
      <c r="H49" s="20"/>
      <c r="I49" s="20"/>
      <c r="J49" s="20"/>
      <c r="K49" s="20"/>
      <c r="L49" s="23"/>
      <c r="M49" s="23"/>
      <c r="N49" s="23"/>
      <c r="O49" s="23"/>
      <c r="P49" s="22" t="str">
        <f aca="false">IFERROR(N49/O49,"")</f>
        <v/>
      </c>
      <c r="Q49" s="20"/>
      <c r="R49" s="20"/>
      <c r="S49" s="20"/>
      <c r="T49" s="20"/>
      <c r="U49" s="20"/>
      <c r="V49" s="19"/>
      <c r="W49" s="19"/>
      <c r="X49" s="20"/>
      <c r="Y49" s="19"/>
      <c r="Z49" s="20"/>
      <c r="AA49" s="20"/>
      <c r="AB49" s="20"/>
      <c r="AC49" s="20"/>
      <c r="AD49" s="20"/>
      <c r="AE49" s="20"/>
      <c r="AF49" s="20"/>
      <c r="AG49" s="19"/>
    </row>
    <row r="50" customFormat="false" ht="15" hidden="false" customHeight="false" outlineLevel="0" collapsed="false">
      <c r="A50" s="20"/>
      <c r="B50" s="19"/>
      <c r="C50" s="20"/>
      <c r="D50" s="20"/>
      <c r="E50" s="20"/>
      <c r="F50" s="20"/>
      <c r="G50" s="20"/>
      <c r="H50" s="20"/>
      <c r="I50" s="20"/>
      <c r="J50" s="20"/>
      <c r="K50" s="20"/>
      <c r="L50" s="23"/>
      <c r="M50" s="23"/>
      <c r="N50" s="23"/>
      <c r="O50" s="23"/>
      <c r="P50" s="22" t="str">
        <f aca="false">IFERROR(N50/O50,"")</f>
        <v/>
      </c>
      <c r="Q50" s="20"/>
      <c r="R50" s="20"/>
      <c r="S50" s="20"/>
      <c r="T50" s="20"/>
      <c r="U50" s="20"/>
      <c r="V50" s="19"/>
      <c r="W50" s="19"/>
      <c r="X50" s="20"/>
      <c r="Y50" s="19"/>
      <c r="Z50" s="20"/>
      <c r="AA50" s="20"/>
      <c r="AB50" s="20"/>
      <c r="AC50" s="20"/>
      <c r="AD50" s="20"/>
      <c r="AE50" s="20"/>
      <c r="AF50" s="20"/>
      <c r="AG50" s="19"/>
    </row>
    <row r="51" customFormat="false" ht="15" hidden="false" customHeight="false" outlineLevel="0" collapsed="false">
      <c r="A51" s="20"/>
      <c r="B51" s="19"/>
      <c r="C51" s="20"/>
      <c r="D51" s="20"/>
      <c r="E51" s="20"/>
      <c r="F51" s="20"/>
      <c r="G51" s="20"/>
      <c r="H51" s="20"/>
      <c r="I51" s="20"/>
      <c r="J51" s="20"/>
      <c r="K51" s="20"/>
      <c r="L51" s="23"/>
      <c r="M51" s="23"/>
      <c r="N51" s="23"/>
      <c r="O51" s="23"/>
      <c r="P51" s="22" t="str">
        <f aca="false">IFERROR(N51/O51,"")</f>
        <v/>
      </c>
      <c r="Q51" s="20"/>
      <c r="R51" s="20"/>
      <c r="S51" s="20"/>
      <c r="T51" s="20"/>
      <c r="U51" s="20"/>
      <c r="V51" s="19"/>
      <c r="W51" s="19"/>
      <c r="X51" s="20"/>
      <c r="Y51" s="19"/>
      <c r="Z51" s="20"/>
      <c r="AA51" s="20"/>
      <c r="AB51" s="20"/>
      <c r="AC51" s="20"/>
      <c r="AD51" s="20"/>
      <c r="AE51" s="20"/>
      <c r="AF51" s="20"/>
      <c r="AG51" s="19"/>
    </row>
    <row r="52" customFormat="false" ht="15" hidden="false" customHeight="false" outlineLevel="0" collapsed="false">
      <c r="A52" s="20"/>
      <c r="B52" s="19"/>
      <c r="C52" s="20"/>
      <c r="D52" s="20"/>
      <c r="E52" s="20"/>
      <c r="F52" s="20"/>
      <c r="G52" s="20"/>
      <c r="H52" s="20"/>
      <c r="I52" s="20"/>
      <c r="J52" s="20"/>
      <c r="K52" s="20"/>
      <c r="L52" s="23"/>
      <c r="M52" s="23"/>
      <c r="N52" s="23"/>
      <c r="O52" s="23"/>
      <c r="P52" s="22" t="str">
        <f aca="false">IFERROR(N52/O52,"")</f>
        <v/>
      </c>
      <c r="Q52" s="20"/>
      <c r="R52" s="20"/>
      <c r="S52" s="20"/>
      <c r="T52" s="20"/>
      <c r="U52" s="20"/>
      <c r="V52" s="19"/>
      <c r="W52" s="19"/>
      <c r="X52" s="20"/>
      <c r="Y52" s="19"/>
      <c r="Z52" s="20"/>
      <c r="AA52" s="20"/>
      <c r="AB52" s="20"/>
      <c r="AC52" s="20"/>
      <c r="AD52" s="20"/>
      <c r="AE52" s="20"/>
      <c r="AF52" s="20"/>
      <c r="AG52" s="19"/>
    </row>
    <row r="53" customFormat="false" ht="15" hidden="false" customHeight="false" outlineLevel="0" collapsed="false">
      <c r="A53" s="20"/>
      <c r="B53" s="19"/>
      <c r="C53" s="20"/>
      <c r="D53" s="20"/>
      <c r="E53" s="20"/>
      <c r="F53" s="20"/>
      <c r="G53" s="20"/>
      <c r="H53" s="20"/>
      <c r="I53" s="20"/>
      <c r="J53" s="20"/>
      <c r="K53" s="20"/>
      <c r="L53" s="23"/>
      <c r="M53" s="23"/>
      <c r="N53" s="23"/>
      <c r="O53" s="23"/>
      <c r="P53" s="22" t="str">
        <f aca="false">IFERROR(N53/O53,"")</f>
        <v/>
      </c>
      <c r="Q53" s="20"/>
      <c r="R53" s="20"/>
      <c r="S53" s="20"/>
      <c r="T53" s="20"/>
      <c r="U53" s="20"/>
      <c r="V53" s="19"/>
      <c r="W53" s="19"/>
      <c r="X53" s="20"/>
      <c r="Y53" s="19"/>
      <c r="Z53" s="20"/>
      <c r="AA53" s="20"/>
      <c r="AB53" s="20"/>
      <c r="AC53" s="20"/>
      <c r="AD53" s="20"/>
      <c r="AE53" s="20"/>
      <c r="AF53" s="20"/>
      <c r="AG53" s="19"/>
    </row>
    <row r="54" customFormat="false" ht="15" hidden="false" customHeight="false" outlineLevel="0" collapsed="false">
      <c r="A54" s="20"/>
      <c r="B54" s="19"/>
      <c r="C54" s="20"/>
      <c r="D54" s="20"/>
      <c r="E54" s="20"/>
      <c r="F54" s="20"/>
      <c r="G54" s="20"/>
      <c r="H54" s="20"/>
      <c r="I54" s="20"/>
      <c r="J54" s="20"/>
      <c r="K54" s="20"/>
      <c r="L54" s="23"/>
      <c r="M54" s="23"/>
      <c r="N54" s="23"/>
      <c r="O54" s="23"/>
      <c r="P54" s="22" t="str">
        <f aca="false">IFERROR(N54/O54,"")</f>
        <v/>
      </c>
      <c r="Q54" s="20"/>
      <c r="R54" s="20"/>
      <c r="S54" s="20"/>
      <c r="T54" s="20"/>
      <c r="U54" s="20"/>
      <c r="V54" s="19"/>
      <c r="W54" s="19"/>
      <c r="X54" s="20"/>
      <c r="Y54" s="19"/>
      <c r="Z54" s="20"/>
      <c r="AA54" s="20"/>
      <c r="AB54" s="20"/>
      <c r="AC54" s="20"/>
      <c r="AD54" s="20"/>
      <c r="AE54" s="20"/>
      <c r="AF54" s="20"/>
      <c r="AG54" s="19"/>
    </row>
    <row r="55" customFormat="false" ht="15" hidden="false" customHeight="false" outlineLevel="0" collapsed="false">
      <c r="A55" s="20"/>
      <c r="B55" s="19"/>
      <c r="C55" s="20"/>
      <c r="D55" s="20"/>
      <c r="E55" s="20"/>
      <c r="F55" s="20"/>
      <c r="G55" s="20"/>
      <c r="H55" s="20"/>
      <c r="I55" s="20"/>
      <c r="J55" s="20"/>
      <c r="K55" s="20"/>
      <c r="L55" s="23"/>
      <c r="M55" s="23"/>
      <c r="N55" s="23"/>
      <c r="O55" s="23"/>
      <c r="P55" s="22" t="str">
        <f aca="false">IFERROR(N55/O55,"")</f>
        <v/>
      </c>
      <c r="Q55" s="20"/>
      <c r="R55" s="20"/>
      <c r="S55" s="20"/>
      <c r="T55" s="20"/>
      <c r="U55" s="20"/>
      <c r="V55" s="19"/>
      <c r="W55" s="19"/>
      <c r="X55" s="20"/>
      <c r="Y55" s="19"/>
      <c r="Z55" s="20"/>
      <c r="AA55" s="20"/>
      <c r="AB55" s="20"/>
      <c r="AC55" s="20"/>
      <c r="AD55" s="20"/>
      <c r="AE55" s="20"/>
      <c r="AF55" s="20"/>
      <c r="AG55" s="19"/>
    </row>
    <row r="56" customFormat="false" ht="15" hidden="false" customHeight="false" outlineLevel="0" collapsed="false">
      <c r="A56" s="20"/>
      <c r="B56" s="19"/>
      <c r="C56" s="20"/>
      <c r="D56" s="20"/>
      <c r="E56" s="20"/>
      <c r="F56" s="20"/>
      <c r="G56" s="20"/>
      <c r="H56" s="20"/>
      <c r="I56" s="20"/>
      <c r="J56" s="20"/>
      <c r="K56" s="20"/>
      <c r="L56" s="23"/>
      <c r="M56" s="23"/>
      <c r="N56" s="23"/>
      <c r="O56" s="23"/>
      <c r="P56" s="22" t="str">
        <f aca="false">IFERROR(N56/O56,"")</f>
        <v/>
      </c>
      <c r="Q56" s="20"/>
      <c r="R56" s="20"/>
      <c r="S56" s="20"/>
      <c r="T56" s="20"/>
      <c r="U56" s="20"/>
      <c r="V56" s="19"/>
      <c r="W56" s="19"/>
      <c r="X56" s="20"/>
      <c r="Y56" s="19"/>
      <c r="Z56" s="20"/>
      <c r="AA56" s="20"/>
      <c r="AB56" s="20"/>
      <c r="AC56" s="20"/>
      <c r="AD56" s="20"/>
      <c r="AE56" s="20"/>
      <c r="AF56" s="20"/>
      <c r="AG56" s="19"/>
    </row>
    <row r="57" customFormat="false" ht="15" hidden="false" customHeight="false" outlineLevel="0" collapsed="false">
      <c r="A57" s="20"/>
      <c r="B57" s="19"/>
      <c r="C57" s="20"/>
      <c r="D57" s="20"/>
      <c r="E57" s="20"/>
      <c r="F57" s="20"/>
      <c r="G57" s="20"/>
      <c r="H57" s="20"/>
      <c r="I57" s="20"/>
      <c r="J57" s="20"/>
      <c r="K57" s="20"/>
      <c r="L57" s="23"/>
      <c r="M57" s="23"/>
      <c r="N57" s="23"/>
      <c r="O57" s="23"/>
      <c r="P57" s="22" t="str">
        <f aca="false">IFERROR(N57/O57,"")</f>
        <v/>
      </c>
      <c r="Q57" s="20"/>
      <c r="R57" s="20"/>
      <c r="S57" s="20"/>
      <c r="T57" s="20"/>
      <c r="U57" s="20"/>
      <c r="V57" s="19"/>
      <c r="W57" s="19"/>
      <c r="X57" s="20"/>
      <c r="Y57" s="19"/>
      <c r="Z57" s="20"/>
      <c r="AA57" s="20"/>
      <c r="AB57" s="20"/>
      <c r="AC57" s="20"/>
      <c r="AD57" s="20"/>
      <c r="AE57" s="20"/>
      <c r="AF57" s="20"/>
      <c r="AG57" s="19"/>
    </row>
    <row r="58" customFormat="false" ht="15" hidden="false" customHeight="false" outlineLevel="0" collapsed="false">
      <c r="A58" s="20"/>
      <c r="B58" s="19"/>
      <c r="C58" s="20"/>
      <c r="D58" s="20"/>
      <c r="E58" s="20"/>
      <c r="F58" s="20"/>
      <c r="G58" s="20"/>
      <c r="H58" s="20"/>
      <c r="I58" s="20"/>
      <c r="J58" s="20"/>
      <c r="K58" s="20"/>
      <c r="L58" s="23"/>
      <c r="M58" s="23"/>
      <c r="N58" s="23"/>
      <c r="O58" s="23"/>
      <c r="P58" s="22" t="str">
        <f aca="false">IFERROR(N58/O58,"")</f>
        <v/>
      </c>
      <c r="Q58" s="20"/>
      <c r="R58" s="20"/>
      <c r="S58" s="20"/>
      <c r="T58" s="20"/>
      <c r="U58" s="20"/>
      <c r="V58" s="19"/>
      <c r="W58" s="19"/>
      <c r="X58" s="20"/>
      <c r="Y58" s="19"/>
      <c r="Z58" s="20"/>
      <c r="AA58" s="20"/>
      <c r="AB58" s="20"/>
      <c r="AC58" s="20"/>
      <c r="AD58" s="20"/>
      <c r="AE58" s="20"/>
      <c r="AF58" s="20"/>
      <c r="AG58" s="19"/>
    </row>
    <row r="59" customFormat="false" ht="15" hidden="false" customHeight="false" outlineLevel="0" collapsed="false">
      <c r="A59" s="20"/>
      <c r="B59" s="19"/>
      <c r="C59" s="20"/>
      <c r="D59" s="20"/>
      <c r="E59" s="20"/>
      <c r="F59" s="20"/>
      <c r="G59" s="20"/>
      <c r="H59" s="20"/>
      <c r="I59" s="20"/>
      <c r="J59" s="20"/>
      <c r="K59" s="20"/>
      <c r="L59" s="23"/>
      <c r="M59" s="23"/>
      <c r="N59" s="23"/>
      <c r="O59" s="23"/>
      <c r="P59" s="22" t="str">
        <f aca="false">IFERROR(N59/O59,"")</f>
        <v/>
      </c>
      <c r="Q59" s="20"/>
      <c r="R59" s="20"/>
      <c r="S59" s="20"/>
      <c r="T59" s="20"/>
      <c r="U59" s="20"/>
      <c r="V59" s="19"/>
      <c r="W59" s="19"/>
      <c r="X59" s="20"/>
      <c r="Y59" s="19"/>
      <c r="Z59" s="20"/>
      <c r="AA59" s="20"/>
      <c r="AB59" s="20"/>
      <c r="AC59" s="20"/>
      <c r="AD59" s="20"/>
      <c r="AE59" s="20"/>
      <c r="AF59" s="20"/>
      <c r="AG59" s="19"/>
    </row>
    <row r="60" customFormat="false" ht="15" hidden="false" customHeight="false" outlineLevel="0" collapsed="false">
      <c r="A60" s="20"/>
      <c r="B60" s="19"/>
      <c r="C60" s="20"/>
      <c r="D60" s="20"/>
      <c r="E60" s="20"/>
      <c r="F60" s="20"/>
      <c r="G60" s="20"/>
      <c r="H60" s="20"/>
      <c r="I60" s="20"/>
      <c r="J60" s="20"/>
      <c r="K60" s="20"/>
      <c r="L60" s="23"/>
      <c r="M60" s="23"/>
      <c r="N60" s="23"/>
      <c r="O60" s="23"/>
      <c r="P60" s="22" t="str">
        <f aca="false">IFERROR(N60/O60,"")</f>
        <v/>
      </c>
      <c r="Q60" s="20"/>
      <c r="R60" s="20"/>
      <c r="S60" s="20"/>
      <c r="T60" s="20"/>
      <c r="U60" s="20"/>
      <c r="V60" s="19"/>
      <c r="W60" s="19"/>
      <c r="X60" s="20"/>
      <c r="Y60" s="19"/>
      <c r="Z60" s="20"/>
      <c r="AA60" s="20"/>
      <c r="AB60" s="20"/>
      <c r="AC60" s="20"/>
      <c r="AD60" s="20"/>
      <c r="AE60" s="20"/>
      <c r="AF60" s="20"/>
      <c r="AG60" s="19"/>
    </row>
    <row r="61" customFormat="false" ht="15" hidden="false" customHeight="false" outlineLevel="0" collapsed="false">
      <c r="A61" s="20"/>
      <c r="B61" s="19"/>
      <c r="C61" s="20"/>
      <c r="D61" s="20"/>
      <c r="E61" s="20"/>
      <c r="F61" s="20"/>
      <c r="G61" s="20"/>
      <c r="H61" s="20"/>
      <c r="I61" s="20"/>
      <c r="J61" s="20"/>
      <c r="K61" s="20"/>
      <c r="L61" s="23"/>
      <c r="M61" s="23"/>
      <c r="N61" s="23"/>
      <c r="O61" s="23"/>
      <c r="P61" s="22" t="str">
        <f aca="false">IFERROR(N61/O61,"")</f>
        <v/>
      </c>
      <c r="Q61" s="20"/>
      <c r="R61" s="20"/>
      <c r="S61" s="20"/>
      <c r="T61" s="20"/>
      <c r="U61" s="20"/>
      <c r="V61" s="19"/>
      <c r="W61" s="19"/>
      <c r="X61" s="20"/>
      <c r="Y61" s="19"/>
      <c r="Z61" s="20"/>
      <c r="AA61" s="20"/>
      <c r="AB61" s="20"/>
      <c r="AC61" s="20"/>
      <c r="AD61" s="20"/>
      <c r="AE61" s="20"/>
      <c r="AF61" s="20"/>
      <c r="AG61" s="19"/>
    </row>
    <row r="62" customFormat="false" ht="15" hidden="false" customHeight="false" outlineLevel="0" collapsed="false">
      <c r="A62" s="20"/>
      <c r="B62" s="19"/>
      <c r="C62" s="20"/>
      <c r="D62" s="20"/>
      <c r="E62" s="20"/>
      <c r="F62" s="20"/>
      <c r="G62" s="20"/>
      <c r="H62" s="20"/>
      <c r="I62" s="20"/>
      <c r="J62" s="20"/>
      <c r="K62" s="20"/>
      <c r="L62" s="23"/>
      <c r="M62" s="23"/>
      <c r="N62" s="23"/>
      <c r="O62" s="23"/>
      <c r="P62" s="22" t="str">
        <f aca="false">IFERROR(N62/O62,"")</f>
        <v/>
      </c>
      <c r="Q62" s="20"/>
      <c r="R62" s="20"/>
      <c r="S62" s="20"/>
      <c r="T62" s="20"/>
      <c r="U62" s="20"/>
      <c r="V62" s="19"/>
      <c r="W62" s="19"/>
      <c r="X62" s="20"/>
      <c r="Y62" s="19"/>
      <c r="Z62" s="20"/>
      <c r="AA62" s="20"/>
      <c r="AB62" s="20"/>
      <c r="AC62" s="20"/>
      <c r="AD62" s="20"/>
      <c r="AE62" s="20"/>
      <c r="AF62" s="20"/>
      <c r="AG62" s="19"/>
    </row>
    <row r="63" customFormat="false" ht="15" hidden="false" customHeight="false" outlineLevel="0" collapsed="false">
      <c r="A63" s="20"/>
      <c r="B63" s="19"/>
      <c r="C63" s="20"/>
      <c r="D63" s="20"/>
      <c r="E63" s="20"/>
      <c r="F63" s="20"/>
      <c r="G63" s="20"/>
      <c r="H63" s="20"/>
      <c r="I63" s="20"/>
      <c r="J63" s="20"/>
      <c r="K63" s="20"/>
      <c r="L63" s="23"/>
      <c r="M63" s="23"/>
      <c r="N63" s="23"/>
      <c r="O63" s="23"/>
      <c r="P63" s="22" t="str">
        <f aca="false">IFERROR(N63/O63,"")</f>
        <v/>
      </c>
      <c r="Q63" s="20"/>
      <c r="R63" s="20"/>
      <c r="S63" s="20"/>
      <c r="T63" s="20"/>
      <c r="U63" s="20"/>
      <c r="V63" s="19"/>
      <c r="W63" s="19"/>
      <c r="X63" s="20"/>
      <c r="Y63" s="19"/>
      <c r="Z63" s="20"/>
      <c r="AA63" s="20"/>
      <c r="AB63" s="20"/>
      <c r="AC63" s="20"/>
      <c r="AD63" s="20"/>
      <c r="AE63" s="20"/>
      <c r="AF63" s="20"/>
      <c r="AG63" s="19"/>
    </row>
    <row r="64" customFormat="false" ht="15" hidden="false" customHeight="false" outlineLevel="0" collapsed="false">
      <c r="A64" s="20"/>
      <c r="B64" s="19"/>
      <c r="C64" s="20"/>
      <c r="D64" s="20"/>
      <c r="E64" s="20"/>
      <c r="F64" s="20"/>
      <c r="G64" s="20"/>
      <c r="H64" s="20"/>
      <c r="I64" s="20"/>
      <c r="J64" s="20"/>
      <c r="K64" s="20"/>
      <c r="L64" s="23"/>
      <c r="M64" s="23"/>
      <c r="N64" s="23"/>
      <c r="O64" s="23"/>
      <c r="P64" s="22" t="str">
        <f aca="false">IFERROR(N64/O64,"")</f>
        <v/>
      </c>
      <c r="Q64" s="20"/>
      <c r="R64" s="20"/>
      <c r="S64" s="20"/>
      <c r="T64" s="20"/>
      <c r="U64" s="20"/>
      <c r="V64" s="19"/>
      <c r="W64" s="19"/>
      <c r="X64" s="20"/>
      <c r="Y64" s="19"/>
      <c r="Z64" s="20"/>
      <c r="AA64" s="20"/>
      <c r="AB64" s="20"/>
      <c r="AC64" s="20"/>
      <c r="AD64" s="20"/>
      <c r="AE64" s="20"/>
      <c r="AF64" s="20"/>
      <c r="AG64" s="19"/>
    </row>
    <row r="65" customFormat="false" ht="15" hidden="false" customHeight="false" outlineLevel="0" collapsed="false">
      <c r="A65" s="20"/>
      <c r="B65" s="19"/>
      <c r="C65" s="20"/>
      <c r="D65" s="20"/>
      <c r="E65" s="20"/>
      <c r="F65" s="20"/>
      <c r="G65" s="20"/>
      <c r="H65" s="20"/>
      <c r="I65" s="20"/>
      <c r="J65" s="20"/>
      <c r="K65" s="20"/>
      <c r="L65" s="23"/>
      <c r="M65" s="23"/>
      <c r="N65" s="23"/>
      <c r="O65" s="23"/>
      <c r="P65" s="22" t="str">
        <f aca="false">IFERROR(N65/O65,"")</f>
        <v/>
      </c>
      <c r="Q65" s="20"/>
      <c r="R65" s="20"/>
      <c r="S65" s="20"/>
      <c r="T65" s="20"/>
      <c r="U65" s="20"/>
      <c r="V65" s="19"/>
      <c r="W65" s="19"/>
      <c r="X65" s="20"/>
      <c r="Y65" s="19"/>
      <c r="Z65" s="20"/>
      <c r="AA65" s="20"/>
      <c r="AB65" s="20"/>
      <c r="AC65" s="20"/>
      <c r="AD65" s="20"/>
      <c r="AE65" s="20"/>
      <c r="AF65" s="20"/>
      <c r="AG65" s="19"/>
    </row>
    <row r="66" customFormat="false" ht="15" hidden="false" customHeight="false" outlineLevel="0" collapsed="false">
      <c r="A66" s="20"/>
      <c r="B66" s="19"/>
      <c r="C66" s="20"/>
      <c r="D66" s="20"/>
      <c r="E66" s="20"/>
      <c r="F66" s="20"/>
      <c r="G66" s="20"/>
      <c r="H66" s="20"/>
      <c r="I66" s="20"/>
      <c r="J66" s="20"/>
      <c r="K66" s="20"/>
      <c r="L66" s="23"/>
      <c r="M66" s="23"/>
      <c r="N66" s="23"/>
      <c r="O66" s="23"/>
      <c r="P66" s="22" t="str">
        <f aca="false">IFERROR(N66/O66,"")</f>
        <v/>
      </c>
      <c r="Q66" s="20"/>
      <c r="R66" s="20"/>
      <c r="S66" s="20"/>
      <c r="T66" s="20"/>
      <c r="U66" s="20"/>
      <c r="V66" s="19"/>
      <c r="W66" s="19"/>
      <c r="X66" s="20"/>
      <c r="Y66" s="19"/>
      <c r="Z66" s="20"/>
      <c r="AA66" s="20"/>
      <c r="AB66" s="20"/>
      <c r="AC66" s="20"/>
      <c r="AD66" s="20"/>
      <c r="AE66" s="20"/>
      <c r="AF66" s="20"/>
      <c r="AG66" s="19"/>
    </row>
    <row r="67" customFormat="false" ht="15" hidden="false" customHeight="false" outlineLevel="0" collapsed="false">
      <c r="A67" s="20"/>
      <c r="B67" s="19"/>
      <c r="C67" s="20"/>
      <c r="D67" s="20"/>
      <c r="E67" s="20"/>
      <c r="F67" s="20"/>
      <c r="G67" s="20"/>
      <c r="H67" s="20"/>
      <c r="I67" s="20"/>
      <c r="J67" s="20"/>
      <c r="K67" s="20"/>
      <c r="L67" s="23"/>
      <c r="M67" s="23"/>
      <c r="N67" s="23"/>
      <c r="O67" s="23"/>
      <c r="P67" s="22" t="str">
        <f aca="false">IFERROR(N67/O67,"")</f>
        <v/>
      </c>
      <c r="Q67" s="20"/>
      <c r="R67" s="20"/>
      <c r="S67" s="20"/>
      <c r="T67" s="20"/>
      <c r="U67" s="20"/>
      <c r="V67" s="19"/>
      <c r="W67" s="19"/>
      <c r="X67" s="20"/>
      <c r="Y67" s="19"/>
      <c r="Z67" s="20"/>
      <c r="AA67" s="20"/>
      <c r="AB67" s="20"/>
      <c r="AC67" s="20"/>
      <c r="AD67" s="20"/>
      <c r="AE67" s="20"/>
      <c r="AF67" s="20"/>
      <c r="AG67" s="19"/>
    </row>
    <row r="68" customFormat="false" ht="15" hidden="false" customHeight="false" outlineLevel="0" collapsed="false">
      <c r="A68" s="20"/>
      <c r="B68" s="19"/>
      <c r="C68" s="20"/>
      <c r="D68" s="20"/>
      <c r="E68" s="20"/>
      <c r="F68" s="20"/>
      <c r="G68" s="20"/>
      <c r="H68" s="20"/>
      <c r="I68" s="20"/>
      <c r="J68" s="20"/>
      <c r="K68" s="20"/>
      <c r="L68" s="23"/>
      <c r="M68" s="23"/>
      <c r="N68" s="23"/>
      <c r="O68" s="23"/>
      <c r="P68" s="22" t="str">
        <f aca="false">IFERROR(N68/O68,"")</f>
        <v/>
      </c>
      <c r="Q68" s="20"/>
      <c r="R68" s="20"/>
      <c r="S68" s="20"/>
      <c r="T68" s="20"/>
      <c r="U68" s="20"/>
      <c r="V68" s="19"/>
      <c r="W68" s="19"/>
      <c r="X68" s="20"/>
      <c r="Y68" s="19"/>
      <c r="Z68" s="20"/>
      <c r="AA68" s="20"/>
      <c r="AB68" s="20"/>
      <c r="AC68" s="20"/>
      <c r="AD68" s="20"/>
      <c r="AE68" s="20"/>
      <c r="AF68" s="20"/>
      <c r="AG68" s="19"/>
    </row>
    <row r="69" customFormat="false" ht="15" hidden="false" customHeight="false" outlineLevel="0" collapsed="false">
      <c r="A69" s="20"/>
      <c r="B69" s="19"/>
      <c r="C69" s="20"/>
      <c r="D69" s="20"/>
      <c r="E69" s="20"/>
      <c r="F69" s="20"/>
      <c r="G69" s="20"/>
      <c r="H69" s="20"/>
      <c r="I69" s="20"/>
      <c r="J69" s="20"/>
      <c r="K69" s="20"/>
      <c r="L69" s="23"/>
      <c r="M69" s="23"/>
      <c r="N69" s="23"/>
      <c r="O69" s="23"/>
      <c r="P69" s="22" t="str">
        <f aca="false">IFERROR(N69/O69,"")</f>
        <v/>
      </c>
      <c r="Q69" s="20"/>
      <c r="R69" s="20"/>
      <c r="S69" s="20"/>
      <c r="T69" s="20"/>
      <c r="U69" s="20"/>
      <c r="V69" s="19"/>
      <c r="W69" s="19"/>
      <c r="X69" s="20"/>
      <c r="Y69" s="19"/>
      <c r="Z69" s="20"/>
      <c r="AA69" s="20"/>
      <c r="AB69" s="20"/>
      <c r="AC69" s="20"/>
      <c r="AD69" s="20"/>
      <c r="AE69" s="20"/>
      <c r="AF69" s="20"/>
      <c r="AG69" s="19"/>
    </row>
    <row r="70" customFormat="false" ht="15" hidden="false" customHeight="false" outlineLevel="0" collapsed="false">
      <c r="A70" s="20"/>
      <c r="B70" s="19"/>
      <c r="C70" s="20"/>
      <c r="D70" s="20"/>
      <c r="E70" s="20"/>
      <c r="F70" s="20"/>
      <c r="G70" s="20"/>
      <c r="H70" s="20"/>
      <c r="I70" s="20"/>
      <c r="J70" s="20"/>
      <c r="K70" s="20"/>
      <c r="L70" s="23"/>
      <c r="M70" s="23"/>
      <c r="N70" s="23"/>
      <c r="O70" s="23"/>
      <c r="P70" s="22" t="str">
        <f aca="false">IFERROR(N70/O70,"")</f>
        <v/>
      </c>
      <c r="Q70" s="20"/>
      <c r="R70" s="20"/>
      <c r="S70" s="20"/>
      <c r="T70" s="20"/>
      <c r="U70" s="20"/>
      <c r="V70" s="19"/>
      <c r="W70" s="19"/>
      <c r="X70" s="20"/>
      <c r="Y70" s="19"/>
      <c r="Z70" s="20"/>
      <c r="AA70" s="20"/>
      <c r="AB70" s="20"/>
      <c r="AC70" s="20"/>
      <c r="AD70" s="20"/>
      <c r="AE70" s="20"/>
      <c r="AF70" s="20"/>
      <c r="AG70" s="19"/>
    </row>
    <row r="71" customFormat="false" ht="15" hidden="false" customHeight="false" outlineLevel="0" collapsed="false">
      <c r="A71" s="20"/>
      <c r="B71" s="19"/>
      <c r="C71" s="20"/>
      <c r="D71" s="20"/>
      <c r="E71" s="20"/>
      <c r="F71" s="20"/>
      <c r="G71" s="20"/>
      <c r="H71" s="20"/>
      <c r="I71" s="20"/>
      <c r="J71" s="20"/>
      <c r="K71" s="20"/>
      <c r="L71" s="23"/>
      <c r="M71" s="23"/>
      <c r="N71" s="23"/>
      <c r="O71" s="23"/>
      <c r="P71" s="22" t="str">
        <f aca="false">IFERROR(N71/O71,"")</f>
        <v/>
      </c>
      <c r="Q71" s="20"/>
      <c r="R71" s="20"/>
      <c r="S71" s="20"/>
      <c r="T71" s="20"/>
      <c r="U71" s="20"/>
      <c r="V71" s="19"/>
      <c r="W71" s="19"/>
      <c r="X71" s="20"/>
      <c r="Y71" s="19"/>
      <c r="Z71" s="20"/>
      <c r="AA71" s="20"/>
      <c r="AB71" s="20"/>
      <c r="AC71" s="20"/>
      <c r="AD71" s="20"/>
      <c r="AE71" s="20"/>
      <c r="AF71" s="20"/>
      <c r="AG71" s="19"/>
    </row>
    <row r="72" customFormat="false" ht="15" hidden="false" customHeight="false" outlineLevel="0" collapsed="false">
      <c r="A72" s="20"/>
      <c r="B72" s="19"/>
      <c r="C72" s="20"/>
      <c r="D72" s="20"/>
      <c r="E72" s="20"/>
      <c r="F72" s="20"/>
      <c r="G72" s="20"/>
      <c r="H72" s="20"/>
      <c r="I72" s="20"/>
      <c r="J72" s="20"/>
      <c r="K72" s="20"/>
      <c r="L72" s="23"/>
      <c r="M72" s="23"/>
      <c r="N72" s="23"/>
      <c r="O72" s="23"/>
      <c r="P72" s="22" t="str">
        <f aca="false">IFERROR(N72/O72,"")</f>
        <v/>
      </c>
      <c r="Q72" s="20"/>
      <c r="R72" s="20"/>
      <c r="S72" s="20"/>
      <c r="T72" s="20"/>
      <c r="U72" s="20"/>
      <c r="V72" s="19"/>
      <c r="W72" s="19"/>
      <c r="X72" s="20"/>
      <c r="Y72" s="19"/>
      <c r="Z72" s="20"/>
      <c r="AA72" s="20"/>
      <c r="AB72" s="20"/>
      <c r="AC72" s="20"/>
      <c r="AD72" s="20"/>
      <c r="AE72" s="20"/>
      <c r="AF72" s="20"/>
      <c r="AG72" s="19"/>
    </row>
    <row r="73" customFormat="false" ht="15" hidden="false" customHeight="false" outlineLevel="0" collapsed="false">
      <c r="A73" s="20"/>
      <c r="B73" s="19"/>
      <c r="C73" s="20"/>
      <c r="D73" s="20"/>
      <c r="E73" s="20"/>
      <c r="F73" s="20"/>
      <c r="G73" s="20"/>
      <c r="H73" s="20"/>
      <c r="I73" s="20"/>
      <c r="J73" s="20"/>
      <c r="K73" s="20"/>
      <c r="L73" s="23"/>
      <c r="M73" s="23"/>
      <c r="N73" s="23"/>
      <c r="O73" s="23"/>
      <c r="P73" s="22" t="str">
        <f aca="false">IFERROR(N73/O73,"")</f>
        <v/>
      </c>
      <c r="Q73" s="20"/>
      <c r="R73" s="20"/>
      <c r="S73" s="20"/>
      <c r="T73" s="20"/>
      <c r="U73" s="20"/>
      <c r="V73" s="19"/>
      <c r="W73" s="19"/>
      <c r="X73" s="20"/>
      <c r="Y73" s="19"/>
      <c r="Z73" s="20"/>
      <c r="AA73" s="20"/>
      <c r="AB73" s="20"/>
      <c r="AC73" s="20"/>
      <c r="AD73" s="20"/>
      <c r="AE73" s="20"/>
      <c r="AF73" s="20"/>
      <c r="AG73" s="19"/>
    </row>
    <row r="74" customFormat="false" ht="15" hidden="false" customHeight="false" outlineLevel="0" collapsed="false">
      <c r="A74" s="20"/>
      <c r="B74" s="19"/>
      <c r="C74" s="20"/>
      <c r="D74" s="20"/>
      <c r="E74" s="20"/>
      <c r="F74" s="20"/>
      <c r="G74" s="20"/>
      <c r="H74" s="20"/>
      <c r="I74" s="20"/>
      <c r="J74" s="20"/>
      <c r="K74" s="20"/>
      <c r="L74" s="23"/>
      <c r="M74" s="23"/>
      <c r="N74" s="23"/>
      <c r="O74" s="23"/>
      <c r="P74" s="22" t="str">
        <f aca="false">IFERROR(N74/O74,"")</f>
        <v/>
      </c>
      <c r="Q74" s="20"/>
      <c r="R74" s="20"/>
      <c r="S74" s="20"/>
      <c r="T74" s="20"/>
      <c r="U74" s="20"/>
      <c r="V74" s="19"/>
      <c r="W74" s="19"/>
      <c r="X74" s="20"/>
      <c r="Y74" s="19"/>
      <c r="Z74" s="20"/>
      <c r="AA74" s="20"/>
      <c r="AB74" s="20"/>
      <c r="AC74" s="20"/>
      <c r="AD74" s="20"/>
      <c r="AE74" s="20"/>
      <c r="AF74" s="20"/>
      <c r="AG74" s="19"/>
    </row>
    <row r="75" customFormat="false" ht="15" hidden="false" customHeight="false" outlineLevel="0" collapsed="false">
      <c r="A75" s="20"/>
      <c r="B75" s="19"/>
      <c r="C75" s="20"/>
      <c r="D75" s="20"/>
      <c r="E75" s="20"/>
      <c r="F75" s="20"/>
      <c r="G75" s="20"/>
      <c r="H75" s="20"/>
      <c r="I75" s="20"/>
      <c r="J75" s="20"/>
      <c r="K75" s="20"/>
      <c r="L75" s="23"/>
      <c r="M75" s="23"/>
      <c r="N75" s="23"/>
      <c r="O75" s="23"/>
      <c r="P75" s="22" t="str">
        <f aca="false">IFERROR(N75/O75,"")</f>
        <v/>
      </c>
      <c r="Q75" s="20"/>
      <c r="R75" s="20"/>
      <c r="S75" s="20"/>
      <c r="T75" s="20"/>
      <c r="U75" s="20"/>
      <c r="V75" s="19"/>
      <c r="W75" s="19"/>
      <c r="X75" s="20"/>
      <c r="Y75" s="19"/>
      <c r="Z75" s="20"/>
      <c r="AA75" s="20"/>
      <c r="AB75" s="20"/>
      <c r="AC75" s="20"/>
      <c r="AD75" s="20"/>
      <c r="AE75" s="20"/>
      <c r="AF75" s="20"/>
      <c r="AG75" s="19"/>
    </row>
    <row r="76" customFormat="false" ht="15" hidden="false" customHeight="false" outlineLevel="0" collapsed="false">
      <c r="A76" s="20"/>
      <c r="B76" s="19"/>
      <c r="C76" s="20"/>
      <c r="D76" s="20"/>
      <c r="E76" s="20"/>
      <c r="F76" s="20"/>
      <c r="G76" s="20"/>
      <c r="H76" s="20"/>
      <c r="I76" s="20"/>
      <c r="J76" s="20"/>
      <c r="K76" s="20"/>
      <c r="L76" s="23"/>
      <c r="M76" s="23"/>
      <c r="N76" s="23"/>
      <c r="O76" s="23"/>
      <c r="P76" s="22" t="str">
        <f aca="false">IFERROR(N76/O76,"")</f>
        <v/>
      </c>
      <c r="Q76" s="20"/>
      <c r="R76" s="20"/>
      <c r="S76" s="20"/>
      <c r="T76" s="20"/>
      <c r="U76" s="20"/>
      <c r="V76" s="19"/>
      <c r="W76" s="19"/>
      <c r="X76" s="20"/>
      <c r="Y76" s="19"/>
      <c r="Z76" s="20"/>
      <c r="AA76" s="20"/>
      <c r="AB76" s="20"/>
      <c r="AC76" s="20"/>
      <c r="AD76" s="20"/>
      <c r="AE76" s="20"/>
      <c r="AF76" s="20"/>
      <c r="AG76" s="19"/>
    </row>
    <row r="77" customFormat="false" ht="15" hidden="false" customHeight="false" outlineLevel="0" collapsed="false">
      <c r="A77" s="20"/>
      <c r="B77" s="19"/>
      <c r="C77" s="20"/>
      <c r="D77" s="20"/>
      <c r="E77" s="20"/>
      <c r="F77" s="20"/>
      <c r="G77" s="20"/>
      <c r="H77" s="20"/>
      <c r="I77" s="20"/>
      <c r="J77" s="20"/>
      <c r="K77" s="20"/>
      <c r="L77" s="23"/>
      <c r="M77" s="23"/>
      <c r="N77" s="23"/>
      <c r="O77" s="23"/>
      <c r="P77" s="22" t="str">
        <f aca="false">IFERROR(N77/O77,"")</f>
        <v/>
      </c>
      <c r="Q77" s="20"/>
      <c r="R77" s="20"/>
      <c r="S77" s="20"/>
      <c r="T77" s="20"/>
      <c r="U77" s="20"/>
      <c r="V77" s="19"/>
      <c r="W77" s="19"/>
      <c r="X77" s="20"/>
      <c r="Y77" s="19"/>
      <c r="Z77" s="20"/>
      <c r="AA77" s="20"/>
      <c r="AB77" s="20"/>
      <c r="AC77" s="20"/>
      <c r="AD77" s="20"/>
      <c r="AE77" s="20"/>
      <c r="AF77" s="20"/>
      <c r="AG77" s="19"/>
    </row>
    <row r="78" customFormat="false" ht="15" hidden="false" customHeight="false" outlineLevel="0" collapsed="false">
      <c r="A78" s="20"/>
      <c r="B78" s="19"/>
      <c r="C78" s="20"/>
      <c r="D78" s="20"/>
      <c r="E78" s="20"/>
      <c r="F78" s="20"/>
      <c r="G78" s="20"/>
      <c r="H78" s="20"/>
      <c r="I78" s="20"/>
      <c r="J78" s="20"/>
      <c r="K78" s="20"/>
      <c r="L78" s="23"/>
      <c r="M78" s="23"/>
      <c r="N78" s="23"/>
      <c r="O78" s="23"/>
      <c r="P78" s="22" t="str">
        <f aca="false">IFERROR(N78/O78,"")</f>
        <v/>
      </c>
      <c r="Q78" s="20"/>
      <c r="R78" s="20"/>
      <c r="S78" s="20"/>
      <c r="T78" s="20"/>
      <c r="U78" s="20"/>
      <c r="V78" s="19"/>
      <c r="W78" s="19"/>
      <c r="X78" s="20"/>
      <c r="Y78" s="19"/>
      <c r="Z78" s="20"/>
      <c r="AA78" s="20"/>
      <c r="AB78" s="20"/>
      <c r="AC78" s="20"/>
      <c r="AD78" s="20"/>
      <c r="AE78" s="20"/>
      <c r="AF78" s="20"/>
      <c r="AG78" s="19"/>
    </row>
    <row r="79" customFormat="false" ht="15" hidden="false" customHeight="false" outlineLevel="0" collapsed="false">
      <c r="A79" s="20"/>
      <c r="B79" s="19"/>
      <c r="C79" s="20"/>
      <c r="D79" s="20"/>
      <c r="E79" s="20"/>
      <c r="F79" s="20"/>
      <c r="G79" s="20"/>
      <c r="H79" s="20"/>
      <c r="I79" s="20"/>
      <c r="J79" s="20"/>
      <c r="K79" s="20"/>
      <c r="L79" s="23"/>
      <c r="M79" s="23"/>
      <c r="N79" s="23"/>
      <c r="O79" s="23"/>
      <c r="P79" s="22" t="str">
        <f aca="false">IFERROR(N79/O79,"")</f>
        <v/>
      </c>
      <c r="Q79" s="20"/>
      <c r="R79" s="20"/>
      <c r="S79" s="20"/>
      <c r="T79" s="20"/>
      <c r="U79" s="20"/>
      <c r="V79" s="19"/>
      <c r="W79" s="19"/>
      <c r="X79" s="20"/>
      <c r="Y79" s="19"/>
      <c r="Z79" s="20"/>
      <c r="AA79" s="20"/>
      <c r="AB79" s="20"/>
      <c r="AC79" s="20"/>
      <c r="AD79" s="20"/>
      <c r="AE79" s="20"/>
      <c r="AF79" s="20"/>
      <c r="AG79" s="19"/>
    </row>
    <row r="80" customFormat="false" ht="15" hidden="false" customHeight="false" outlineLevel="0" collapsed="false">
      <c r="A80" s="20"/>
      <c r="B80" s="19"/>
      <c r="C80" s="20"/>
      <c r="D80" s="20"/>
      <c r="E80" s="20"/>
      <c r="F80" s="20"/>
      <c r="G80" s="20"/>
      <c r="H80" s="20"/>
      <c r="I80" s="20"/>
      <c r="J80" s="20"/>
      <c r="K80" s="20"/>
      <c r="L80" s="23"/>
      <c r="M80" s="23"/>
      <c r="N80" s="23"/>
      <c r="O80" s="23"/>
      <c r="P80" s="22" t="str">
        <f aca="false">IFERROR(N80/O80,"")</f>
        <v/>
      </c>
      <c r="Q80" s="20"/>
      <c r="R80" s="20"/>
      <c r="S80" s="20"/>
      <c r="T80" s="20"/>
      <c r="U80" s="20"/>
      <c r="V80" s="19"/>
      <c r="W80" s="19"/>
      <c r="X80" s="20"/>
      <c r="Y80" s="19"/>
      <c r="Z80" s="20"/>
      <c r="AA80" s="20"/>
      <c r="AB80" s="20"/>
      <c r="AC80" s="20"/>
      <c r="AD80" s="20"/>
      <c r="AE80" s="20"/>
      <c r="AF80" s="20"/>
      <c r="AG80" s="19"/>
    </row>
    <row r="81" customFormat="false" ht="15" hidden="false" customHeight="false" outlineLevel="0" collapsed="false">
      <c r="A81" s="20"/>
      <c r="B81" s="19"/>
      <c r="C81" s="20"/>
      <c r="D81" s="20"/>
      <c r="E81" s="20"/>
      <c r="F81" s="20"/>
      <c r="G81" s="20"/>
      <c r="H81" s="20"/>
      <c r="I81" s="20"/>
      <c r="J81" s="20"/>
      <c r="K81" s="20"/>
      <c r="L81" s="23"/>
      <c r="M81" s="23"/>
      <c r="N81" s="23"/>
      <c r="O81" s="23"/>
      <c r="P81" s="22" t="str">
        <f aca="false">IFERROR(N81/O81,"")</f>
        <v/>
      </c>
      <c r="Q81" s="20"/>
      <c r="R81" s="20"/>
      <c r="S81" s="20"/>
      <c r="T81" s="20"/>
      <c r="U81" s="20"/>
      <c r="V81" s="19"/>
      <c r="W81" s="19"/>
      <c r="X81" s="20"/>
      <c r="Y81" s="19"/>
      <c r="Z81" s="20"/>
      <c r="AA81" s="20"/>
      <c r="AB81" s="20"/>
      <c r="AC81" s="20"/>
      <c r="AD81" s="20"/>
      <c r="AE81" s="20"/>
      <c r="AF81" s="20"/>
      <c r="AG81" s="19"/>
    </row>
    <row r="82" customFormat="false" ht="15" hidden="false" customHeight="false" outlineLevel="0" collapsed="false">
      <c r="A82" s="20"/>
      <c r="B82" s="19"/>
      <c r="C82" s="20"/>
      <c r="D82" s="20"/>
      <c r="E82" s="20"/>
      <c r="F82" s="20"/>
      <c r="G82" s="20"/>
      <c r="H82" s="20"/>
      <c r="I82" s="20"/>
      <c r="J82" s="20"/>
      <c r="K82" s="20"/>
      <c r="L82" s="23"/>
      <c r="M82" s="23"/>
      <c r="N82" s="23"/>
      <c r="O82" s="23"/>
      <c r="P82" s="22" t="str">
        <f aca="false">IFERROR(N82/O82,"")</f>
        <v/>
      </c>
      <c r="Q82" s="20"/>
      <c r="R82" s="20"/>
      <c r="S82" s="20"/>
      <c r="T82" s="20"/>
      <c r="U82" s="20"/>
      <c r="V82" s="19"/>
      <c r="W82" s="19"/>
      <c r="X82" s="20"/>
      <c r="Y82" s="19"/>
      <c r="Z82" s="20"/>
      <c r="AA82" s="20"/>
      <c r="AB82" s="20"/>
      <c r="AC82" s="20"/>
      <c r="AD82" s="20"/>
      <c r="AE82" s="20"/>
      <c r="AF82" s="20"/>
      <c r="AG82" s="19"/>
    </row>
    <row r="83" customFormat="false" ht="15" hidden="false" customHeight="false" outlineLevel="0" collapsed="false">
      <c r="A83" s="20"/>
      <c r="B83" s="19"/>
      <c r="C83" s="20"/>
      <c r="D83" s="20"/>
      <c r="E83" s="20"/>
      <c r="F83" s="20"/>
      <c r="G83" s="20"/>
      <c r="H83" s="20"/>
      <c r="I83" s="20"/>
      <c r="J83" s="20"/>
      <c r="K83" s="20"/>
      <c r="L83" s="23"/>
      <c r="M83" s="23"/>
      <c r="N83" s="23"/>
      <c r="O83" s="23"/>
      <c r="P83" s="22" t="str">
        <f aca="false">IFERROR(N83/O83,"")</f>
        <v/>
      </c>
      <c r="Q83" s="20"/>
      <c r="R83" s="20"/>
      <c r="S83" s="20"/>
      <c r="T83" s="20"/>
      <c r="U83" s="20"/>
      <c r="V83" s="19"/>
      <c r="W83" s="19"/>
      <c r="X83" s="20"/>
      <c r="Y83" s="19"/>
      <c r="Z83" s="20"/>
      <c r="AA83" s="20"/>
      <c r="AB83" s="20"/>
      <c r="AC83" s="20"/>
      <c r="AD83" s="20"/>
      <c r="AE83" s="20"/>
      <c r="AF83" s="20"/>
      <c r="AG83" s="19"/>
    </row>
    <row r="84" customFormat="false" ht="15" hidden="false" customHeight="false" outlineLevel="0" collapsed="false">
      <c r="A84" s="20"/>
      <c r="B84" s="19"/>
      <c r="C84" s="20"/>
      <c r="D84" s="20"/>
      <c r="E84" s="20"/>
      <c r="F84" s="20"/>
      <c r="G84" s="20"/>
      <c r="H84" s="20"/>
      <c r="I84" s="20"/>
      <c r="J84" s="20"/>
      <c r="K84" s="20"/>
      <c r="L84" s="23"/>
      <c r="M84" s="23"/>
      <c r="N84" s="23"/>
      <c r="O84" s="23"/>
      <c r="P84" s="22" t="str">
        <f aca="false">IFERROR(N84/O84,"")</f>
        <v/>
      </c>
      <c r="Q84" s="20"/>
      <c r="R84" s="20"/>
      <c r="S84" s="20"/>
      <c r="T84" s="20"/>
      <c r="U84" s="20"/>
      <c r="V84" s="19"/>
      <c r="W84" s="19"/>
      <c r="X84" s="20"/>
      <c r="Y84" s="19"/>
      <c r="Z84" s="20"/>
      <c r="AA84" s="20"/>
      <c r="AB84" s="20"/>
      <c r="AC84" s="20"/>
      <c r="AD84" s="20"/>
      <c r="AE84" s="20"/>
      <c r="AF84" s="20"/>
      <c r="AG84" s="19"/>
    </row>
    <row r="85" customFormat="false" ht="15" hidden="false" customHeight="false" outlineLevel="0" collapsed="false">
      <c r="A85" s="20"/>
      <c r="B85" s="19"/>
      <c r="C85" s="20"/>
      <c r="D85" s="20"/>
      <c r="E85" s="20"/>
      <c r="F85" s="20"/>
      <c r="G85" s="20"/>
      <c r="H85" s="20"/>
      <c r="I85" s="20"/>
      <c r="J85" s="20"/>
      <c r="K85" s="20"/>
      <c r="L85" s="23"/>
      <c r="M85" s="23"/>
      <c r="N85" s="23"/>
      <c r="O85" s="23"/>
      <c r="P85" s="22" t="str">
        <f aca="false">IFERROR(N85/O85,"")</f>
        <v/>
      </c>
      <c r="Q85" s="20"/>
      <c r="R85" s="20"/>
      <c r="S85" s="20"/>
      <c r="T85" s="20"/>
      <c r="U85" s="20"/>
      <c r="V85" s="19"/>
      <c r="W85" s="19"/>
      <c r="X85" s="20"/>
      <c r="Y85" s="19"/>
      <c r="Z85" s="20"/>
      <c r="AA85" s="20"/>
      <c r="AB85" s="20"/>
      <c r="AC85" s="20"/>
      <c r="AD85" s="20"/>
      <c r="AE85" s="20"/>
      <c r="AF85" s="20"/>
      <c r="AG85" s="19"/>
    </row>
    <row r="86" customFormat="false" ht="15" hidden="false" customHeight="false" outlineLevel="0" collapsed="false">
      <c r="A86" s="20"/>
      <c r="B86" s="19"/>
      <c r="C86" s="20"/>
      <c r="D86" s="20"/>
      <c r="E86" s="20"/>
      <c r="F86" s="20"/>
      <c r="G86" s="20"/>
      <c r="H86" s="20"/>
      <c r="I86" s="20"/>
      <c r="J86" s="20"/>
      <c r="K86" s="20"/>
      <c r="L86" s="23"/>
      <c r="M86" s="23"/>
      <c r="N86" s="23"/>
      <c r="O86" s="23"/>
      <c r="P86" s="22" t="str">
        <f aca="false">IFERROR(N86/O86,"")</f>
        <v/>
      </c>
      <c r="Q86" s="20"/>
      <c r="R86" s="20"/>
      <c r="S86" s="20"/>
      <c r="T86" s="20"/>
      <c r="U86" s="20"/>
      <c r="V86" s="19"/>
      <c r="W86" s="19"/>
      <c r="X86" s="20"/>
      <c r="Y86" s="19"/>
      <c r="Z86" s="20"/>
      <c r="AA86" s="20"/>
      <c r="AB86" s="20"/>
      <c r="AC86" s="20"/>
      <c r="AD86" s="20"/>
      <c r="AE86" s="20"/>
      <c r="AF86" s="20"/>
      <c r="AG86" s="19"/>
    </row>
    <row r="87" customFormat="false" ht="15" hidden="false" customHeight="false" outlineLevel="0" collapsed="false">
      <c r="A87" s="20"/>
      <c r="B87" s="19"/>
      <c r="C87" s="20"/>
      <c r="D87" s="20"/>
      <c r="E87" s="20"/>
      <c r="F87" s="20"/>
      <c r="G87" s="20"/>
      <c r="H87" s="20"/>
      <c r="I87" s="20"/>
      <c r="J87" s="20"/>
      <c r="K87" s="20"/>
      <c r="L87" s="23"/>
      <c r="M87" s="23"/>
      <c r="N87" s="23"/>
      <c r="O87" s="23"/>
      <c r="P87" s="22" t="str">
        <f aca="false">IFERROR(N87/O87,"")</f>
        <v/>
      </c>
      <c r="Q87" s="20"/>
      <c r="R87" s="20"/>
      <c r="S87" s="20"/>
      <c r="T87" s="20"/>
      <c r="U87" s="20"/>
      <c r="V87" s="19"/>
      <c r="W87" s="19"/>
      <c r="X87" s="20"/>
      <c r="Y87" s="19"/>
      <c r="Z87" s="20"/>
      <c r="AA87" s="20"/>
      <c r="AB87" s="20"/>
      <c r="AC87" s="20"/>
      <c r="AD87" s="20"/>
      <c r="AE87" s="20"/>
      <c r="AF87" s="20"/>
      <c r="AG87" s="19"/>
    </row>
    <row r="88" customFormat="false" ht="15" hidden="false" customHeight="false" outlineLevel="0" collapsed="false">
      <c r="A88" s="20"/>
      <c r="B88" s="19"/>
      <c r="C88" s="20"/>
      <c r="D88" s="20"/>
      <c r="E88" s="20"/>
      <c r="F88" s="20"/>
      <c r="G88" s="20"/>
      <c r="H88" s="20"/>
      <c r="I88" s="20"/>
      <c r="J88" s="20"/>
      <c r="K88" s="20"/>
      <c r="L88" s="23"/>
      <c r="M88" s="23"/>
      <c r="N88" s="23"/>
      <c r="O88" s="23"/>
      <c r="P88" s="22" t="str">
        <f aca="false">IFERROR(N88/O88,"")</f>
        <v/>
      </c>
      <c r="Q88" s="20"/>
      <c r="R88" s="20"/>
      <c r="S88" s="20"/>
      <c r="T88" s="20"/>
      <c r="U88" s="20"/>
      <c r="V88" s="19"/>
      <c r="W88" s="19"/>
      <c r="X88" s="20"/>
      <c r="Y88" s="19"/>
      <c r="Z88" s="20"/>
      <c r="AA88" s="20"/>
      <c r="AB88" s="20"/>
      <c r="AC88" s="20"/>
      <c r="AD88" s="20"/>
      <c r="AE88" s="20"/>
      <c r="AF88" s="20"/>
      <c r="AG88" s="19"/>
    </row>
    <row r="89" customFormat="false" ht="15" hidden="false" customHeight="false" outlineLevel="0" collapsed="false">
      <c r="A89" s="20"/>
      <c r="B89" s="19"/>
      <c r="C89" s="20"/>
      <c r="D89" s="20"/>
      <c r="E89" s="20"/>
      <c r="F89" s="20"/>
      <c r="G89" s="20"/>
      <c r="H89" s="20"/>
      <c r="I89" s="20"/>
      <c r="J89" s="20"/>
      <c r="K89" s="20"/>
      <c r="L89" s="23"/>
      <c r="M89" s="23"/>
      <c r="N89" s="23"/>
      <c r="O89" s="23"/>
      <c r="P89" s="22" t="str">
        <f aca="false">IFERROR(N89/O89,"")</f>
        <v/>
      </c>
      <c r="Q89" s="20"/>
      <c r="R89" s="20"/>
      <c r="S89" s="20"/>
      <c r="T89" s="20"/>
      <c r="U89" s="20"/>
      <c r="V89" s="19"/>
      <c r="W89" s="19"/>
      <c r="X89" s="20"/>
      <c r="Y89" s="19"/>
      <c r="Z89" s="20"/>
      <c r="AA89" s="20"/>
      <c r="AB89" s="20"/>
      <c r="AC89" s="20"/>
      <c r="AD89" s="20"/>
      <c r="AE89" s="20"/>
      <c r="AF89" s="20"/>
      <c r="AG89" s="19"/>
    </row>
    <row r="90" customFormat="false" ht="15" hidden="false" customHeight="false" outlineLevel="0" collapsed="false">
      <c r="A90" s="20"/>
      <c r="B90" s="19"/>
      <c r="C90" s="20"/>
      <c r="D90" s="20"/>
      <c r="E90" s="20"/>
      <c r="F90" s="20"/>
      <c r="G90" s="20"/>
      <c r="H90" s="20"/>
      <c r="I90" s="20"/>
      <c r="J90" s="20"/>
      <c r="K90" s="20"/>
      <c r="L90" s="23"/>
      <c r="M90" s="23"/>
      <c r="N90" s="23"/>
      <c r="O90" s="23"/>
      <c r="P90" s="22" t="str">
        <f aca="false">IFERROR(N90/O90,"")</f>
        <v/>
      </c>
      <c r="Q90" s="20"/>
      <c r="R90" s="20"/>
      <c r="S90" s="20"/>
      <c r="T90" s="20"/>
      <c r="U90" s="20"/>
      <c r="V90" s="19"/>
      <c r="W90" s="19"/>
      <c r="X90" s="20"/>
      <c r="Y90" s="19"/>
      <c r="Z90" s="20"/>
      <c r="AA90" s="20"/>
      <c r="AB90" s="20"/>
      <c r="AC90" s="20"/>
      <c r="AD90" s="20"/>
      <c r="AE90" s="20"/>
      <c r="AF90" s="20"/>
      <c r="AG90" s="19"/>
    </row>
    <row r="91" customFormat="false" ht="15" hidden="false" customHeight="false" outlineLevel="0" collapsed="false">
      <c r="A91" s="20"/>
      <c r="B91" s="19"/>
      <c r="C91" s="20"/>
      <c r="D91" s="20"/>
      <c r="E91" s="20"/>
      <c r="F91" s="20"/>
      <c r="G91" s="20"/>
      <c r="H91" s="20"/>
      <c r="I91" s="20"/>
      <c r="J91" s="20"/>
      <c r="K91" s="20"/>
      <c r="L91" s="23"/>
      <c r="M91" s="23"/>
      <c r="N91" s="23"/>
      <c r="O91" s="23"/>
      <c r="P91" s="22" t="str">
        <f aca="false">IFERROR(N91/O91,"")</f>
        <v/>
      </c>
      <c r="Q91" s="20"/>
      <c r="R91" s="20"/>
      <c r="S91" s="20"/>
      <c r="T91" s="20"/>
      <c r="U91" s="20"/>
      <c r="V91" s="19"/>
      <c r="W91" s="19"/>
      <c r="X91" s="20"/>
      <c r="Y91" s="19"/>
      <c r="Z91" s="20"/>
      <c r="AA91" s="20"/>
      <c r="AB91" s="20"/>
      <c r="AC91" s="20"/>
      <c r="AD91" s="20"/>
      <c r="AE91" s="20"/>
      <c r="AF91" s="20"/>
      <c r="AG91" s="19"/>
    </row>
    <row r="92" customFormat="false" ht="15" hidden="false" customHeight="false" outlineLevel="0" collapsed="false">
      <c r="A92" s="20"/>
      <c r="B92" s="19"/>
      <c r="C92" s="20"/>
      <c r="D92" s="20"/>
      <c r="E92" s="20"/>
      <c r="F92" s="20"/>
      <c r="G92" s="20"/>
      <c r="H92" s="20"/>
      <c r="I92" s="20"/>
      <c r="J92" s="20"/>
      <c r="K92" s="20"/>
      <c r="L92" s="23"/>
      <c r="M92" s="23"/>
      <c r="N92" s="23"/>
      <c r="O92" s="23"/>
      <c r="P92" s="22" t="str">
        <f aca="false">IFERROR(N92/O92,"")</f>
        <v/>
      </c>
      <c r="Q92" s="20"/>
      <c r="R92" s="20"/>
      <c r="S92" s="20"/>
      <c r="T92" s="20"/>
      <c r="U92" s="20"/>
      <c r="V92" s="19"/>
      <c r="W92" s="19"/>
      <c r="X92" s="20"/>
      <c r="Y92" s="19"/>
      <c r="Z92" s="20"/>
      <c r="AA92" s="20"/>
      <c r="AB92" s="20"/>
      <c r="AC92" s="20"/>
      <c r="AD92" s="20"/>
      <c r="AE92" s="20"/>
      <c r="AF92" s="20"/>
      <c r="AG92" s="19"/>
    </row>
    <row r="93" customFormat="false" ht="15" hidden="false" customHeight="false" outlineLevel="0" collapsed="false">
      <c r="A93" s="20"/>
      <c r="B93" s="19"/>
      <c r="C93" s="20"/>
      <c r="D93" s="20"/>
      <c r="E93" s="20"/>
      <c r="F93" s="20"/>
      <c r="G93" s="20"/>
      <c r="H93" s="20"/>
      <c r="I93" s="20"/>
      <c r="J93" s="20"/>
      <c r="K93" s="20"/>
      <c r="L93" s="23"/>
      <c r="M93" s="23"/>
      <c r="N93" s="23"/>
      <c r="O93" s="23"/>
      <c r="P93" s="22" t="str">
        <f aca="false">IFERROR(N93/O93,"")</f>
        <v/>
      </c>
      <c r="Q93" s="20"/>
      <c r="R93" s="20"/>
      <c r="S93" s="20"/>
      <c r="T93" s="20"/>
      <c r="U93" s="20"/>
      <c r="V93" s="19"/>
      <c r="W93" s="19"/>
      <c r="X93" s="20"/>
      <c r="Y93" s="19"/>
      <c r="Z93" s="20"/>
      <c r="AA93" s="20"/>
      <c r="AB93" s="20"/>
      <c r="AC93" s="20"/>
      <c r="AD93" s="20"/>
      <c r="AE93" s="20"/>
      <c r="AF93" s="20"/>
      <c r="AG93" s="19"/>
    </row>
    <row r="94" customFormat="false" ht="15" hidden="false" customHeight="false" outlineLevel="0" collapsed="false">
      <c r="A94" s="20"/>
      <c r="B94" s="19"/>
      <c r="C94" s="20"/>
      <c r="D94" s="20"/>
      <c r="E94" s="20"/>
      <c r="F94" s="20"/>
      <c r="G94" s="20"/>
      <c r="H94" s="20"/>
      <c r="I94" s="20"/>
      <c r="J94" s="20"/>
      <c r="K94" s="20"/>
      <c r="L94" s="23"/>
      <c r="M94" s="23"/>
      <c r="N94" s="23"/>
      <c r="O94" s="23"/>
      <c r="P94" s="22" t="str">
        <f aca="false">IFERROR(N94/O94,"")</f>
        <v/>
      </c>
      <c r="Q94" s="20"/>
      <c r="R94" s="20"/>
      <c r="S94" s="20"/>
      <c r="T94" s="20"/>
      <c r="U94" s="20"/>
      <c r="V94" s="19"/>
      <c r="W94" s="19"/>
      <c r="X94" s="20"/>
      <c r="Y94" s="19"/>
      <c r="Z94" s="20"/>
      <c r="AA94" s="20"/>
      <c r="AB94" s="20"/>
      <c r="AC94" s="20"/>
      <c r="AD94" s="20"/>
      <c r="AE94" s="20"/>
      <c r="AF94" s="20"/>
      <c r="AG94" s="19"/>
    </row>
    <row r="95" customFormat="false" ht="15" hidden="false" customHeight="false" outlineLevel="0" collapsed="false">
      <c r="A95" s="20"/>
      <c r="B95" s="19"/>
      <c r="C95" s="20"/>
      <c r="D95" s="20"/>
      <c r="E95" s="20"/>
      <c r="F95" s="20"/>
      <c r="G95" s="20"/>
      <c r="H95" s="20"/>
      <c r="I95" s="20"/>
      <c r="J95" s="20"/>
      <c r="K95" s="20"/>
      <c r="L95" s="23"/>
      <c r="M95" s="23"/>
      <c r="N95" s="23"/>
      <c r="O95" s="23"/>
      <c r="P95" s="22" t="str">
        <f aca="false">IFERROR(N95/O95,"")</f>
        <v/>
      </c>
      <c r="Q95" s="20"/>
      <c r="R95" s="20"/>
      <c r="S95" s="20"/>
      <c r="T95" s="20"/>
      <c r="U95" s="20"/>
      <c r="V95" s="19"/>
      <c r="W95" s="19"/>
      <c r="X95" s="20"/>
      <c r="Y95" s="19"/>
      <c r="Z95" s="20"/>
      <c r="AA95" s="20"/>
      <c r="AB95" s="20"/>
      <c r="AC95" s="20"/>
      <c r="AD95" s="20"/>
      <c r="AE95" s="20"/>
      <c r="AF95" s="20"/>
      <c r="AG95" s="19"/>
    </row>
    <row r="96" customFormat="false" ht="15" hidden="false" customHeight="false" outlineLevel="0" collapsed="false">
      <c r="A96" s="20"/>
      <c r="B96" s="19"/>
      <c r="C96" s="20"/>
      <c r="D96" s="20"/>
      <c r="E96" s="20"/>
      <c r="F96" s="20"/>
      <c r="G96" s="20"/>
      <c r="H96" s="20"/>
      <c r="I96" s="20"/>
      <c r="J96" s="20"/>
      <c r="K96" s="20"/>
      <c r="L96" s="23"/>
      <c r="M96" s="23"/>
      <c r="N96" s="23"/>
      <c r="O96" s="23"/>
      <c r="P96" s="22" t="str">
        <f aca="false">IFERROR(N96/O96,"")</f>
        <v/>
      </c>
      <c r="Q96" s="20"/>
      <c r="R96" s="20"/>
      <c r="S96" s="20"/>
      <c r="T96" s="20"/>
      <c r="U96" s="20"/>
      <c r="V96" s="19"/>
      <c r="W96" s="19"/>
      <c r="X96" s="20"/>
      <c r="Y96" s="19"/>
      <c r="Z96" s="20"/>
      <c r="AA96" s="20"/>
      <c r="AB96" s="20"/>
      <c r="AC96" s="20"/>
      <c r="AD96" s="20"/>
      <c r="AE96" s="20"/>
      <c r="AF96" s="20"/>
      <c r="AG96" s="19"/>
    </row>
    <row r="97" customFormat="false" ht="15" hidden="false" customHeight="false" outlineLevel="0" collapsed="false">
      <c r="A97" s="20"/>
      <c r="B97" s="19"/>
      <c r="C97" s="20"/>
      <c r="D97" s="20"/>
      <c r="E97" s="20"/>
      <c r="F97" s="20"/>
      <c r="G97" s="20"/>
      <c r="H97" s="20"/>
      <c r="I97" s="20"/>
      <c r="J97" s="20"/>
      <c r="K97" s="20"/>
      <c r="L97" s="23"/>
      <c r="M97" s="23"/>
      <c r="N97" s="23"/>
      <c r="O97" s="23"/>
      <c r="P97" s="22" t="str">
        <f aca="false">IFERROR(N97/O97,"")</f>
        <v/>
      </c>
      <c r="Q97" s="20"/>
      <c r="R97" s="20"/>
      <c r="S97" s="20"/>
      <c r="T97" s="20"/>
      <c r="U97" s="20"/>
      <c r="V97" s="19"/>
      <c r="W97" s="19"/>
      <c r="X97" s="20"/>
      <c r="Y97" s="19"/>
      <c r="Z97" s="20"/>
      <c r="AA97" s="20"/>
      <c r="AB97" s="20"/>
      <c r="AC97" s="20"/>
      <c r="AD97" s="20"/>
      <c r="AE97" s="20"/>
      <c r="AF97" s="20"/>
      <c r="AG97" s="19"/>
    </row>
    <row r="98" customFormat="false" ht="15" hidden="false" customHeight="false" outlineLevel="0" collapsed="false">
      <c r="A98" s="20"/>
      <c r="B98" s="19"/>
      <c r="C98" s="20"/>
      <c r="D98" s="20"/>
      <c r="E98" s="20"/>
      <c r="F98" s="20"/>
      <c r="G98" s="20"/>
      <c r="H98" s="20"/>
      <c r="I98" s="20"/>
      <c r="J98" s="20"/>
      <c r="K98" s="20"/>
      <c r="L98" s="23"/>
      <c r="M98" s="23"/>
      <c r="N98" s="23"/>
      <c r="O98" s="23"/>
      <c r="P98" s="22" t="str">
        <f aca="false">IFERROR(N98/O98,"")</f>
        <v/>
      </c>
      <c r="Q98" s="20"/>
      <c r="R98" s="20"/>
      <c r="S98" s="20"/>
      <c r="T98" s="20"/>
      <c r="U98" s="20"/>
      <c r="V98" s="19"/>
      <c r="W98" s="19"/>
      <c r="X98" s="20"/>
      <c r="Y98" s="19"/>
      <c r="Z98" s="20"/>
      <c r="AA98" s="20"/>
      <c r="AB98" s="20"/>
      <c r="AC98" s="20"/>
      <c r="AD98" s="20"/>
      <c r="AE98" s="20"/>
      <c r="AF98" s="20"/>
      <c r="AG98" s="19"/>
    </row>
    <row r="99" customFormat="false" ht="15" hidden="false" customHeight="false" outlineLevel="0" collapsed="false">
      <c r="A99" s="20"/>
      <c r="B99" s="19"/>
      <c r="C99" s="20"/>
      <c r="D99" s="20"/>
      <c r="E99" s="20"/>
      <c r="F99" s="20"/>
      <c r="G99" s="20"/>
      <c r="H99" s="20"/>
      <c r="I99" s="20"/>
      <c r="J99" s="20"/>
      <c r="K99" s="20"/>
      <c r="L99" s="23"/>
      <c r="M99" s="23"/>
      <c r="N99" s="23"/>
      <c r="O99" s="23"/>
      <c r="P99" s="22" t="str">
        <f aca="false">IFERROR(N99/O99,"")</f>
        <v/>
      </c>
      <c r="Q99" s="20"/>
      <c r="R99" s="20"/>
      <c r="S99" s="20"/>
      <c r="T99" s="20"/>
      <c r="U99" s="20"/>
      <c r="V99" s="19"/>
      <c r="W99" s="19"/>
      <c r="X99" s="20"/>
      <c r="Y99" s="19"/>
      <c r="Z99" s="20"/>
      <c r="AA99" s="20"/>
      <c r="AB99" s="20"/>
      <c r="AC99" s="20"/>
      <c r="AD99" s="20"/>
      <c r="AE99" s="20"/>
      <c r="AF99" s="20"/>
      <c r="AG99" s="19"/>
    </row>
    <row r="100" customFormat="false" ht="15" hidden="false" customHeight="false" outlineLevel="0" collapsed="false">
      <c r="A100" s="20"/>
      <c r="B100" s="19"/>
      <c r="C100" s="20"/>
      <c r="D100" s="20"/>
      <c r="E100" s="20"/>
      <c r="F100" s="20"/>
      <c r="G100" s="20"/>
      <c r="H100" s="20"/>
      <c r="I100" s="20"/>
      <c r="J100" s="20"/>
      <c r="K100" s="20"/>
      <c r="L100" s="23"/>
      <c r="M100" s="23"/>
      <c r="N100" s="23"/>
      <c r="O100" s="23"/>
      <c r="P100" s="22" t="str">
        <f aca="false">IFERROR(N100/O100,"")</f>
        <v/>
      </c>
      <c r="Q100" s="20"/>
      <c r="R100" s="20"/>
      <c r="S100" s="20"/>
      <c r="T100" s="20"/>
      <c r="U100" s="20"/>
      <c r="V100" s="19"/>
      <c r="W100" s="19"/>
      <c r="X100" s="20"/>
      <c r="Y100" s="19"/>
      <c r="Z100" s="20"/>
      <c r="AA100" s="20"/>
      <c r="AB100" s="20"/>
      <c r="AC100" s="20"/>
      <c r="AD100" s="20"/>
      <c r="AE100" s="20"/>
      <c r="AF100" s="20"/>
      <c r="AG100" s="19"/>
    </row>
    <row r="101" customFormat="false" ht="15" hidden="false" customHeight="false" outlineLevel="0" collapsed="false">
      <c r="A101" s="20"/>
      <c r="B101" s="19"/>
      <c r="C101" s="20"/>
      <c r="D101" s="20"/>
      <c r="E101" s="20"/>
      <c r="F101" s="20"/>
      <c r="G101" s="20"/>
      <c r="H101" s="20"/>
      <c r="I101" s="20"/>
      <c r="J101" s="20"/>
      <c r="K101" s="20"/>
      <c r="L101" s="23"/>
      <c r="M101" s="23"/>
      <c r="N101" s="23"/>
      <c r="O101" s="23"/>
      <c r="P101" s="22" t="str">
        <f aca="false">IFERROR(N101/O101,"")</f>
        <v/>
      </c>
      <c r="Q101" s="20"/>
      <c r="R101" s="20"/>
      <c r="S101" s="20"/>
      <c r="T101" s="20"/>
      <c r="U101" s="20"/>
      <c r="V101" s="19"/>
      <c r="W101" s="19"/>
      <c r="X101" s="20"/>
      <c r="Y101" s="19"/>
      <c r="Z101" s="20"/>
      <c r="AA101" s="20"/>
      <c r="AB101" s="20"/>
      <c r="AC101" s="20"/>
      <c r="AD101" s="20"/>
      <c r="AE101" s="20"/>
      <c r="AF101" s="20"/>
      <c r="AG101" s="19"/>
    </row>
    <row r="102" customFormat="false" ht="15" hidden="false" customHeight="false" outlineLevel="0" collapsed="false">
      <c r="A102" s="20"/>
      <c r="B102" s="19"/>
      <c r="C102" s="20"/>
      <c r="D102" s="20"/>
      <c r="E102" s="20"/>
      <c r="F102" s="20"/>
      <c r="G102" s="20"/>
      <c r="H102" s="20"/>
      <c r="I102" s="20"/>
      <c r="J102" s="20"/>
      <c r="K102" s="20"/>
      <c r="L102" s="23"/>
      <c r="M102" s="23"/>
      <c r="N102" s="23"/>
      <c r="O102" s="23"/>
      <c r="P102" s="22" t="str">
        <f aca="false">IFERROR(N102/O102,"")</f>
        <v/>
      </c>
      <c r="Q102" s="20"/>
      <c r="R102" s="20"/>
      <c r="S102" s="20"/>
      <c r="T102" s="20"/>
      <c r="U102" s="20"/>
      <c r="V102" s="19"/>
      <c r="W102" s="19"/>
      <c r="X102" s="20"/>
      <c r="Y102" s="19"/>
      <c r="Z102" s="20"/>
      <c r="AA102" s="20"/>
      <c r="AB102" s="20"/>
      <c r="AC102" s="20"/>
      <c r="AD102" s="20"/>
      <c r="AE102" s="20"/>
      <c r="AF102" s="20"/>
      <c r="AG102" s="19"/>
    </row>
    <row r="103" customFormat="false" ht="15" hidden="false" customHeight="false" outlineLevel="0" collapsed="false">
      <c r="A103" s="20"/>
      <c r="B103" s="19"/>
      <c r="C103" s="20"/>
      <c r="D103" s="20"/>
      <c r="E103" s="20"/>
      <c r="F103" s="20"/>
      <c r="G103" s="20"/>
      <c r="H103" s="20"/>
      <c r="I103" s="20"/>
      <c r="J103" s="20"/>
      <c r="K103" s="20"/>
      <c r="L103" s="23"/>
      <c r="M103" s="23"/>
      <c r="N103" s="23"/>
      <c r="O103" s="23"/>
      <c r="P103" s="22" t="str">
        <f aca="false">IFERROR(N103/O103,"")</f>
        <v/>
      </c>
      <c r="Q103" s="20"/>
      <c r="R103" s="20"/>
      <c r="S103" s="20"/>
      <c r="T103" s="20"/>
      <c r="U103" s="20"/>
      <c r="V103" s="19"/>
      <c r="W103" s="19"/>
      <c r="X103" s="20"/>
      <c r="Y103" s="19"/>
      <c r="Z103" s="20"/>
      <c r="AA103" s="20"/>
      <c r="AB103" s="20"/>
      <c r="AC103" s="20"/>
      <c r="AD103" s="20"/>
      <c r="AE103" s="20"/>
      <c r="AF103" s="20"/>
      <c r="AG103" s="19"/>
    </row>
    <row r="104" customFormat="false" ht="15" hidden="false" customHeight="false" outlineLevel="0" collapsed="false">
      <c r="A104" s="20"/>
      <c r="B104" s="19"/>
      <c r="C104" s="20"/>
      <c r="D104" s="20"/>
      <c r="E104" s="20"/>
      <c r="F104" s="20"/>
      <c r="G104" s="20"/>
      <c r="H104" s="20"/>
      <c r="I104" s="20"/>
      <c r="J104" s="20"/>
      <c r="K104" s="20"/>
      <c r="L104" s="23"/>
      <c r="M104" s="23"/>
      <c r="N104" s="23"/>
      <c r="O104" s="23"/>
      <c r="P104" s="22" t="str">
        <f aca="false">IFERROR(N104/O104,"")</f>
        <v/>
      </c>
      <c r="Q104" s="20"/>
      <c r="R104" s="20"/>
      <c r="S104" s="20"/>
      <c r="T104" s="20"/>
      <c r="U104" s="20"/>
      <c r="V104" s="19"/>
      <c r="W104" s="19"/>
      <c r="X104" s="20"/>
      <c r="Y104" s="19"/>
      <c r="Z104" s="20"/>
      <c r="AA104" s="20"/>
      <c r="AB104" s="20"/>
      <c r="AC104" s="20"/>
      <c r="AD104" s="20"/>
      <c r="AE104" s="20"/>
      <c r="AF104" s="20"/>
      <c r="AG104" s="19"/>
    </row>
    <row r="105" customFormat="false" ht="15" hidden="false" customHeight="false" outlineLevel="0" collapsed="false">
      <c r="A105" s="20"/>
      <c r="B105" s="19"/>
      <c r="C105" s="20"/>
      <c r="D105" s="20"/>
      <c r="E105" s="20"/>
      <c r="F105" s="20"/>
      <c r="G105" s="20"/>
      <c r="H105" s="20"/>
      <c r="I105" s="20"/>
      <c r="J105" s="20"/>
      <c r="K105" s="20"/>
      <c r="L105" s="23"/>
      <c r="M105" s="23"/>
      <c r="N105" s="23"/>
      <c r="O105" s="23"/>
      <c r="P105" s="22" t="str">
        <f aca="false">IFERROR(N105/O105,"")</f>
        <v/>
      </c>
      <c r="Q105" s="20"/>
      <c r="R105" s="20"/>
      <c r="S105" s="20"/>
      <c r="T105" s="20"/>
      <c r="U105" s="20"/>
      <c r="V105" s="19"/>
      <c r="W105" s="19"/>
      <c r="X105" s="20"/>
      <c r="Y105" s="19"/>
      <c r="Z105" s="20"/>
      <c r="AA105" s="20"/>
      <c r="AB105" s="20"/>
      <c r="AC105" s="20"/>
      <c r="AD105" s="20"/>
      <c r="AE105" s="20"/>
      <c r="AF105" s="20"/>
      <c r="AG105" s="19"/>
    </row>
    <row r="106" customFormat="false" ht="15" hidden="false" customHeight="false" outlineLevel="0" collapsed="false">
      <c r="A106" s="20"/>
      <c r="B106" s="19"/>
      <c r="C106" s="20"/>
      <c r="D106" s="20"/>
      <c r="E106" s="20"/>
      <c r="F106" s="20"/>
      <c r="G106" s="20"/>
      <c r="H106" s="20"/>
      <c r="I106" s="20"/>
      <c r="J106" s="20"/>
      <c r="K106" s="20"/>
      <c r="L106" s="23"/>
      <c r="M106" s="23"/>
      <c r="N106" s="23"/>
      <c r="O106" s="23"/>
      <c r="P106" s="22" t="str">
        <f aca="false">IFERROR(N106/O106,"")</f>
        <v/>
      </c>
      <c r="Q106" s="20"/>
      <c r="R106" s="20"/>
      <c r="S106" s="20"/>
      <c r="T106" s="20"/>
      <c r="U106" s="20"/>
      <c r="V106" s="19"/>
      <c r="W106" s="19"/>
      <c r="X106" s="20"/>
      <c r="Y106" s="19"/>
      <c r="Z106" s="20"/>
      <c r="AA106" s="20"/>
      <c r="AB106" s="20"/>
      <c r="AC106" s="20"/>
      <c r="AD106" s="20"/>
      <c r="AE106" s="20"/>
      <c r="AF106" s="20"/>
      <c r="AG106" s="19"/>
    </row>
    <row r="107" customFormat="false" ht="15" hidden="false" customHeight="false" outlineLevel="0" collapsed="false">
      <c r="A107" s="20"/>
      <c r="B107" s="19"/>
      <c r="C107" s="20"/>
      <c r="D107" s="20"/>
      <c r="E107" s="20"/>
      <c r="F107" s="20"/>
      <c r="G107" s="20"/>
      <c r="H107" s="20"/>
      <c r="I107" s="20"/>
      <c r="J107" s="20"/>
      <c r="K107" s="20"/>
      <c r="L107" s="23"/>
      <c r="M107" s="23"/>
      <c r="N107" s="23"/>
      <c r="O107" s="23"/>
      <c r="P107" s="22" t="str">
        <f aca="false">IFERROR(N107/O107,"")</f>
        <v/>
      </c>
      <c r="Q107" s="20"/>
      <c r="R107" s="20"/>
      <c r="S107" s="20"/>
      <c r="T107" s="20"/>
      <c r="U107" s="20"/>
      <c r="V107" s="19"/>
      <c r="W107" s="19"/>
      <c r="X107" s="20"/>
      <c r="Y107" s="19"/>
      <c r="Z107" s="20"/>
      <c r="AA107" s="20"/>
      <c r="AB107" s="20"/>
      <c r="AC107" s="20"/>
      <c r="AD107" s="20"/>
      <c r="AE107" s="20"/>
      <c r="AF107" s="20"/>
      <c r="AG107" s="19"/>
    </row>
    <row r="108" customFormat="false" ht="15" hidden="false" customHeight="false" outlineLevel="0" collapsed="false">
      <c r="A108" s="20"/>
      <c r="B108" s="19"/>
      <c r="C108" s="20"/>
      <c r="D108" s="20"/>
      <c r="E108" s="20"/>
      <c r="F108" s="20"/>
      <c r="G108" s="20"/>
      <c r="H108" s="20"/>
      <c r="I108" s="20"/>
      <c r="J108" s="20"/>
      <c r="K108" s="20"/>
      <c r="L108" s="23"/>
      <c r="M108" s="23"/>
      <c r="N108" s="23"/>
      <c r="O108" s="23"/>
      <c r="P108" s="22" t="str">
        <f aca="false">IFERROR(N108/O108,"")</f>
        <v/>
      </c>
      <c r="Q108" s="20"/>
      <c r="R108" s="20"/>
      <c r="S108" s="20"/>
      <c r="T108" s="20"/>
      <c r="U108" s="20"/>
      <c r="V108" s="19"/>
      <c r="W108" s="19"/>
      <c r="X108" s="20"/>
      <c r="Y108" s="19"/>
      <c r="Z108" s="20"/>
      <c r="AA108" s="20"/>
      <c r="AB108" s="20"/>
      <c r="AC108" s="20"/>
      <c r="AD108" s="20"/>
      <c r="AE108" s="20"/>
      <c r="AF108" s="20"/>
      <c r="AG108" s="19"/>
    </row>
    <row r="109" customFormat="false" ht="15" hidden="false" customHeight="false" outlineLevel="0" collapsed="false">
      <c r="A109" s="20"/>
      <c r="B109" s="19"/>
      <c r="C109" s="20"/>
      <c r="D109" s="20"/>
      <c r="E109" s="20"/>
      <c r="F109" s="20"/>
      <c r="G109" s="20"/>
      <c r="H109" s="20"/>
      <c r="I109" s="20"/>
      <c r="J109" s="20"/>
      <c r="K109" s="20"/>
      <c r="L109" s="23"/>
      <c r="M109" s="23"/>
      <c r="N109" s="23"/>
      <c r="O109" s="23"/>
      <c r="P109" s="22" t="str">
        <f aca="false">IFERROR(N109/O109,"")</f>
        <v/>
      </c>
      <c r="Q109" s="20"/>
      <c r="R109" s="20"/>
      <c r="S109" s="20"/>
      <c r="T109" s="20"/>
      <c r="U109" s="20"/>
      <c r="V109" s="19"/>
      <c r="W109" s="19"/>
      <c r="X109" s="20"/>
      <c r="Y109" s="19"/>
      <c r="Z109" s="20"/>
      <c r="AA109" s="20"/>
      <c r="AB109" s="20"/>
      <c r="AC109" s="20"/>
      <c r="AD109" s="20"/>
      <c r="AE109" s="20"/>
      <c r="AF109" s="20"/>
      <c r="AG109" s="19"/>
    </row>
    <row r="110" customFormat="false" ht="15" hidden="false" customHeight="false" outlineLevel="0" collapsed="false">
      <c r="A110" s="20"/>
      <c r="B110" s="19"/>
      <c r="C110" s="20"/>
      <c r="D110" s="20"/>
      <c r="E110" s="20"/>
      <c r="F110" s="20"/>
      <c r="G110" s="20"/>
      <c r="H110" s="20"/>
      <c r="I110" s="20"/>
      <c r="J110" s="20"/>
      <c r="K110" s="20"/>
      <c r="L110" s="23"/>
      <c r="M110" s="23"/>
      <c r="N110" s="23"/>
      <c r="O110" s="23"/>
      <c r="P110" s="22" t="str">
        <f aca="false">IFERROR(N110/O110,"")</f>
        <v/>
      </c>
      <c r="Q110" s="20"/>
      <c r="R110" s="20"/>
      <c r="S110" s="20"/>
      <c r="T110" s="20"/>
      <c r="U110" s="20"/>
      <c r="V110" s="19"/>
      <c r="W110" s="19"/>
      <c r="X110" s="20"/>
      <c r="Y110" s="19"/>
      <c r="Z110" s="20"/>
      <c r="AA110" s="20"/>
      <c r="AB110" s="20"/>
      <c r="AC110" s="20"/>
      <c r="AD110" s="20"/>
      <c r="AE110" s="20"/>
      <c r="AF110" s="20"/>
      <c r="AG110" s="19"/>
    </row>
    <row r="111" customFormat="false" ht="15" hidden="false" customHeight="false" outlineLevel="0" collapsed="false">
      <c r="A111" s="20"/>
      <c r="B111" s="19"/>
      <c r="C111" s="20"/>
      <c r="D111" s="20"/>
      <c r="E111" s="20"/>
      <c r="F111" s="20"/>
      <c r="G111" s="20"/>
      <c r="H111" s="20"/>
      <c r="I111" s="20"/>
      <c r="J111" s="20"/>
      <c r="K111" s="20"/>
      <c r="L111" s="23"/>
      <c r="M111" s="23"/>
      <c r="N111" s="23"/>
      <c r="O111" s="23"/>
      <c r="P111" s="22" t="str">
        <f aca="false">IFERROR(N111/O111,"")</f>
        <v/>
      </c>
      <c r="Q111" s="20"/>
      <c r="R111" s="20"/>
      <c r="S111" s="20"/>
      <c r="T111" s="20"/>
      <c r="U111" s="20"/>
      <c r="V111" s="19"/>
      <c r="W111" s="19"/>
      <c r="X111" s="20"/>
      <c r="Y111" s="19"/>
      <c r="Z111" s="20"/>
      <c r="AA111" s="20"/>
      <c r="AB111" s="20"/>
      <c r="AC111" s="20"/>
      <c r="AD111" s="20"/>
      <c r="AE111" s="20"/>
      <c r="AF111" s="20"/>
      <c r="AG111" s="19"/>
    </row>
    <row r="112" customFormat="false" ht="15" hidden="false" customHeight="false" outlineLevel="0" collapsed="false">
      <c r="A112" s="20"/>
      <c r="B112" s="19"/>
      <c r="C112" s="20"/>
      <c r="D112" s="20"/>
      <c r="E112" s="20"/>
      <c r="F112" s="20"/>
      <c r="G112" s="20"/>
      <c r="H112" s="20"/>
      <c r="I112" s="20"/>
      <c r="J112" s="20"/>
      <c r="K112" s="20"/>
      <c r="L112" s="23"/>
      <c r="M112" s="23"/>
      <c r="N112" s="23"/>
      <c r="O112" s="23"/>
      <c r="P112" s="22" t="str">
        <f aca="false">IFERROR(N112/O112,"")</f>
        <v/>
      </c>
      <c r="Q112" s="20"/>
      <c r="R112" s="20"/>
      <c r="S112" s="20"/>
      <c r="T112" s="20"/>
      <c r="U112" s="20"/>
      <c r="V112" s="19"/>
      <c r="W112" s="19"/>
      <c r="X112" s="20"/>
      <c r="Y112" s="19"/>
      <c r="Z112" s="20"/>
      <c r="AA112" s="20"/>
      <c r="AB112" s="20"/>
      <c r="AC112" s="20"/>
      <c r="AD112" s="20"/>
      <c r="AE112" s="20"/>
      <c r="AF112" s="20"/>
      <c r="AG112" s="19"/>
    </row>
    <row r="113" customFormat="false" ht="15" hidden="false" customHeight="false" outlineLevel="0" collapsed="false">
      <c r="A113" s="20"/>
      <c r="B113" s="19"/>
      <c r="C113" s="20"/>
      <c r="D113" s="20"/>
      <c r="E113" s="20"/>
      <c r="F113" s="20"/>
      <c r="G113" s="20"/>
      <c r="H113" s="20"/>
      <c r="I113" s="20"/>
      <c r="J113" s="20"/>
      <c r="K113" s="20"/>
      <c r="L113" s="23"/>
      <c r="M113" s="23"/>
      <c r="N113" s="23"/>
      <c r="O113" s="23"/>
      <c r="P113" s="22" t="str">
        <f aca="false">IFERROR(N113/O113,"")</f>
        <v/>
      </c>
      <c r="Q113" s="20"/>
      <c r="R113" s="20"/>
      <c r="S113" s="20"/>
      <c r="T113" s="20"/>
      <c r="U113" s="20"/>
      <c r="V113" s="19"/>
      <c r="W113" s="19"/>
      <c r="X113" s="20"/>
      <c r="Y113" s="19"/>
      <c r="Z113" s="20"/>
      <c r="AA113" s="20"/>
      <c r="AB113" s="20"/>
      <c r="AC113" s="20"/>
      <c r="AD113" s="20"/>
      <c r="AE113" s="20"/>
      <c r="AF113" s="20"/>
      <c r="AG113" s="19"/>
    </row>
    <row r="114" customFormat="false" ht="15" hidden="false" customHeight="false" outlineLevel="0" collapsed="false">
      <c r="A114" s="20"/>
      <c r="B114" s="19"/>
      <c r="C114" s="20"/>
      <c r="D114" s="20"/>
      <c r="E114" s="20"/>
      <c r="F114" s="20"/>
      <c r="G114" s="20"/>
      <c r="H114" s="20"/>
      <c r="I114" s="20"/>
      <c r="J114" s="20"/>
      <c r="K114" s="20"/>
      <c r="L114" s="23"/>
      <c r="M114" s="23"/>
      <c r="N114" s="23"/>
      <c r="O114" s="23"/>
      <c r="P114" s="22" t="str">
        <f aca="false">IFERROR(N114/O114,"")</f>
        <v/>
      </c>
      <c r="Q114" s="20"/>
      <c r="R114" s="20"/>
      <c r="S114" s="20"/>
      <c r="T114" s="20"/>
      <c r="U114" s="20"/>
      <c r="V114" s="19"/>
      <c r="W114" s="19"/>
      <c r="X114" s="20"/>
      <c r="Y114" s="19"/>
      <c r="Z114" s="20"/>
      <c r="AA114" s="20"/>
      <c r="AB114" s="20"/>
      <c r="AC114" s="20"/>
      <c r="AD114" s="20"/>
      <c r="AE114" s="20"/>
      <c r="AF114" s="20"/>
      <c r="AG114" s="19"/>
    </row>
    <row r="115" customFormat="false" ht="15" hidden="false" customHeight="false" outlineLevel="0" collapsed="false">
      <c r="A115" s="20"/>
      <c r="B115" s="19"/>
      <c r="C115" s="20"/>
      <c r="D115" s="20"/>
      <c r="E115" s="20"/>
      <c r="F115" s="20"/>
      <c r="G115" s="20"/>
      <c r="H115" s="20"/>
      <c r="I115" s="20"/>
      <c r="J115" s="20"/>
      <c r="K115" s="20"/>
      <c r="L115" s="23"/>
      <c r="M115" s="23"/>
      <c r="N115" s="23"/>
      <c r="O115" s="23"/>
      <c r="P115" s="22" t="str">
        <f aca="false">IFERROR(N115/O115,"")</f>
        <v/>
      </c>
      <c r="Q115" s="20"/>
      <c r="R115" s="20"/>
      <c r="S115" s="20"/>
      <c r="T115" s="20"/>
      <c r="U115" s="20"/>
      <c r="V115" s="19"/>
      <c r="W115" s="19"/>
      <c r="X115" s="20"/>
      <c r="Y115" s="19"/>
      <c r="Z115" s="20"/>
      <c r="AA115" s="20"/>
      <c r="AB115" s="20"/>
      <c r="AC115" s="20"/>
      <c r="AD115" s="20"/>
      <c r="AE115" s="20"/>
      <c r="AF115" s="20"/>
      <c r="AG115" s="19"/>
    </row>
    <row r="116" customFormat="false" ht="15" hidden="false" customHeight="false" outlineLevel="0" collapsed="false">
      <c r="A116" s="20"/>
      <c r="B116" s="19"/>
      <c r="C116" s="20"/>
      <c r="D116" s="20"/>
      <c r="E116" s="20"/>
      <c r="F116" s="20"/>
      <c r="G116" s="20"/>
      <c r="H116" s="20"/>
      <c r="I116" s="20"/>
      <c r="J116" s="20"/>
      <c r="K116" s="20"/>
      <c r="L116" s="23"/>
      <c r="M116" s="23"/>
      <c r="N116" s="23"/>
      <c r="O116" s="23"/>
      <c r="P116" s="22" t="str">
        <f aca="false">IFERROR(N116/O116,"")</f>
        <v/>
      </c>
      <c r="Q116" s="20"/>
      <c r="R116" s="20"/>
      <c r="S116" s="20"/>
      <c r="T116" s="20"/>
      <c r="U116" s="20"/>
      <c r="V116" s="19"/>
      <c r="W116" s="19"/>
      <c r="X116" s="20"/>
      <c r="Y116" s="19"/>
      <c r="Z116" s="20"/>
      <c r="AA116" s="20"/>
      <c r="AB116" s="20"/>
      <c r="AC116" s="20"/>
      <c r="AD116" s="20"/>
      <c r="AE116" s="20"/>
      <c r="AF116" s="20"/>
      <c r="AG116" s="19"/>
    </row>
    <row r="117" customFormat="false" ht="15" hidden="false" customHeight="false" outlineLevel="0" collapsed="false">
      <c r="A117" s="20"/>
      <c r="B117" s="19"/>
      <c r="C117" s="20"/>
      <c r="D117" s="20"/>
      <c r="E117" s="20"/>
      <c r="F117" s="20"/>
      <c r="G117" s="20"/>
      <c r="H117" s="20"/>
      <c r="I117" s="20"/>
      <c r="J117" s="20"/>
      <c r="K117" s="20"/>
      <c r="L117" s="23"/>
      <c r="M117" s="23"/>
      <c r="N117" s="23"/>
      <c r="O117" s="23"/>
      <c r="P117" s="22" t="str">
        <f aca="false">IFERROR(N117/O117,"")</f>
        <v/>
      </c>
      <c r="Q117" s="20"/>
      <c r="R117" s="20"/>
      <c r="S117" s="20"/>
      <c r="T117" s="20"/>
      <c r="U117" s="20"/>
      <c r="V117" s="19"/>
      <c r="W117" s="19"/>
      <c r="X117" s="20"/>
      <c r="Y117" s="19"/>
      <c r="Z117" s="20"/>
      <c r="AA117" s="20"/>
      <c r="AB117" s="20"/>
      <c r="AC117" s="20"/>
      <c r="AD117" s="20"/>
      <c r="AE117" s="20"/>
      <c r="AF117" s="20"/>
      <c r="AG117" s="19"/>
    </row>
    <row r="118" customFormat="false" ht="15" hidden="false" customHeight="false" outlineLevel="0" collapsed="false">
      <c r="A118" s="20"/>
      <c r="B118" s="19"/>
      <c r="C118" s="20"/>
      <c r="D118" s="20"/>
      <c r="E118" s="20"/>
      <c r="F118" s="20"/>
      <c r="G118" s="20"/>
      <c r="H118" s="20"/>
      <c r="I118" s="20"/>
      <c r="J118" s="20"/>
      <c r="K118" s="20"/>
      <c r="L118" s="23"/>
      <c r="M118" s="23"/>
      <c r="N118" s="23"/>
      <c r="O118" s="23"/>
      <c r="P118" s="22" t="str">
        <f aca="false">IFERROR(N118/O118,"")</f>
        <v/>
      </c>
      <c r="Q118" s="20"/>
      <c r="R118" s="20"/>
      <c r="S118" s="20"/>
      <c r="T118" s="20"/>
      <c r="U118" s="20"/>
      <c r="V118" s="19"/>
      <c r="W118" s="19"/>
      <c r="X118" s="20"/>
      <c r="Y118" s="19"/>
      <c r="Z118" s="20"/>
      <c r="AA118" s="20"/>
      <c r="AB118" s="20"/>
      <c r="AC118" s="20"/>
      <c r="AD118" s="20"/>
      <c r="AE118" s="20"/>
      <c r="AF118" s="20"/>
      <c r="AG118" s="19"/>
    </row>
    <row r="119" customFormat="false" ht="15" hidden="false" customHeight="false" outlineLevel="0" collapsed="false">
      <c r="A119" s="20"/>
      <c r="B119" s="19"/>
      <c r="C119" s="20"/>
      <c r="D119" s="20"/>
      <c r="E119" s="20"/>
      <c r="F119" s="20"/>
      <c r="G119" s="20"/>
      <c r="H119" s="20"/>
      <c r="I119" s="20"/>
      <c r="J119" s="20"/>
      <c r="K119" s="20"/>
      <c r="L119" s="23"/>
      <c r="M119" s="23"/>
      <c r="N119" s="23"/>
      <c r="O119" s="23"/>
      <c r="P119" s="22" t="str">
        <f aca="false">IFERROR(N119/O119,"")</f>
        <v/>
      </c>
      <c r="Q119" s="20"/>
      <c r="R119" s="20"/>
      <c r="S119" s="20"/>
      <c r="T119" s="20"/>
      <c r="U119" s="20"/>
      <c r="V119" s="19"/>
      <c r="W119" s="19"/>
      <c r="X119" s="20"/>
      <c r="Y119" s="19"/>
      <c r="Z119" s="20"/>
      <c r="AA119" s="20"/>
      <c r="AB119" s="20"/>
      <c r="AC119" s="20"/>
      <c r="AD119" s="20"/>
      <c r="AE119" s="20"/>
      <c r="AF119" s="20"/>
      <c r="AG119" s="19"/>
    </row>
    <row r="120" customFormat="false" ht="15" hidden="false" customHeight="false" outlineLevel="0" collapsed="false">
      <c r="A120" s="20"/>
      <c r="B120" s="19"/>
      <c r="C120" s="20"/>
      <c r="D120" s="20"/>
      <c r="E120" s="20"/>
      <c r="F120" s="20"/>
      <c r="G120" s="20"/>
      <c r="H120" s="20"/>
      <c r="I120" s="20"/>
      <c r="J120" s="20"/>
      <c r="K120" s="20"/>
      <c r="L120" s="23"/>
      <c r="M120" s="23"/>
      <c r="N120" s="23"/>
      <c r="O120" s="23"/>
      <c r="P120" s="22" t="str">
        <f aca="false">IFERROR(N120/O120,"")</f>
        <v/>
      </c>
      <c r="Q120" s="20"/>
      <c r="R120" s="20"/>
      <c r="S120" s="20"/>
      <c r="T120" s="20"/>
      <c r="U120" s="20"/>
      <c r="V120" s="19"/>
      <c r="W120" s="19"/>
      <c r="X120" s="20"/>
      <c r="Y120" s="19"/>
      <c r="Z120" s="20"/>
      <c r="AA120" s="20"/>
      <c r="AB120" s="20"/>
      <c r="AC120" s="20"/>
      <c r="AD120" s="20"/>
      <c r="AE120" s="20"/>
      <c r="AF120" s="20"/>
      <c r="AG120" s="19"/>
    </row>
    <row r="121" customFormat="false" ht="15" hidden="false" customHeight="false" outlineLevel="0" collapsed="false">
      <c r="A121" s="20"/>
      <c r="B121" s="19"/>
      <c r="C121" s="20"/>
      <c r="D121" s="20"/>
      <c r="E121" s="20"/>
      <c r="F121" s="20"/>
      <c r="G121" s="20"/>
      <c r="H121" s="20"/>
      <c r="I121" s="20"/>
      <c r="J121" s="20"/>
      <c r="K121" s="20"/>
      <c r="L121" s="23"/>
      <c r="M121" s="23"/>
      <c r="N121" s="23"/>
      <c r="O121" s="23"/>
      <c r="P121" s="22" t="str">
        <f aca="false">IFERROR(N121/O121,"")</f>
        <v/>
      </c>
      <c r="Q121" s="20"/>
      <c r="R121" s="20"/>
      <c r="S121" s="20"/>
      <c r="T121" s="20"/>
      <c r="U121" s="20"/>
      <c r="V121" s="19"/>
      <c r="W121" s="19"/>
      <c r="X121" s="20"/>
      <c r="Y121" s="19"/>
      <c r="Z121" s="20"/>
      <c r="AA121" s="20"/>
      <c r="AB121" s="20"/>
      <c r="AC121" s="20"/>
      <c r="AD121" s="20"/>
      <c r="AE121" s="20"/>
      <c r="AF121" s="20"/>
      <c r="AG121" s="19"/>
    </row>
    <row r="122" customFormat="false" ht="15" hidden="false" customHeight="false" outlineLevel="0" collapsed="false">
      <c r="A122" s="20"/>
      <c r="B122" s="19"/>
      <c r="C122" s="20"/>
      <c r="D122" s="20"/>
      <c r="E122" s="20"/>
      <c r="F122" s="20"/>
      <c r="G122" s="20"/>
      <c r="H122" s="20"/>
      <c r="I122" s="20"/>
      <c r="J122" s="20"/>
      <c r="K122" s="20"/>
      <c r="L122" s="23"/>
      <c r="M122" s="23"/>
      <c r="N122" s="23"/>
      <c r="O122" s="23"/>
      <c r="P122" s="22" t="str">
        <f aca="false">IFERROR(N122/O122,"")</f>
        <v/>
      </c>
      <c r="Q122" s="20"/>
      <c r="R122" s="20"/>
      <c r="S122" s="20"/>
      <c r="T122" s="20"/>
      <c r="U122" s="20"/>
      <c r="V122" s="19"/>
      <c r="W122" s="19"/>
      <c r="X122" s="20"/>
      <c r="Y122" s="19"/>
      <c r="Z122" s="20"/>
      <c r="AA122" s="20"/>
      <c r="AB122" s="20"/>
      <c r="AC122" s="20"/>
      <c r="AD122" s="20"/>
      <c r="AE122" s="20"/>
      <c r="AF122" s="20"/>
      <c r="AG122" s="19"/>
    </row>
    <row r="123" customFormat="false" ht="15" hidden="false" customHeight="false" outlineLevel="0" collapsed="false">
      <c r="A123" s="20"/>
      <c r="B123" s="19"/>
      <c r="C123" s="20"/>
      <c r="D123" s="20"/>
      <c r="E123" s="20"/>
      <c r="F123" s="20"/>
      <c r="G123" s="20"/>
      <c r="H123" s="20"/>
      <c r="I123" s="20"/>
      <c r="J123" s="20"/>
      <c r="K123" s="20"/>
      <c r="L123" s="23"/>
      <c r="M123" s="23"/>
      <c r="N123" s="23"/>
      <c r="O123" s="23"/>
      <c r="P123" s="22" t="str">
        <f aca="false">IFERROR(N123/O123,"")</f>
        <v/>
      </c>
      <c r="Q123" s="20"/>
      <c r="R123" s="20"/>
      <c r="S123" s="20"/>
      <c r="T123" s="20"/>
      <c r="U123" s="20"/>
      <c r="V123" s="19"/>
      <c r="W123" s="19"/>
      <c r="X123" s="20"/>
      <c r="Y123" s="19"/>
      <c r="Z123" s="20"/>
      <c r="AA123" s="20"/>
      <c r="AB123" s="20"/>
      <c r="AC123" s="20"/>
      <c r="AD123" s="20"/>
      <c r="AE123" s="20"/>
      <c r="AF123" s="20"/>
      <c r="AG123" s="19"/>
    </row>
    <row r="124" customFormat="false" ht="15" hidden="false" customHeight="false" outlineLevel="0" collapsed="false">
      <c r="A124" s="20"/>
      <c r="B124" s="19"/>
      <c r="C124" s="20"/>
      <c r="D124" s="20"/>
      <c r="E124" s="20"/>
      <c r="F124" s="20"/>
      <c r="G124" s="20"/>
      <c r="H124" s="20"/>
      <c r="I124" s="20"/>
      <c r="J124" s="20"/>
      <c r="K124" s="20"/>
      <c r="L124" s="23"/>
      <c r="M124" s="23"/>
      <c r="N124" s="23"/>
      <c r="O124" s="23"/>
      <c r="P124" s="22" t="str">
        <f aca="false">IFERROR(N124/O124,"")</f>
        <v/>
      </c>
      <c r="Q124" s="20"/>
      <c r="R124" s="20"/>
      <c r="S124" s="20"/>
      <c r="T124" s="20"/>
      <c r="U124" s="20"/>
      <c r="V124" s="19"/>
      <c r="W124" s="19"/>
      <c r="X124" s="20"/>
      <c r="Y124" s="19"/>
      <c r="Z124" s="20"/>
      <c r="AA124" s="20"/>
      <c r="AB124" s="20"/>
      <c r="AC124" s="20"/>
      <c r="AD124" s="20"/>
      <c r="AE124" s="20"/>
      <c r="AF124" s="20"/>
      <c r="AG124" s="19"/>
    </row>
    <row r="125" customFormat="false" ht="15" hidden="false" customHeight="false" outlineLevel="0" collapsed="false">
      <c r="A125" s="20"/>
      <c r="B125" s="19"/>
      <c r="C125" s="20"/>
      <c r="D125" s="20"/>
      <c r="E125" s="20"/>
      <c r="F125" s="20"/>
      <c r="G125" s="20"/>
      <c r="H125" s="20"/>
      <c r="I125" s="20"/>
      <c r="J125" s="20"/>
      <c r="K125" s="20"/>
      <c r="L125" s="23"/>
      <c r="M125" s="23"/>
      <c r="N125" s="23"/>
      <c r="O125" s="23"/>
      <c r="P125" s="22" t="str">
        <f aca="false">IFERROR(N125/O125,"")</f>
        <v/>
      </c>
      <c r="Q125" s="20"/>
      <c r="R125" s="20"/>
      <c r="S125" s="20"/>
      <c r="T125" s="20"/>
      <c r="U125" s="20"/>
      <c r="V125" s="19"/>
      <c r="W125" s="19"/>
      <c r="X125" s="20"/>
      <c r="Y125" s="19"/>
      <c r="Z125" s="20"/>
      <c r="AA125" s="20"/>
      <c r="AB125" s="20"/>
      <c r="AC125" s="20"/>
      <c r="AD125" s="20"/>
      <c r="AE125" s="20"/>
      <c r="AF125" s="20"/>
      <c r="AG125" s="19"/>
    </row>
    <row r="126" customFormat="false" ht="15" hidden="false" customHeight="false" outlineLevel="0" collapsed="false">
      <c r="A126" s="20"/>
      <c r="B126" s="19"/>
      <c r="C126" s="20"/>
      <c r="D126" s="20"/>
      <c r="E126" s="20"/>
      <c r="F126" s="20"/>
      <c r="G126" s="20"/>
      <c r="H126" s="20"/>
      <c r="I126" s="20"/>
      <c r="J126" s="20"/>
      <c r="K126" s="20"/>
      <c r="L126" s="23"/>
      <c r="M126" s="23"/>
      <c r="N126" s="23"/>
      <c r="O126" s="23"/>
      <c r="P126" s="22" t="str">
        <f aca="false">IFERROR(N126/O126,"")</f>
        <v/>
      </c>
      <c r="Q126" s="20"/>
      <c r="R126" s="20"/>
      <c r="S126" s="20"/>
      <c r="T126" s="20"/>
      <c r="U126" s="20"/>
      <c r="V126" s="19"/>
      <c r="W126" s="19"/>
      <c r="X126" s="20"/>
      <c r="Y126" s="19"/>
      <c r="Z126" s="20"/>
      <c r="AA126" s="20"/>
      <c r="AB126" s="20"/>
      <c r="AC126" s="20"/>
      <c r="AD126" s="20"/>
      <c r="AE126" s="20"/>
      <c r="AF126" s="20"/>
      <c r="AG126" s="19"/>
    </row>
    <row r="127" customFormat="false" ht="15" hidden="false" customHeight="false" outlineLevel="0" collapsed="false">
      <c r="A127" s="20"/>
      <c r="B127" s="19"/>
      <c r="C127" s="20"/>
      <c r="D127" s="20"/>
      <c r="E127" s="20"/>
      <c r="F127" s="20"/>
      <c r="G127" s="20"/>
      <c r="H127" s="20"/>
      <c r="I127" s="20"/>
      <c r="J127" s="20"/>
      <c r="K127" s="20"/>
      <c r="L127" s="23"/>
      <c r="M127" s="23"/>
      <c r="N127" s="23"/>
      <c r="O127" s="23"/>
      <c r="P127" s="22" t="str">
        <f aca="false">IFERROR(N127/O127,"")</f>
        <v/>
      </c>
      <c r="Q127" s="20"/>
      <c r="R127" s="20"/>
      <c r="S127" s="20"/>
      <c r="T127" s="20"/>
      <c r="U127" s="20"/>
      <c r="V127" s="19"/>
      <c r="W127" s="19"/>
      <c r="X127" s="20"/>
      <c r="Y127" s="19"/>
      <c r="Z127" s="20"/>
      <c r="AA127" s="20"/>
      <c r="AB127" s="20"/>
      <c r="AC127" s="20"/>
      <c r="AD127" s="20"/>
      <c r="AE127" s="20"/>
      <c r="AF127" s="20"/>
      <c r="AG127" s="19"/>
    </row>
    <row r="128" customFormat="false" ht="15" hidden="false" customHeight="false" outlineLevel="0" collapsed="false">
      <c r="A128" s="20"/>
      <c r="B128" s="19"/>
      <c r="C128" s="20"/>
      <c r="D128" s="20"/>
      <c r="E128" s="20"/>
      <c r="F128" s="20"/>
      <c r="G128" s="20"/>
      <c r="H128" s="20"/>
      <c r="I128" s="20"/>
      <c r="J128" s="20"/>
      <c r="K128" s="20"/>
      <c r="L128" s="23"/>
      <c r="M128" s="23"/>
      <c r="N128" s="23"/>
      <c r="O128" s="23"/>
      <c r="P128" s="22" t="str">
        <f aca="false">IFERROR(N128/O128,"")</f>
        <v/>
      </c>
      <c r="Q128" s="20"/>
      <c r="R128" s="20"/>
      <c r="S128" s="20"/>
      <c r="T128" s="20"/>
      <c r="U128" s="20"/>
      <c r="V128" s="19"/>
      <c r="W128" s="19"/>
      <c r="X128" s="20"/>
      <c r="Y128" s="19"/>
      <c r="Z128" s="20"/>
      <c r="AA128" s="20"/>
      <c r="AB128" s="20"/>
      <c r="AC128" s="20"/>
      <c r="AD128" s="20"/>
      <c r="AE128" s="20"/>
      <c r="AF128" s="20"/>
      <c r="AG128" s="19"/>
    </row>
    <row r="129" customFormat="false" ht="15" hidden="false" customHeight="false" outlineLevel="0" collapsed="false">
      <c r="A129" s="20"/>
      <c r="B129" s="19"/>
      <c r="C129" s="20"/>
      <c r="D129" s="20"/>
      <c r="E129" s="20"/>
      <c r="F129" s="20"/>
      <c r="G129" s="20"/>
      <c r="H129" s="20"/>
      <c r="I129" s="20"/>
      <c r="J129" s="20"/>
      <c r="K129" s="20"/>
      <c r="L129" s="23"/>
      <c r="M129" s="23"/>
      <c r="N129" s="23"/>
      <c r="O129" s="23"/>
      <c r="P129" s="22" t="str">
        <f aca="false">IFERROR(N129/O129,"")</f>
        <v/>
      </c>
      <c r="Q129" s="20"/>
      <c r="R129" s="20"/>
      <c r="S129" s="20"/>
      <c r="T129" s="20"/>
      <c r="U129" s="20"/>
      <c r="V129" s="19"/>
      <c r="W129" s="19"/>
      <c r="X129" s="20"/>
      <c r="Y129" s="19"/>
      <c r="Z129" s="20"/>
      <c r="AA129" s="20"/>
      <c r="AB129" s="20"/>
      <c r="AC129" s="20"/>
      <c r="AD129" s="20"/>
      <c r="AE129" s="20"/>
      <c r="AF129" s="20"/>
      <c r="AG129" s="19"/>
    </row>
    <row r="130" customFormat="false" ht="15" hidden="false" customHeight="false" outlineLevel="0" collapsed="false">
      <c r="A130" s="20"/>
      <c r="B130" s="19"/>
      <c r="C130" s="20"/>
      <c r="D130" s="20"/>
      <c r="E130" s="20"/>
      <c r="F130" s="20"/>
      <c r="G130" s="20"/>
      <c r="H130" s="20"/>
      <c r="I130" s="20"/>
      <c r="J130" s="20"/>
      <c r="K130" s="20"/>
      <c r="L130" s="23"/>
      <c r="M130" s="23"/>
      <c r="N130" s="23"/>
      <c r="O130" s="23"/>
      <c r="P130" s="22" t="str">
        <f aca="false">IFERROR(N130/O130,"")</f>
        <v/>
      </c>
      <c r="Q130" s="20"/>
      <c r="R130" s="20"/>
      <c r="S130" s="20"/>
      <c r="T130" s="20"/>
      <c r="U130" s="20"/>
      <c r="V130" s="19"/>
      <c r="W130" s="19"/>
      <c r="X130" s="20"/>
      <c r="Y130" s="19"/>
      <c r="Z130" s="20"/>
      <c r="AA130" s="20"/>
      <c r="AB130" s="20"/>
      <c r="AC130" s="20"/>
      <c r="AD130" s="20"/>
      <c r="AE130" s="20"/>
      <c r="AF130" s="20"/>
      <c r="AG130" s="19"/>
    </row>
    <row r="131" customFormat="false" ht="15" hidden="false" customHeight="false" outlineLevel="0" collapsed="false">
      <c r="A131" s="20"/>
      <c r="B131" s="19"/>
      <c r="C131" s="20"/>
      <c r="D131" s="20"/>
      <c r="E131" s="20"/>
      <c r="F131" s="20"/>
      <c r="G131" s="20"/>
      <c r="H131" s="20"/>
      <c r="I131" s="20"/>
      <c r="J131" s="20"/>
      <c r="K131" s="20"/>
      <c r="L131" s="23"/>
      <c r="M131" s="23"/>
      <c r="N131" s="23"/>
      <c r="O131" s="23"/>
      <c r="P131" s="22" t="str">
        <f aca="false">IFERROR(N131/O131,"")</f>
        <v/>
      </c>
      <c r="Q131" s="20"/>
      <c r="R131" s="20"/>
      <c r="S131" s="20"/>
      <c r="T131" s="20"/>
      <c r="U131" s="20"/>
      <c r="V131" s="19"/>
      <c r="W131" s="19"/>
      <c r="X131" s="20"/>
      <c r="Y131" s="19"/>
      <c r="Z131" s="20"/>
      <c r="AA131" s="20"/>
      <c r="AB131" s="20"/>
      <c r="AC131" s="20"/>
      <c r="AD131" s="20"/>
      <c r="AE131" s="20"/>
      <c r="AF131" s="20"/>
      <c r="AG131" s="19"/>
    </row>
    <row r="132" customFormat="false" ht="15" hidden="false" customHeight="false" outlineLevel="0" collapsed="false">
      <c r="A132" s="20"/>
      <c r="B132" s="19"/>
      <c r="C132" s="20"/>
      <c r="D132" s="20"/>
      <c r="E132" s="20"/>
      <c r="F132" s="20"/>
      <c r="G132" s="20"/>
      <c r="H132" s="20"/>
      <c r="I132" s="20"/>
      <c r="J132" s="20"/>
      <c r="K132" s="20"/>
      <c r="L132" s="23"/>
      <c r="M132" s="23"/>
      <c r="N132" s="23"/>
      <c r="O132" s="23"/>
      <c r="P132" s="22" t="str">
        <f aca="false">IFERROR(N132/O132,"")</f>
        <v/>
      </c>
      <c r="Q132" s="20"/>
      <c r="R132" s="20"/>
      <c r="S132" s="20"/>
      <c r="T132" s="20"/>
      <c r="U132" s="20"/>
      <c r="V132" s="19"/>
      <c r="W132" s="19"/>
      <c r="X132" s="20"/>
      <c r="Y132" s="19"/>
      <c r="Z132" s="20"/>
      <c r="AA132" s="20"/>
      <c r="AB132" s="20"/>
      <c r="AC132" s="20"/>
      <c r="AD132" s="20"/>
      <c r="AE132" s="20"/>
      <c r="AF132" s="20"/>
      <c r="AG132" s="19"/>
    </row>
    <row r="133" customFormat="false" ht="15" hidden="false" customHeight="false" outlineLevel="0" collapsed="false">
      <c r="A133" s="20"/>
      <c r="B133" s="19"/>
      <c r="C133" s="20"/>
      <c r="D133" s="20"/>
      <c r="E133" s="20"/>
      <c r="F133" s="20"/>
      <c r="G133" s="20"/>
      <c r="H133" s="20"/>
      <c r="I133" s="20"/>
      <c r="J133" s="20"/>
      <c r="K133" s="20"/>
      <c r="L133" s="23"/>
      <c r="M133" s="23"/>
      <c r="N133" s="23"/>
      <c r="O133" s="23"/>
      <c r="P133" s="22" t="str">
        <f aca="false">IFERROR(N133/O133,"")</f>
        <v/>
      </c>
      <c r="Q133" s="20"/>
      <c r="R133" s="20"/>
      <c r="S133" s="20"/>
      <c r="T133" s="20"/>
      <c r="U133" s="20"/>
      <c r="V133" s="19"/>
      <c r="W133" s="19"/>
      <c r="X133" s="20"/>
      <c r="Y133" s="19"/>
      <c r="Z133" s="20"/>
      <c r="AA133" s="20"/>
      <c r="AB133" s="20"/>
      <c r="AC133" s="20"/>
      <c r="AD133" s="20"/>
      <c r="AE133" s="20"/>
      <c r="AF133" s="20"/>
      <c r="AG133" s="19"/>
    </row>
    <row r="134" customFormat="false" ht="15" hidden="false" customHeight="false" outlineLevel="0" collapsed="false">
      <c r="A134" s="20"/>
      <c r="B134" s="19"/>
      <c r="C134" s="20"/>
      <c r="D134" s="20"/>
      <c r="E134" s="20"/>
      <c r="F134" s="20"/>
      <c r="G134" s="20"/>
      <c r="H134" s="20"/>
      <c r="I134" s="20"/>
      <c r="J134" s="20"/>
      <c r="K134" s="20"/>
      <c r="L134" s="23"/>
      <c r="M134" s="23"/>
      <c r="N134" s="23"/>
      <c r="O134" s="23"/>
      <c r="P134" s="22" t="str">
        <f aca="false">IFERROR(N134/O134,"")</f>
        <v/>
      </c>
      <c r="Q134" s="20"/>
      <c r="R134" s="20"/>
      <c r="S134" s="20"/>
      <c r="T134" s="20"/>
      <c r="U134" s="20"/>
      <c r="V134" s="19"/>
      <c r="W134" s="19"/>
      <c r="X134" s="20"/>
      <c r="Y134" s="19"/>
      <c r="Z134" s="20"/>
      <c r="AA134" s="20"/>
      <c r="AB134" s="20"/>
      <c r="AC134" s="20"/>
      <c r="AD134" s="20"/>
      <c r="AE134" s="20"/>
      <c r="AF134" s="20"/>
      <c r="AG134" s="19"/>
    </row>
    <row r="135" customFormat="false" ht="15" hidden="false" customHeight="false" outlineLevel="0" collapsed="false">
      <c r="A135" s="20"/>
      <c r="B135" s="19"/>
      <c r="C135" s="20"/>
      <c r="D135" s="20"/>
      <c r="E135" s="20"/>
      <c r="F135" s="20"/>
      <c r="G135" s="20"/>
      <c r="H135" s="20"/>
      <c r="I135" s="20"/>
      <c r="J135" s="20"/>
      <c r="K135" s="20"/>
      <c r="L135" s="23"/>
      <c r="M135" s="23"/>
      <c r="N135" s="23"/>
      <c r="O135" s="23"/>
      <c r="P135" s="22" t="str">
        <f aca="false">IFERROR(N135/O135,"")</f>
        <v/>
      </c>
      <c r="Q135" s="20"/>
      <c r="R135" s="20"/>
      <c r="S135" s="20"/>
      <c r="T135" s="20"/>
      <c r="U135" s="20"/>
      <c r="V135" s="19"/>
      <c r="W135" s="19"/>
      <c r="X135" s="20"/>
      <c r="Y135" s="19"/>
      <c r="Z135" s="20"/>
      <c r="AA135" s="20"/>
      <c r="AB135" s="20"/>
      <c r="AC135" s="20"/>
      <c r="AD135" s="20"/>
      <c r="AE135" s="20"/>
      <c r="AF135" s="20"/>
      <c r="AG135" s="19"/>
    </row>
    <row r="136" customFormat="false" ht="15" hidden="false" customHeight="false" outlineLevel="0" collapsed="false">
      <c r="A136" s="20"/>
      <c r="B136" s="19"/>
      <c r="C136" s="20"/>
      <c r="D136" s="20"/>
      <c r="E136" s="20"/>
      <c r="F136" s="20"/>
      <c r="G136" s="20"/>
      <c r="H136" s="20"/>
      <c r="I136" s="20"/>
      <c r="J136" s="20"/>
      <c r="K136" s="20"/>
      <c r="L136" s="23"/>
      <c r="M136" s="23"/>
      <c r="N136" s="23"/>
      <c r="O136" s="23"/>
      <c r="P136" s="22" t="str">
        <f aca="false">IFERROR(N136/O136,"")</f>
        <v/>
      </c>
      <c r="Q136" s="20"/>
      <c r="R136" s="20"/>
      <c r="S136" s="20"/>
      <c r="T136" s="20"/>
      <c r="U136" s="20"/>
      <c r="V136" s="19"/>
      <c r="W136" s="19"/>
      <c r="X136" s="20"/>
      <c r="Y136" s="19"/>
      <c r="Z136" s="20"/>
      <c r="AA136" s="20"/>
      <c r="AB136" s="20"/>
      <c r="AC136" s="20"/>
      <c r="AD136" s="20"/>
      <c r="AE136" s="20"/>
      <c r="AF136" s="20"/>
      <c r="AG136" s="19"/>
    </row>
    <row r="137" customFormat="false" ht="15" hidden="false" customHeight="false" outlineLevel="0" collapsed="false">
      <c r="A137" s="20"/>
      <c r="B137" s="19"/>
      <c r="C137" s="20"/>
      <c r="D137" s="20"/>
      <c r="E137" s="20"/>
      <c r="F137" s="20"/>
      <c r="G137" s="20"/>
      <c r="H137" s="20"/>
      <c r="I137" s="20"/>
      <c r="J137" s="20"/>
      <c r="K137" s="20"/>
      <c r="L137" s="23"/>
      <c r="M137" s="23"/>
      <c r="N137" s="23"/>
      <c r="O137" s="23"/>
      <c r="P137" s="22" t="str">
        <f aca="false">IFERROR(N137/O137,"")</f>
        <v/>
      </c>
      <c r="Q137" s="20"/>
      <c r="R137" s="20"/>
      <c r="S137" s="20"/>
      <c r="T137" s="20"/>
      <c r="U137" s="20"/>
      <c r="V137" s="19"/>
      <c r="W137" s="19"/>
      <c r="X137" s="20"/>
      <c r="Y137" s="19"/>
      <c r="Z137" s="20"/>
      <c r="AA137" s="20"/>
      <c r="AB137" s="20"/>
      <c r="AC137" s="20"/>
      <c r="AD137" s="20"/>
      <c r="AE137" s="20"/>
      <c r="AF137" s="20"/>
      <c r="AG137" s="19"/>
    </row>
    <row r="138" customFormat="false" ht="15" hidden="false" customHeight="false" outlineLevel="0" collapsed="false">
      <c r="A138" s="20"/>
      <c r="B138" s="19"/>
      <c r="C138" s="20"/>
      <c r="D138" s="20"/>
      <c r="E138" s="20"/>
      <c r="F138" s="20"/>
      <c r="G138" s="20"/>
      <c r="H138" s="20"/>
      <c r="I138" s="20"/>
      <c r="J138" s="20"/>
      <c r="K138" s="20"/>
      <c r="L138" s="23"/>
      <c r="M138" s="23"/>
      <c r="N138" s="23"/>
      <c r="O138" s="23"/>
      <c r="P138" s="22" t="str">
        <f aca="false">IFERROR(N138/O138,"")</f>
        <v/>
      </c>
      <c r="Q138" s="20"/>
      <c r="R138" s="20"/>
      <c r="S138" s="20"/>
      <c r="T138" s="20"/>
      <c r="U138" s="20"/>
      <c r="V138" s="19"/>
      <c r="W138" s="19"/>
      <c r="X138" s="20"/>
      <c r="Y138" s="19"/>
      <c r="Z138" s="20"/>
      <c r="AA138" s="20"/>
      <c r="AB138" s="20"/>
      <c r="AC138" s="20"/>
      <c r="AD138" s="20"/>
      <c r="AE138" s="20"/>
      <c r="AF138" s="20"/>
      <c r="AG138" s="19"/>
    </row>
    <row r="139" customFormat="false" ht="15" hidden="false" customHeight="false" outlineLevel="0" collapsed="false">
      <c r="A139" s="20"/>
      <c r="B139" s="19"/>
      <c r="C139" s="20"/>
      <c r="D139" s="20"/>
      <c r="E139" s="20"/>
      <c r="F139" s="20"/>
      <c r="G139" s="20"/>
      <c r="H139" s="20"/>
      <c r="I139" s="20"/>
      <c r="J139" s="20"/>
      <c r="K139" s="20"/>
      <c r="L139" s="23"/>
      <c r="M139" s="23"/>
      <c r="N139" s="23"/>
      <c r="O139" s="23"/>
      <c r="P139" s="22" t="str">
        <f aca="false">IFERROR(N139/O139,"")</f>
        <v/>
      </c>
      <c r="Q139" s="20"/>
      <c r="R139" s="20"/>
      <c r="S139" s="20"/>
      <c r="T139" s="20"/>
      <c r="U139" s="20"/>
      <c r="V139" s="19"/>
      <c r="W139" s="19"/>
      <c r="X139" s="20"/>
      <c r="Y139" s="19"/>
      <c r="Z139" s="20"/>
      <c r="AA139" s="20"/>
      <c r="AB139" s="20"/>
      <c r="AC139" s="20"/>
      <c r="AD139" s="20"/>
      <c r="AE139" s="20"/>
      <c r="AF139" s="20"/>
      <c r="AG139" s="19"/>
    </row>
    <row r="140" customFormat="false" ht="15" hidden="false" customHeight="false" outlineLevel="0" collapsed="false">
      <c r="A140" s="20"/>
      <c r="B140" s="19"/>
      <c r="C140" s="20"/>
      <c r="D140" s="20"/>
      <c r="E140" s="20"/>
      <c r="F140" s="20"/>
      <c r="G140" s="20"/>
      <c r="H140" s="20"/>
      <c r="I140" s="20"/>
      <c r="J140" s="20"/>
      <c r="K140" s="20"/>
      <c r="L140" s="23"/>
      <c r="M140" s="23"/>
      <c r="N140" s="23"/>
      <c r="O140" s="23"/>
      <c r="P140" s="22" t="str">
        <f aca="false">IFERROR(N140/O140,"")</f>
        <v/>
      </c>
      <c r="Q140" s="20"/>
      <c r="R140" s="20"/>
      <c r="S140" s="20"/>
      <c r="T140" s="20"/>
      <c r="U140" s="20"/>
      <c r="V140" s="19"/>
      <c r="W140" s="19"/>
      <c r="X140" s="20"/>
      <c r="Y140" s="19"/>
      <c r="Z140" s="20"/>
      <c r="AA140" s="20"/>
      <c r="AB140" s="20"/>
      <c r="AC140" s="20"/>
      <c r="AD140" s="20"/>
      <c r="AE140" s="20"/>
      <c r="AF140" s="20"/>
      <c r="AG140" s="19"/>
    </row>
    <row r="141" customFormat="false" ht="15" hidden="false" customHeight="false" outlineLevel="0" collapsed="false">
      <c r="A141" s="20"/>
      <c r="B141" s="19"/>
      <c r="C141" s="20"/>
      <c r="D141" s="20"/>
      <c r="E141" s="20"/>
      <c r="F141" s="20"/>
      <c r="G141" s="20"/>
      <c r="H141" s="20"/>
      <c r="I141" s="20"/>
      <c r="J141" s="20"/>
      <c r="K141" s="20"/>
      <c r="L141" s="23"/>
      <c r="M141" s="23"/>
      <c r="N141" s="23"/>
      <c r="O141" s="23"/>
      <c r="P141" s="22" t="str">
        <f aca="false">IFERROR(N141/O141,"")</f>
        <v/>
      </c>
      <c r="Q141" s="20"/>
      <c r="R141" s="20"/>
      <c r="S141" s="20"/>
      <c r="T141" s="20"/>
      <c r="U141" s="20"/>
      <c r="V141" s="19"/>
      <c r="W141" s="19"/>
      <c r="X141" s="20"/>
      <c r="Y141" s="19"/>
      <c r="Z141" s="20"/>
      <c r="AA141" s="20"/>
      <c r="AB141" s="20"/>
      <c r="AC141" s="20"/>
      <c r="AD141" s="20"/>
      <c r="AE141" s="20"/>
      <c r="AF141" s="20"/>
      <c r="AG141" s="19"/>
    </row>
    <row r="142" customFormat="false" ht="15" hidden="false" customHeight="false" outlineLevel="0" collapsed="false">
      <c r="A142" s="20"/>
      <c r="B142" s="19"/>
      <c r="C142" s="20"/>
      <c r="D142" s="20"/>
      <c r="E142" s="20"/>
      <c r="F142" s="20"/>
      <c r="G142" s="20"/>
      <c r="H142" s="20"/>
      <c r="I142" s="20"/>
      <c r="J142" s="20"/>
      <c r="K142" s="20"/>
      <c r="L142" s="23"/>
      <c r="M142" s="23"/>
      <c r="N142" s="23"/>
      <c r="O142" s="23"/>
      <c r="P142" s="22" t="str">
        <f aca="false">IFERROR(N142/O142,"")</f>
        <v/>
      </c>
      <c r="Q142" s="20"/>
      <c r="R142" s="20"/>
      <c r="S142" s="20"/>
      <c r="T142" s="20"/>
      <c r="U142" s="20"/>
      <c r="V142" s="19"/>
      <c r="W142" s="19"/>
      <c r="X142" s="20"/>
      <c r="Y142" s="19"/>
      <c r="Z142" s="20"/>
      <c r="AA142" s="20"/>
      <c r="AB142" s="20"/>
      <c r="AC142" s="20"/>
      <c r="AD142" s="20"/>
      <c r="AE142" s="20"/>
      <c r="AF142" s="20"/>
      <c r="AG142" s="19"/>
    </row>
    <row r="143" customFormat="false" ht="15" hidden="false" customHeight="false" outlineLevel="0" collapsed="false">
      <c r="A143" s="20"/>
      <c r="B143" s="19"/>
      <c r="C143" s="20"/>
      <c r="D143" s="20"/>
      <c r="E143" s="20"/>
      <c r="F143" s="20"/>
      <c r="G143" s="20"/>
      <c r="H143" s="20"/>
      <c r="I143" s="20"/>
      <c r="J143" s="20"/>
      <c r="K143" s="20"/>
      <c r="L143" s="23"/>
      <c r="M143" s="23"/>
      <c r="N143" s="23"/>
      <c r="O143" s="23"/>
      <c r="P143" s="22" t="str">
        <f aca="false">IFERROR(N143/O143,"")</f>
        <v/>
      </c>
      <c r="Q143" s="20"/>
      <c r="R143" s="20"/>
      <c r="S143" s="20"/>
      <c r="T143" s="20"/>
      <c r="U143" s="20"/>
      <c r="V143" s="19"/>
      <c r="W143" s="19"/>
      <c r="X143" s="20"/>
      <c r="Y143" s="19"/>
      <c r="Z143" s="20"/>
      <c r="AA143" s="20"/>
      <c r="AB143" s="20"/>
      <c r="AC143" s="20"/>
      <c r="AD143" s="20"/>
      <c r="AE143" s="20"/>
      <c r="AF143" s="20"/>
      <c r="AG143" s="19"/>
    </row>
    <row r="144" customFormat="false" ht="15" hidden="false" customHeight="false" outlineLevel="0" collapsed="false">
      <c r="A144" s="20"/>
      <c r="B144" s="19"/>
      <c r="C144" s="20"/>
      <c r="D144" s="20"/>
      <c r="E144" s="20"/>
      <c r="F144" s="20"/>
      <c r="G144" s="20"/>
      <c r="H144" s="20"/>
      <c r="I144" s="20"/>
      <c r="J144" s="20"/>
      <c r="K144" s="20"/>
      <c r="L144" s="23"/>
      <c r="M144" s="23"/>
      <c r="N144" s="23"/>
      <c r="O144" s="23"/>
      <c r="P144" s="22" t="str">
        <f aca="false">IFERROR(N144/O144,"")</f>
        <v/>
      </c>
      <c r="Q144" s="20"/>
      <c r="R144" s="20"/>
      <c r="S144" s="20"/>
      <c r="T144" s="20"/>
      <c r="U144" s="20"/>
      <c r="V144" s="19"/>
      <c r="W144" s="19"/>
      <c r="X144" s="20"/>
      <c r="Y144" s="19"/>
      <c r="Z144" s="20"/>
      <c r="AA144" s="20"/>
      <c r="AB144" s="20"/>
      <c r="AC144" s="20"/>
      <c r="AD144" s="20"/>
      <c r="AE144" s="20"/>
      <c r="AF144" s="20"/>
      <c r="AG144" s="19"/>
    </row>
    <row r="145" customFormat="false" ht="15" hidden="false" customHeight="false" outlineLevel="0" collapsed="false">
      <c r="A145" s="20"/>
      <c r="B145" s="19"/>
      <c r="C145" s="20"/>
      <c r="D145" s="20"/>
      <c r="E145" s="20"/>
      <c r="F145" s="20"/>
      <c r="G145" s="20"/>
      <c r="H145" s="20"/>
      <c r="I145" s="20"/>
      <c r="J145" s="20"/>
      <c r="K145" s="20"/>
      <c r="L145" s="23"/>
      <c r="M145" s="23"/>
      <c r="N145" s="23"/>
      <c r="O145" s="23"/>
      <c r="P145" s="22" t="str">
        <f aca="false">IFERROR(N145/O145,"")</f>
        <v/>
      </c>
      <c r="Q145" s="20"/>
      <c r="R145" s="20"/>
      <c r="S145" s="20"/>
      <c r="T145" s="20"/>
      <c r="U145" s="20"/>
      <c r="V145" s="19"/>
      <c r="W145" s="19"/>
      <c r="X145" s="20"/>
      <c r="Y145" s="19"/>
      <c r="Z145" s="20"/>
      <c r="AA145" s="20"/>
      <c r="AB145" s="20"/>
      <c r="AC145" s="20"/>
      <c r="AD145" s="20"/>
      <c r="AE145" s="20"/>
      <c r="AF145" s="20"/>
      <c r="AG145" s="19"/>
    </row>
    <row r="146" customFormat="false" ht="15" hidden="false" customHeight="false" outlineLevel="0" collapsed="false">
      <c r="A146" s="20"/>
      <c r="B146" s="19"/>
      <c r="C146" s="20"/>
      <c r="D146" s="20"/>
      <c r="E146" s="20"/>
      <c r="F146" s="20"/>
      <c r="G146" s="20"/>
      <c r="H146" s="20"/>
      <c r="I146" s="20"/>
      <c r="J146" s="20"/>
      <c r="K146" s="20"/>
      <c r="L146" s="23"/>
      <c r="M146" s="23"/>
      <c r="N146" s="23"/>
      <c r="O146" s="23"/>
      <c r="P146" s="22" t="str">
        <f aca="false">IFERROR(N146/O146,"")</f>
        <v/>
      </c>
      <c r="Q146" s="20"/>
      <c r="R146" s="20"/>
      <c r="S146" s="20"/>
      <c r="T146" s="20"/>
      <c r="U146" s="20"/>
      <c r="V146" s="19"/>
      <c r="W146" s="19"/>
      <c r="X146" s="20"/>
      <c r="Y146" s="19"/>
      <c r="Z146" s="20"/>
      <c r="AA146" s="20"/>
      <c r="AB146" s="20"/>
      <c r="AC146" s="20"/>
      <c r="AD146" s="20"/>
      <c r="AE146" s="20"/>
      <c r="AF146" s="20"/>
      <c r="AG146" s="19"/>
    </row>
    <row r="147" customFormat="false" ht="15" hidden="false" customHeight="false" outlineLevel="0" collapsed="false">
      <c r="A147" s="20"/>
      <c r="B147" s="19"/>
      <c r="C147" s="20"/>
      <c r="D147" s="20"/>
      <c r="E147" s="20"/>
      <c r="F147" s="20"/>
      <c r="G147" s="20"/>
      <c r="H147" s="20"/>
      <c r="I147" s="20"/>
      <c r="J147" s="20"/>
      <c r="K147" s="20"/>
      <c r="L147" s="23"/>
      <c r="M147" s="23"/>
      <c r="N147" s="23"/>
      <c r="O147" s="23"/>
      <c r="P147" s="22" t="str">
        <f aca="false">IFERROR(N147/O147,"")</f>
        <v/>
      </c>
      <c r="Q147" s="20"/>
      <c r="R147" s="20"/>
      <c r="S147" s="20"/>
      <c r="T147" s="20"/>
      <c r="U147" s="20"/>
      <c r="V147" s="19"/>
      <c r="W147" s="19"/>
      <c r="X147" s="20"/>
      <c r="Y147" s="19"/>
      <c r="Z147" s="20"/>
      <c r="AA147" s="20"/>
      <c r="AB147" s="20"/>
      <c r="AC147" s="20"/>
      <c r="AD147" s="20"/>
      <c r="AE147" s="20"/>
      <c r="AF147" s="20"/>
      <c r="AG147" s="19"/>
    </row>
    <row r="148" customFormat="false" ht="15" hidden="false" customHeight="false" outlineLevel="0" collapsed="false">
      <c r="A148" s="20"/>
      <c r="B148" s="19"/>
      <c r="C148" s="20"/>
      <c r="D148" s="20"/>
      <c r="E148" s="20"/>
      <c r="F148" s="20"/>
      <c r="G148" s="20"/>
      <c r="H148" s="20"/>
      <c r="I148" s="20"/>
      <c r="J148" s="20"/>
      <c r="K148" s="20"/>
      <c r="L148" s="23"/>
      <c r="M148" s="23"/>
      <c r="N148" s="23"/>
      <c r="O148" s="23"/>
      <c r="P148" s="22" t="str">
        <f aca="false">IFERROR(N148/O148,"")</f>
        <v/>
      </c>
      <c r="Q148" s="20"/>
      <c r="R148" s="20"/>
      <c r="S148" s="20"/>
      <c r="T148" s="20"/>
      <c r="U148" s="20"/>
      <c r="V148" s="19"/>
      <c r="W148" s="19"/>
      <c r="X148" s="20"/>
      <c r="Y148" s="19"/>
      <c r="Z148" s="20"/>
      <c r="AA148" s="20"/>
      <c r="AB148" s="20"/>
      <c r="AC148" s="20"/>
      <c r="AD148" s="20"/>
      <c r="AE148" s="20"/>
      <c r="AF148" s="20"/>
      <c r="AG148" s="19"/>
    </row>
    <row r="149" customFormat="false" ht="15" hidden="false" customHeight="false" outlineLevel="0" collapsed="false">
      <c r="A149" s="20"/>
      <c r="B149" s="19"/>
      <c r="C149" s="20"/>
      <c r="D149" s="20"/>
      <c r="E149" s="20"/>
      <c r="F149" s="20"/>
      <c r="G149" s="20"/>
      <c r="H149" s="20"/>
      <c r="I149" s="20"/>
      <c r="J149" s="20"/>
      <c r="K149" s="20"/>
      <c r="L149" s="23"/>
      <c r="M149" s="23"/>
      <c r="N149" s="23"/>
      <c r="O149" s="23"/>
      <c r="P149" s="22" t="str">
        <f aca="false">IFERROR(N149/O149,"")</f>
        <v/>
      </c>
      <c r="Q149" s="20"/>
      <c r="R149" s="20"/>
      <c r="S149" s="20"/>
      <c r="T149" s="20"/>
      <c r="U149" s="20"/>
      <c r="V149" s="19"/>
      <c r="W149" s="19"/>
      <c r="X149" s="20"/>
      <c r="Y149" s="19"/>
      <c r="Z149" s="20"/>
      <c r="AA149" s="20"/>
      <c r="AB149" s="20"/>
      <c r="AC149" s="20"/>
      <c r="AD149" s="20"/>
      <c r="AE149" s="20"/>
      <c r="AF149" s="20"/>
      <c r="AG149" s="19"/>
    </row>
    <row r="150" customFormat="false" ht="15" hidden="false" customHeight="false" outlineLevel="0" collapsed="false">
      <c r="A150" s="20"/>
      <c r="B150" s="19"/>
      <c r="C150" s="20"/>
      <c r="D150" s="20"/>
      <c r="E150" s="20"/>
      <c r="F150" s="20"/>
      <c r="G150" s="20"/>
      <c r="H150" s="20"/>
      <c r="I150" s="20"/>
      <c r="J150" s="20"/>
      <c r="K150" s="20"/>
      <c r="L150" s="23"/>
      <c r="M150" s="23"/>
      <c r="N150" s="23"/>
      <c r="O150" s="23"/>
      <c r="P150" s="22" t="str">
        <f aca="false">IFERROR(N150/O150,"")</f>
        <v/>
      </c>
      <c r="Q150" s="20"/>
      <c r="R150" s="20"/>
      <c r="S150" s="20"/>
      <c r="T150" s="20"/>
      <c r="U150" s="20"/>
      <c r="V150" s="19"/>
      <c r="W150" s="19"/>
      <c r="X150" s="20"/>
      <c r="Y150" s="19"/>
      <c r="Z150" s="20"/>
      <c r="AA150" s="20"/>
      <c r="AB150" s="20"/>
      <c r="AC150" s="20"/>
      <c r="AD150" s="20"/>
      <c r="AE150" s="20"/>
      <c r="AF150" s="20"/>
      <c r="AG150" s="19"/>
    </row>
    <row r="151" customFormat="false" ht="15" hidden="false" customHeight="false" outlineLevel="0" collapsed="false">
      <c r="A151" s="20"/>
      <c r="B151" s="19"/>
      <c r="C151" s="20"/>
      <c r="D151" s="20"/>
      <c r="E151" s="20"/>
      <c r="F151" s="20"/>
      <c r="G151" s="20"/>
      <c r="H151" s="20"/>
      <c r="I151" s="20"/>
      <c r="J151" s="20"/>
      <c r="K151" s="20"/>
      <c r="L151" s="23"/>
      <c r="M151" s="23"/>
      <c r="N151" s="23"/>
      <c r="O151" s="23"/>
      <c r="P151" s="22" t="str">
        <f aca="false">IFERROR(N151/O151,"")</f>
        <v/>
      </c>
      <c r="Q151" s="20"/>
      <c r="R151" s="20"/>
      <c r="S151" s="20"/>
      <c r="T151" s="20"/>
      <c r="U151" s="20"/>
      <c r="V151" s="19"/>
      <c r="W151" s="19"/>
      <c r="X151" s="20"/>
      <c r="Y151" s="19"/>
      <c r="Z151" s="20"/>
      <c r="AA151" s="20"/>
      <c r="AB151" s="20"/>
      <c r="AC151" s="20"/>
      <c r="AD151" s="20"/>
      <c r="AE151" s="20"/>
      <c r="AF151" s="20"/>
      <c r="AG151" s="19"/>
    </row>
    <row r="152" customFormat="false" ht="15" hidden="false" customHeight="false" outlineLevel="0" collapsed="false">
      <c r="A152" s="20"/>
      <c r="B152" s="19"/>
      <c r="C152" s="20"/>
      <c r="D152" s="20"/>
      <c r="E152" s="20"/>
      <c r="F152" s="20"/>
      <c r="G152" s="20"/>
      <c r="H152" s="20"/>
      <c r="I152" s="20"/>
      <c r="J152" s="20"/>
      <c r="K152" s="20"/>
      <c r="L152" s="23"/>
      <c r="M152" s="23"/>
      <c r="N152" s="23"/>
      <c r="O152" s="23"/>
      <c r="P152" s="22" t="str">
        <f aca="false">IFERROR(N152/O152,"")</f>
        <v/>
      </c>
      <c r="Q152" s="20"/>
      <c r="R152" s="20"/>
      <c r="S152" s="20"/>
      <c r="T152" s="20"/>
      <c r="U152" s="20"/>
      <c r="V152" s="19"/>
      <c r="W152" s="19"/>
      <c r="X152" s="20"/>
      <c r="Y152" s="19"/>
      <c r="Z152" s="20"/>
      <c r="AA152" s="20"/>
      <c r="AB152" s="20"/>
      <c r="AC152" s="20"/>
      <c r="AD152" s="20"/>
      <c r="AE152" s="20"/>
      <c r="AF152" s="20"/>
      <c r="AG152" s="19"/>
    </row>
    <row r="153" customFormat="false" ht="15" hidden="false" customHeight="false" outlineLevel="0" collapsed="false">
      <c r="A153" s="20"/>
      <c r="B153" s="19"/>
      <c r="C153" s="20"/>
      <c r="D153" s="20"/>
      <c r="E153" s="20"/>
      <c r="F153" s="20"/>
      <c r="G153" s="20"/>
      <c r="H153" s="20"/>
      <c r="I153" s="20"/>
      <c r="J153" s="20"/>
      <c r="K153" s="20"/>
      <c r="L153" s="23"/>
      <c r="M153" s="23"/>
      <c r="N153" s="23"/>
      <c r="O153" s="23"/>
      <c r="P153" s="22" t="str">
        <f aca="false">IFERROR(N153/O153,"")</f>
        <v/>
      </c>
      <c r="Q153" s="20"/>
      <c r="R153" s="20"/>
      <c r="S153" s="20"/>
      <c r="T153" s="20"/>
      <c r="U153" s="20"/>
      <c r="V153" s="19"/>
      <c r="W153" s="19"/>
      <c r="X153" s="20"/>
      <c r="Y153" s="19"/>
      <c r="Z153" s="20"/>
      <c r="AA153" s="20"/>
      <c r="AB153" s="20"/>
      <c r="AC153" s="20"/>
      <c r="AD153" s="20"/>
      <c r="AE153" s="20"/>
      <c r="AF153" s="20"/>
      <c r="AG153" s="19"/>
    </row>
    <row r="154" customFormat="false" ht="15" hidden="false" customHeight="false" outlineLevel="0" collapsed="false">
      <c r="A154" s="20"/>
      <c r="B154" s="19"/>
      <c r="C154" s="20"/>
      <c r="D154" s="20"/>
      <c r="E154" s="20"/>
      <c r="F154" s="20"/>
      <c r="G154" s="20"/>
      <c r="H154" s="20"/>
      <c r="I154" s="20"/>
      <c r="J154" s="20"/>
      <c r="K154" s="20"/>
      <c r="L154" s="23"/>
      <c r="M154" s="23"/>
      <c r="N154" s="23"/>
      <c r="O154" s="23"/>
      <c r="P154" s="22" t="str">
        <f aca="false">IFERROR(N154/O154,"")</f>
        <v/>
      </c>
      <c r="Q154" s="20"/>
      <c r="R154" s="20"/>
      <c r="S154" s="20"/>
      <c r="T154" s="20"/>
      <c r="U154" s="20"/>
      <c r="V154" s="19"/>
      <c r="W154" s="19"/>
      <c r="X154" s="20"/>
      <c r="Y154" s="19"/>
      <c r="Z154" s="20"/>
      <c r="AA154" s="20"/>
      <c r="AB154" s="20"/>
      <c r="AC154" s="20"/>
      <c r="AD154" s="20"/>
      <c r="AE154" s="20"/>
      <c r="AF154" s="20"/>
      <c r="AG154" s="19"/>
    </row>
    <row r="155" customFormat="false" ht="15" hidden="false" customHeight="false" outlineLevel="0" collapsed="false">
      <c r="A155" s="20"/>
      <c r="B155" s="19"/>
      <c r="C155" s="20"/>
      <c r="D155" s="20"/>
      <c r="E155" s="20"/>
      <c r="F155" s="20"/>
      <c r="G155" s="20"/>
      <c r="H155" s="20"/>
      <c r="I155" s="20"/>
      <c r="J155" s="20"/>
      <c r="K155" s="20"/>
      <c r="L155" s="23"/>
      <c r="M155" s="23"/>
      <c r="N155" s="23"/>
      <c r="O155" s="23"/>
      <c r="P155" s="22" t="str">
        <f aca="false">IFERROR(N155/O155,"")</f>
        <v/>
      </c>
      <c r="Q155" s="20"/>
      <c r="R155" s="20"/>
      <c r="S155" s="20"/>
      <c r="T155" s="20"/>
      <c r="U155" s="20"/>
      <c r="V155" s="19"/>
      <c r="W155" s="19"/>
      <c r="X155" s="20"/>
      <c r="Y155" s="19"/>
      <c r="Z155" s="20"/>
      <c r="AA155" s="20"/>
      <c r="AB155" s="20"/>
      <c r="AC155" s="20"/>
      <c r="AD155" s="20"/>
      <c r="AE155" s="20"/>
      <c r="AF155" s="20"/>
      <c r="AG155" s="19"/>
    </row>
    <row r="156" customFormat="false" ht="15" hidden="false" customHeight="false" outlineLevel="0" collapsed="false">
      <c r="A156" s="20"/>
      <c r="B156" s="19"/>
      <c r="C156" s="20"/>
      <c r="D156" s="20"/>
      <c r="E156" s="20"/>
      <c r="F156" s="20"/>
      <c r="G156" s="20"/>
      <c r="H156" s="20"/>
      <c r="I156" s="20"/>
      <c r="J156" s="20"/>
      <c r="K156" s="20"/>
      <c r="L156" s="23"/>
      <c r="M156" s="23"/>
      <c r="N156" s="23"/>
      <c r="O156" s="23"/>
      <c r="P156" s="22" t="str">
        <f aca="false">IFERROR(N156/O156,"")</f>
        <v/>
      </c>
      <c r="Q156" s="20"/>
      <c r="R156" s="20"/>
      <c r="S156" s="20"/>
      <c r="T156" s="20"/>
      <c r="U156" s="20"/>
      <c r="V156" s="19"/>
      <c r="W156" s="19"/>
      <c r="X156" s="20"/>
      <c r="Y156" s="19"/>
      <c r="Z156" s="20"/>
      <c r="AA156" s="20"/>
      <c r="AB156" s="20"/>
      <c r="AC156" s="20"/>
      <c r="AD156" s="20"/>
      <c r="AE156" s="20"/>
      <c r="AF156" s="20"/>
      <c r="AG156" s="19"/>
    </row>
    <row r="157" customFormat="false" ht="15" hidden="false" customHeight="false" outlineLevel="0" collapsed="false">
      <c r="A157" s="20"/>
      <c r="B157" s="19"/>
      <c r="C157" s="20"/>
      <c r="D157" s="20"/>
      <c r="E157" s="20"/>
      <c r="F157" s="20"/>
      <c r="G157" s="20"/>
      <c r="H157" s="20"/>
      <c r="I157" s="20"/>
      <c r="J157" s="20"/>
      <c r="K157" s="20"/>
      <c r="L157" s="23"/>
      <c r="M157" s="23"/>
      <c r="N157" s="23"/>
      <c r="O157" s="23"/>
      <c r="P157" s="22" t="str">
        <f aca="false">IFERROR(N157/O157,"")</f>
        <v/>
      </c>
      <c r="Q157" s="20"/>
      <c r="R157" s="20"/>
      <c r="S157" s="20"/>
      <c r="T157" s="20"/>
      <c r="U157" s="20"/>
      <c r="V157" s="19"/>
      <c r="W157" s="19"/>
      <c r="X157" s="20"/>
      <c r="Y157" s="19"/>
      <c r="Z157" s="20"/>
      <c r="AA157" s="20"/>
      <c r="AB157" s="20"/>
      <c r="AC157" s="20"/>
      <c r="AD157" s="20"/>
      <c r="AE157" s="20"/>
      <c r="AF157" s="20"/>
      <c r="AG157" s="19"/>
    </row>
    <row r="158" customFormat="false" ht="15" hidden="false" customHeight="false" outlineLevel="0" collapsed="false">
      <c r="A158" s="20"/>
      <c r="B158" s="19"/>
      <c r="C158" s="20"/>
      <c r="D158" s="20"/>
      <c r="E158" s="20"/>
      <c r="F158" s="20"/>
      <c r="G158" s="20"/>
      <c r="H158" s="20"/>
      <c r="I158" s="20"/>
      <c r="J158" s="20"/>
      <c r="K158" s="20"/>
      <c r="L158" s="23"/>
      <c r="M158" s="23"/>
      <c r="N158" s="23"/>
      <c r="O158" s="23"/>
      <c r="P158" s="22" t="str">
        <f aca="false">IFERROR(N158/O158,"")</f>
        <v/>
      </c>
      <c r="Q158" s="20"/>
      <c r="R158" s="20"/>
      <c r="S158" s="20"/>
      <c r="T158" s="20"/>
      <c r="U158" s="20"/>
      <c r="V158" s="19"/>
      <c r="W158" s="19"/>
      <c r="X158" s="20"/>
      <c r="Y158" s="19"/>
      <c r="Z158" s="20"/>
      <c r="AA158" s="20"/>
      <c r="AB158" s="20"/>
      <c r="AC158" s="20"/>
      <c r="AD158" s="20"/>
      <c r="AE158" s="20"/>
      <c r="AF158" s="20"/>
      <c r="AG158" s="19"/>
    </row>
    <row r="159" customFormat="false" ht="15" hidden="false" customHeight="false" outlineLevel="0" collapsed="false">
      <c r="A159" s="20"/>
      <c r="B159" s="19"/>
      <c r="C159" s="20"/>
      <c r="D159" s="20"/>
      <c r="E159" s="20"/>
      <c r="F159" s="20"/>
      <c r="G159" s="20"/>
      <c r="H159" s="20"/>
      <c r="I159" s="20"/>
      <c r="J159" s="20"/>
      <c r="K159" s="20"/>
      <c r="L159" s="23"/>
      <c r="M159" s="23"/>
      <c r="N159" s="23"/>
      <c r="O159" s="23"/>
      <c r="P159" s="22" t="str">
        <f aca="false">IFERROR(N159/O159,"")</f>
        <v/>
      </c>
      <c r="Q159" s="20"/>
      <c r="R159" s="20"/>
      <c r="S159" s="20"/>
      <c r="T159" s="20"/>
      <c r="U159" s="20"/>
      <c r="V159" s="19"/>
      <c r="W159" s="19"/>
      <c r="X159" s="20"/>
      <c r="Y159" s="19"/>
      <c r="Z159" s="20"/>
      <c r="AA159" s="20"/>
      <c r="AB159" s="20"/>
      <c r="AC159" s="20"/>
      <c r="AD159" s="20"/>
      <c r="AE159" s="20"/>
      <c r="AF159" s="20"/>
      <c r="AG159" s="19"/>
    </row>
    <row r="160" customFormat="false" ht="15" hidden="false" customHeight="false" outlineLevel="0" collapsed="false">
      <c r="A160" s="20"/>
      <c r="B160" s="19"/>
      <c r="C160" s="20"/>
      <c r="D160" s="20"/>
      <c r="E160" s="20"/>
      <c r="F160" s="20"/>
      <c r="G160" s="20"/>
      <c r="H160" s="20"/>
      <c r="I160" s="20"/>
      <c r="J160" s="20"/>
      <c r="K160" s="20"/>
      <c r="L160" s="23"/>
      <c r="M160" s="23"/>
      <c r="N160" s="23"/>
      <c r="O160" s="23"/>
      <c r="P160" s="22" t="str">
        <f aca="false">IFERROR(N160/O160,"")</f>
        <v/>
      </c>
      <c r="Q160" s="20"/>
      <c r="R160" s="20"/>
      <c r="S160" s="20"/>
      <c r="T160" s="20"/>
      <c r="U160" s="20"/>
      <c r="V160" s="19"/>
      <c r="W160" s="19"/>
      <c r="X160" s="20"/>
      <c r="Y160" s="19"/>
      <c r="Z160" s="20"/>
      <c r="AA160" s="20"/>
      <c r="AB160" s="20"/>
      <c r="AC160" s="20"/>
      <c r="AD160" s="20"/>
      <c r="AE160" s="20"/>
      <c r="AF160" s="20"/>
      <c r="AG160" s="19"/>
    </row>
    <row r="161" customFormat="false" ht="15" hidden="false" customHeight="false" outlineLevel="0" collapsed="false">
      <c r="A161" s="20"/>
      <c r="B161" s="19"/>
      <c r="C161" s="20"/>
      <c r="D161" s="20"/>
      <c r="E161" s="20"/>
      <c r="F161" s="20"/>
      <c r="G161" s="20"/>
      <c r="H161" s="20"/>
      <c r="I161" s="20"/>
      <c r="J161" s="20"/>
      <c r="K161" s="20"/>
      <c r="L161" s="23"/>
      <c r="M161" s="23"/>
      <c r="N161" s="23"/>
      <c r="O161" s="23"/>
      <c r="P161" s="22" t="str">
        <f aca="false">IFERROR(N161/O161,"")</f>
        <v/>
      </c>
      <c r="Q161" s="20"/>
      <c r="R161" s="20"/>
      <c r="S161" s="20"/>
      <c r="T161" s="20"/>
      <c r="U161" s="20"/>
      <c r="V161" s="19"/>
      <c r="W161" s="19"/>
      <c r="X161" s="20"/>
      <c r="Y161" s="19"/>
      <c r="Z161" s="20"/>
      <c r="AA161" s="20"/>
      <c r="AB161" s="20"/>
      <c r="AC161" s="20"/>
      <c r="AD161" s="20"/>
      <c r="AE161" s="20"/>
      <c r="AF161" s="20"/>
      <c r="AG161" s="19"/>
    </row>
    <row r="162" customFormat="false" ht="15" hidden="false" customHeight="false" outlineLevel="0" collapsed="false">
      <c r="A162" s="20"/>
      <c r="B162" s="19"/>
      <c r="C162" s="20"/>
      <c r="D162" s="20"/>
      <c r="E162" s="20"/>
      <c r="F162" s="20"/>
      <c r="G162" s="20"/>
      <c r="H162" s="20"/>
      <c r="I162" s="20"/>
      <c r="J162" s="20"/>
      <c r="K162" s="20"/>
      <c r="L162" s="23"/>
      <c r="M162" s="23"/>
      <c r="N162" s="23"/>
      <c r="O162" s="23"/>
      <c r="P162" s="22" t="str">
        <f aca="false">IFERROR(N162/O162,"")</f>
        <v/>
      </c>
      <c r="Q162" s="20"/>
      <c r="R162" s="20"/>
      <c r="S162" s="20"/>
      <c r="T162" s="20"/>
      <c r="U162" s="20"/>
      <c r="V162" s="19"/>
      <c r="W162" s="19"/>
      <c r="X162" s="20"/>
      <c r="Y162" s="19"/>
      <c r="Z162" s="20"/>
      <c r="AA162" s="20"/>
      <c r="AB162" s="20"/>
      <c r="AC162" s="20"/>
      <c r="AD162" s="20"/>
      <c r="AE162" s="20"/>
      <c r="AF162" s="20"/>
      <c r="AG162" s="19"/>
    </row>
    <row r="163" customFormat="false" ht="15" hidden="false" customHeight="false" outlineLevel="0" collapsed="false">
      <c r="A163" s="20"/>
      <c r="B163" s="19"/>
      <c r="C163" s="20"/>
      <c r="D163" s="20"/>
      <c r="E163" s="20"/>
      <c r="F163" s="20"/>
      <c r="G163" s="20"/>
      <c r="H163" s="20"/>
      <c r="I163" s="20"/>
      <c r="J163" s="20"/>
      <c r="K163" s="20"/>
      <c r="L163" s="23"/>
      <c r="M163" s="23"/>
      <c r="N163" s="23"/>
      <c r="O163" s="23"/>
      <c r="P163" s="22" t="str">
        <f aca="false">IFERROR(N163/O163,"")</f>
        <v/>
      </c>
      <c r="Q163" s="20"/>
      <c r="R163" s="20"/>
      <c r="S163" s="20"/>
      <c r="T163" s="20"/>
      <c r="U163" s="20"/>
      <c r="V163" s="19"/>
      <c r="W163" s="19"/>
      <c r="X163" s="20"/>
      <c r="Y163" s="19"/>
      <c r="Z163" s="20"/>
      <c r="AA163" s="20"/>
      <c r="AB163" s="20"/>
      <c r="AC163" s="20"/>
      <c r="AD163" s="20"/>
      <c r="AE163" s="20"/>
      <c r="AF163" s="20"/>
      <c r="AG163" s="19"/>
    </row>
    <row r="164" customFormat="false" ht="15" hidden="false" customHeight="false" outlineLevel="0" collapsed="false">
      <c r="A164" s="20"/>
      <c r="B164" s="19"/>
      <c r="C164" s="20"/>
      <c r="D164" s="20"/>
      <c r="E164" s="20"/>
      <c r="F164" s="20"/>
      <c r="G164" s="20"/>
      <c r="H164" s="20"/>
      <c r="I164" s="20"/>
      <c r="J164" s="20"/>
      <c r="K164" s="20"/>
      <c r="L164" s="23"/>
      <c r="M164" s="23"/>
      <c r="N164" s="23"/>
      <c r="O164" s="23"/>
      <c r="P164" s="22" t="str">
        <f aca="false">IFERROR(N164/O164,"")</f>
        <v/>
      </c>
      <c r="Q164" s="20"/>
      <c r="R164" s="20"/>
      <c r="S164" s="20"/>
      <c r="T164" s="20"/>
      <c r="U164" s="20"/>
      <c r="V164" s="19"/>
      <c r="W164" s="19"/>
      <c r="X164" s="20"/>
      <c r="Y164" s="19"/>
      <c r="Z164" s="20"/>
      <c r="AA164" s="20"/>
      <c r="AB164" s="20"/>
      <c r="AC164" s="20"/>
      <c r="AD164" s="20"/>
      <c r="AE164" s="20"/>
      <c r="AF164" s="20"/>
      <c r="AG164" s="19"/>
    </row>
    <row r="165" customFormat="false" ht="15" hidden="false" customHeight="false" outlineLevel="0" collapsed="false">
      <c r="A165" s="20"/>
      <c r="B165" s="19"/>
      <c r="C165" s="20"/>
      <c r="D165" s="20"/>
      <c r="E165" s="20"/>
      <c r="F165" s="20"/>
      <c r="G165" s="20"/>
      <c r="H165" s="20"/>
      <c r="I165" s="20"/>
      <c r="J165" s="20"/>
      <c r="K165" s="20"/>
      <c r="L165" s="23"/>
      <c r="M165" s="23"/>
      <c r="N165" s="23"/>
      <c r="O165" s="23"/>
      <c r="P165" s="22" t="str">
        <f aca="false">IFERROR(N165/O165,"")</f>
        <v/>
      </c>
      <c r="Q165" s="20"/>
      <c r="R165" s="20"/>
      <c r="S165" s="20"/>
      <c r="T165" s="20"/>
      <c r="U165" s="20"/>
      <c r="V165" s="19"/>
      <c r="W165" s="19"/>
      <c r="X165" s="20"/>
      <c r="Y165" s="19"/>
      <c r="Z165" s="20"/>
      <c r="AA165" s="20"/>
      <c r="AB165" s="20"/>
      <c r="AC165" s="20"/>
      <c r="AD165" s="20"/>
      <c r="AE165" s="20"/>
      <c r="AF165" s="20"/>
      <c r="AG165" s="19"/>
    </row>
    <row r="166" customFormat="false" ht="15" hidden="false" customHeight="false" outlineLevel="0" collapsed="false">
      <c r="A166" s="20"/>
      <c r="B166" s="19"/>
      <c r="C166" s="20"/>
      <c r="D166" s="20"/>
      <c r="E166" s="20"/>
      <c r="F166" s="20"/>
      <c r="G166" s="20"/>
      <c r="H166" s="20"/>
      <c r="I166" s="20"/>
      <c r="J166" s="20"/>
      <c r="K166" s="20"/>
      <c r="L166" s="23"/>
      <c r="M166" s="23"/>
      <c r="N166" s="23"/>
      <c r="O166" s="23"/>
      <c r="P166" s="22" t="str">
        <f aca="false">IFERROR(N166/O166,"")</f>
        <v/>
      </c>
      <c r="Q166" s="20"/>
      <c r="R166" s="20"/>
      <c r="S166" s="20"/>
      <c r="T166" s="20"/>
      <c r="U166" s="20"/>
      <c r="V166" s="19"/>
      <c r="W166" s="19"/>
      <c r="X166" s="20"/>
      <c r="Y166" s="19"/>
      <c r="Z166" s="20"/>
      <c r="AA166" s="20"/>
      <c r="AB166" s="20"/>
      <c r="AC166" s="20"/>
      <c r="AD166" s="20"/>
      <c r="AE166" s="20"/>
      <c r="AF166" s="20"/>
      <c r="AG166" s="19"/>
    </row>
    <row r="167" customFormat="false" ht="15" hidden="false" customHeight="false" outlineLevel="0" collapsed="false">
      <c r="A167" s="20"/>
      <c r="B167" s="19"/>
      <c r="C167" s="20"/>
      <c r="D167" s="20"/>
      <c r="E167" s="20"/>
      <c r="F167" s="20"/>
      <c r="G167" s="20"/>
      <c r="H167" s="20"/>
      <c r="I167" s="20"/>
      <c r="J167" s="20"/>
      <c r="K167" s="20"/>
      <c r="L167" s="23"/>
      <c r="M167" s="23"/>
      <c r="N167" s="23"/>
      <c r="O167" s="23"/>
      <c r="P167" s="22" t="str">
        <f aca="false">IFERROR(N167/O167,"")</f>
        <v/>
      </c>
      <c r="Q167" s="20"/>
      <c r="R167" s="20"/>
      <c r="S167" s="20"/>
      <c r="T167" s="20"/>
      <c r="U167" s="20"/>
      <c r="V167" s="19"/>
      <c r="W167" s="19"/>
      <c r="X167" s="20"/>
      <c r="Y167" s="19"/>
      <c r="Z167" s="20"/>
      <c r="AA167" s="20"/>
      <c r="AB167" s="20"/>
      <c r="AC167" s="20"/>
      <c r="AD167" s="20"/>
      <c r="AE167" s="20"/>
      <c r="AF167" s="20"/>
      <c r="AG167" s="19"/>
    </row>
    <row r="168" customFormat="false" ht="15" hidden="false" customHeight="false" outlineLevel="0" collapsed="false">
      <c r="A168" s="20"/>
      <c r="B168" s="19"/>
      <c r="C168" s="20"/>
      <c r="D168" s="20"/>
      <c r="E168" s="20"/>
      <c r="F168" s="20"/>
      <c r="G168" s="20"/>
      <c r="H168" s="20"/>
      <c r="I168" s="20"/>
      <c r="J168" s="20"/>
      <c r="K168" s="20"/>
      <c r="L168" s="23"/>
      <c r="M168" s="23"/>
      <c r="N168" s="23"/>
      <c r="O168" s="23"/>
      <c r="P168" s="22" t="str">
        <f aca="false">IFERROR(N168/O168,"")</f>
        <v/>
      </c>
      <c r="Q168" s="20"/>
      <c r="R168" s="20"/>
      <c r="S168" s="20"/>
      <c r="T168" s="20"/>
      <c r="U168" s="20"/>
      <c r="V168" s="19"/>
      <c r="W168" s="19"/>
      <c r="X168" s="20"/>
      <c r="Y168" s="19"/>
      <c r="Z168" s="20"/>
      <c r="AA168" s="20"/>
      <c r="AB168" s="20"/>
      <c r="AC168" s="20"/>
      <c r="AD168" s="20"/>
      <c r="AE168" s="20"/>
      <c r="AF168" s="20"/>
      <c r="AG168" s="19"/>
    </row>
    <row r="169" customFormat="false" ht="15" hidden="false" customHeight="false" outlineLevel="0" collapsed="false">
      <c r="A169" s="20"/>
      <c r="B169" s="19"/>
      <c r="C169" s="20"/>
      <c r="D169" s="20"/>
      <c r="E169" s="20"/>
      <c r="F169" s="20"/>
      <c r="G169" s="20"/>
      <c r="H169" s="20"/>
      <c r="I169" s="20"/>
      <c r="J169" s="20"/>
      <c r="K169" s="20"/>
      <c r="L169" s="23"/>
      <c r="M169" s="23"/>
      <c r="N169" s="23"/>
      <c r="O169" s="23"/>
      <c r="P169" s="22" t="str">
        <f aca="false">IFERROR(N169/O169,"")</f>
        <v/>
      </c>
      <c r="Q169" s="20"/>
      <c r="R169" s="20"/>
      <c r="S169" s="20"/>
      <c r="T169" s="20"/>
      <c r="U169" s="20"/>
      <c r="V169" s="19"/>
      <c r="W169" s="19"/>
      <c r="X169" s="20"/>
      <c r="Y169" s="19"/>
      <c r="Z169" s="20"/>
      <c r="AA169" s="20"/>
      <c r="AB169" s="20"/>
      <c r="AC169" s="20"/>
      <c r="AD169" s="20"/>
      <c r="AE169" s="20"/>
      <c r="AF169" s="20"/>
      <c r="AG169" s="19"/>
    </row>
    <row r="170" customFormat="false" ht="15" hidden="false" customHeight="false" outlineLevel="0" collapsed="false">
      <c r="A170" s="20"/>
      <c r="B170" s="19"/>
      <c r="C170" s="20"/>
      <c r="D170" s="20"/>
      <c r="E170" s="20"/>
      <c r="F170" s="20"/>
      <c r="G170" s="20"/>
      <c r="H170" s="20"/>
      <c r="I170" s="20"/>
      <c r="J170" s="20"/>
      <c r="K170" s="20"/>
      <c r="L170" s="23"/>
      <c r="M170" s="23"/>
      <c r="N170" s="23"/>
      <c r="O170" s="23"/>
      <c r="P170" s="22" t="str">
        <f aca="false">IFERROR(N170/O170,"")</f>
        <v/>
      </c>
      <c r="Q170" s="20"/>
      <c r="R170" s="20"/>
      <c r="S170" s="20"/>
      <c r="T170" s="20"/>
      <c r="U170" s="20"/>
      <c r="V170" s="19"/>
      <c r="W170" s="19"/>
      <c r="X170" s="20"/>
      <c r="Y170" s="19"/>
      <c r="Z170" s="20"/>
      <c r="AA170" s="20"/>
      <c r="AB170" s="20"/>
      <c r="AC170" s="20"/>
      <c r="AD170" s="20"/>
      <c r="AE170" s="20"/>
      <c r="AF170" s="20"/>
      <c r="AG170" s="19"/>
    </row>
    <row r="171" customFormat="false" ht="15" hidden="false" customHeight="false" outlineLevel="0" collapsed="false">
      <c r="A171" s="20"/>
      <c r="B171" s="19"/>
      <c r="C171" s="20"/>
      <c r="D171" s="20"/>
      <c r="E171" s="20"/>
      <c r="F171" s="20"/>
      <c r="G171" s="20"/>
      <c r="H171" s="20"/>
      <c r="I171" s="20"/>
      <c r="J171" s="20"/>
      <c r="K171" s="20"/>
      <c r="L171" s="23"/>
      <c r="M171" s="23"/>
      <c r="N171" s="23"/>
      <c r="O171" s="23"/>
      <c r="P171" s="22" t="str">
        <f aca="false">IFERROR(N171/O171,"")</f>
        <v/>
      </c>
      <c r="Q171" s="20"/>
      <c r="R171" s="20"/>
      <c r="S171" s="20"/>
      <c r="T171" s="20"/>
      <c r="U171" s="20"/>
      <c r="V171" s="19"/>
      <c r="W171" s="19"/>
      <c r="X171" s="20"/>
      <c r="Y171" s="19"/>
      <c r="Z171" s="20"/>
      <c r="AA171" s="20"/>
      <c r="AB171" s="20"/>
      <c r="AC171" s="20"/>
      <c r="AD171" s="20"/>
      <c r="AE171" s="20"/>
      <c r="AF171" s="20"/>
      <c r="AG171" s="19"/>
    </row>
    <row r="172" customFormat="false" ht="15" hidden="false" customHeight="false" outlineLevel="0" collapsed="false">
      <c r="A172" s="20"/>
      <c r="B172" s="19"/>
      <c r="C172" s="20"/>
      <c r="D172" s="20"/>
      <c r="E172" s="20"/>
      <c r="F172" s="20"/>
      <c r="G172" s="20"/>
      <c r="H172" s="20"/>
      <c r="I172" s="20"/>
      <c r="J172" s="20"/>
      <c r="K172" s="20"/>
      <c r="L172" s="23"/>
      <c r="M172" s="23"/>
      <c r="N172" s="23"/>
      <c r="O172" s="23"/>
      <c r="P172" s="22" t="str">
        <f aca="false">IFERROR(N172/O172,"")</f>
        <v/>
      </c>
      <c r="Q172" s="20"/>
      <c r="R172" s="20"/>
      <c r="S172" s="20"/>
      <c r="T172" s="20"/>
      <c r="U172" s="20"/>
      <c r="V172" s="19"/>
      <c r="W172" s="19"/>
      <c r="X172" s="20"/>
      <c r="Y172" s="19"/>
      <c r="Z172" s="20"/>
      <c r="AA172" s="20"/>
      <c r="AB172" s="20"/>
      <c r="AC172" s="20"/>
      <c r="AD172" s="20"/>
      <c r="AE172" s="20"/>
      <c r="AF172" s="20"/>
      <c r="AG172" s="19"/>
    </row>
    <row r="173" customFormat="false" ht="15" hidden="false" customHeight="false" outlineLevel="0" collapsed="false">
      <c r="A173" s="20"/>
      <c r="B173" s="19"/>
      <c r="C173" s="20"/>
      <c r="D173" s="20"/>
      <c r="E173" s="20"/>
      <c r="F173" s="20"/>
      <c r="G173" s="20"/>
      <c r="H173" s="20"/>
      <c r="I173" s="20"/>
      <c r="J173" s="20"/>
      <c r="K173" s="20"/>
      <c r="L173" s="23"/>
      <c r="M173" s="23"/>
      <c r="N173" s="23"/>
      <c r="O173" s="23"/>
      <c r="P173" s="22" t="str">
        <f aca="false">IFERROR(N173/O173,"")</f>
        <v/>
      </c>
      <c r="Q173" s="20"/>
      <c r="R173" s="20"/>
      <c r="S173" s="20"/>
      <c r="T173" s="20"/>
      <c r="U173" s="20"/>
      <c r="V173" s="19"/>
      <c r="W173" s="19"/>
      <c r="X173" s="20"/>
      <c r="Y173" s="19"/>
      <c r="Z173" s="20"/>
      <c r="AA173" s="20"/>
      <c r="AB173" s="20"/>
      <c r="AC173" s="20"/>
      <c r="AD173" s="20"/>
      <c r="AE173" s="20"/>
      <c r="AF173" s="20"/>
      <c r="AG173" s="19"/>
    </row>
    <row r="174" customFormat="false" ht="15" hidden="false" customHeight="false" outlineLevel="0" collapsed="false">
      <c r="A174" s="20"/>
      <c r="B174" s="19"/>
      <c r="C174" s="20"/>
      <c r="D174" s="20"/>
      <c r="E174" s="20"/>
      <c r="F174" s="20"/>
      <c r="G174" s="20"/>
      <c r="H174" s="20"/>
      <c r="I174" s="20"/>
      <c r="J174" s="20"/>
      <c r="K174" s="20"/>
      <c r="L174" s="23"/>
      <c r="M174" s="23"/>
      <c r="N174" s="23"/>
      <c r="O174" s="23"/>
      <c r="P174" s="22" t="str">
        <f aca="false">IFERROR(N174/O174,"")</f>
        <v/>
      </c>
      <c r="Q174" s="20"/>
      <c r="R174" s="20"/>
      <c r="S174" s="20"/>
      <c r="T174" s="20"/>
      <c r="U174" s="20"/>
      <c r="V174" s="19"/>
      <c r="W174" s="19"/>
      <c r="X174" s="20"/>
      <c r="Y174" s="19"/>
      <c r="Z174" s="20"/>
      <c r="AA174" s="20"/>
      <c r="AB174" s="20"/>
      <c r="AC174" s="20"/>
      <c r="AD174" s="20"/>
      <c r="AE174" s="20"/>
      <c r="AF174" s="20"/>
      <c r="AG174" s="19"/>
    </row>
    <row r="175" customFormat="false" ht="15" hidden="false" customHeight="false" outlineLevel="0" collapsed="false">
      <c r="A175" s="20"/>
      <c r="B175" s="19"/>
      <c r="C175" s="20"/>
      <c r="D175" s="20"/>
      <c r="E175" s="20"/>
      <c r="F175" s="20"/>
      <c r="G175" s="20"/>
      <c r="H175" s="20"/>
      <c r="I175" s="20"/>
      <c r="J175" s="20"/>
      <c r="K175" s="20"/>
      <c r="L175" s="23"/>
      <c r="M175" s="23"/>
      <c r="N175" s="23"/>
      <c r="O175" s="23"/>
      <c r="P175" s="22" t="str">
        <f aca="false">IFERROR(N175/O175,"")</f>
        <v/>
      </c>
      <c r="Q175" s="20"/>
      <c r="R175" s="20"/>
      <c r="S175" s="20"/>
      <c r="T175" s="20"/>
      <c r="U175" s="20"/>
      <c r="V175" s="19"/>
      <c r="W175" s="19"/>
      <c r="X175" s="20"/>
      <c r="Y175" s="19"/>
      <c r="Z175" s="20"/>
      <c r="AA175" s="20"/>
      <c r="AB175" s="20"/>
      <c r="AC175" s="20"/>
      <c r="AD175" s="20"/>
      <c r="AE175" s="20"/>
      <c r="AF175" s="20"/>
      <c r="AG175" s="19"/>
    </row>
    <row r="176" customFormat="false" ht="15" hidden="false" customHeight="false" outlineLevel="0" collapsed="false">
      <c r="A176" s="20"/>
      <c r="B176" s="19"/>
      <c r="C176" s="20"/>
      <c r="D176" s="20"/>
      <c r="E176" s="20"/>
      <c r="F176" s="20"/>
      <c r="G176" s="20"/>
      <c r="H176" s="20"/>
      <c r="I176" s="20"/>
      <c r="J176" s="20"/>
      <c r="K176" s="20"/>
      <c r="L176" s="23"/>
      <c r="M176" s="23"/>
      <c r="N176" s="23"/>
      <c r="O176" s="23"/>
      <c r="P176" s="22" t="str">
        <f aca="false">IFERROR(N176/O176,"")</f>
        <v/>
      </c>
      <c r="Q176" s="20"/>
      <c r="R176" s="20"/>
      <c r="S176" s="20"/>
      <c r="T176" s="20"/>
      <c r="U176" s="20"/>
      <c r="V176" s="19"/>
      <c r="W176" s="19"/>
      <c r="X176" s="20"/>
      <c r="Y176" s="19"/>
      <c r="Z176" s="20"/>
      <c r="AA176" s="20"/>
      <c r="AB176" s="20"/>
      <c r="AC176" s="20"/>
      <c r="AD176" s="20"/>
      <c r="AE176" s="20"/>
      <c r="AF176" s="20"/>
      <c r="AG176" s="19"/>
    </row>
    <row r="177" customFormat="false" ht="15" hidden="false" customHeight="false" outlineLevel="0" collapsed="false">
      <c r="A177" s="20"/>
      <c r="B177" s="19"/>
      <c r="C177" s="20"/>
      <c r="D177" s="20"/>
      <c r="E177" s="20"/>
      <c r="F177" s="20"/>
      <c r="G177" s="20"/>
      <c r="H177" s="20"/>
      <c r="I177" s="20"/>
      <c r="J177" s="20"/>
      <c r="K177" s="20"/>
      <c r="L177" s="23"/>
      <c r="M177" s="23"/>
      <c r="N177" s="23"/>
      <c r="O177" s="23"/>
      <c r="P177" s="22" t="str">
        <f aca="false">IFERROR(N177/O177,"")</f>
        <v/>
      </c>
      <c r="Q177" s="20"/>
      <c r="R177" s="20"/>
      <c r="S177" s="20"/>
      <c r="T177" s="20"/>
      <c r="U177" s="20"/>
      <c r="V177" s="19"/>
      <c r="W177" s="19"/>
      <c r="X177" s="20"/>
      <c r="Y177" s="19"/>
      <c r="Z177" s="20"/>
      <c r="AA177" s="20"/>
      <c r="AB177" s="20"/>
      <c r="AC177" s="20"/>
      <c r="AD177" s="20"/>
      <c r="AE177" s="20"/>
      <c r="AF177" s="20"/>
      <c r="AG177" s="19"/>
    </row>
    <row r="178" customFormat="false" ht="15" hidden="false" customHeight="false" outlineLevel="0" collapsed="false">
      <c r="A178" s="20"/>
      <c r="B178" s="19"/>
      <c r="C178" s="20"/>
      <c r="D178" s="20"/>
      <c r="E178" s="20"/>
      <c r="F178" s="20"/>
      <c r="G178" s="20"/>
      <c r="H178" s="20"/>
      <c r="I178" s="20"/>
      <c r="J178" s="20"/>
      <c r="K178" s="20"/>
      <c r="L178" s="23"/>
      <c r="M178" s="23"/>
      <c r="N178" s="23"/>
      <c r="O178" s="23"/>
      <c r="P178" s="22" t="str">
        <f aca="false">IFERROR(N178/O178,"")</f>
        <v/>
      </c>
      <c r="Q178" s="20"/>
      <c r="R178" s="20"/>
      <c r="S178" s="20"/>
      <c r="T178" s="20"/>
      <c r="U178" s="20"/>
      <c r="V178" s="19"/>
      <c r="W178" s="19"/>
      <c r="X178" s="20"/>
      <c r="Y178" s="19"/>
      <c r="Z178" s="20"/>
      <c r="AA178" s="20"/>
      <c r="AB178" s="20"/>
      <c r="AC178" s="20"/>
      <c r="AD178" s="20"/>
      <c r="AE178" s="20"/>
      <c r="AF178" s="20"/>
      <c r="AG178" s="19"/>
    </row>
    <row r="179" customFormat="false" ht="15" hidden="false" customHeight="false" outlineLevel="0" collapsed="false">
      <c r="A179" s="20"/>
      <c r="B179" s="19"/>
      <c r="C179" s="20"/>
      <c r="D179" s="20"/>
      <c r="E179" s="20"/>
      <c r="F179" s="20"/>
      <c r="G179" s="20"/>
      <c r="H179" s="20"/>
      <c r="I179" s="20"/>
      <c r="J179" s="20"/>
      <c r="K179" s="20"/>
      <c r="L179" s="23"/>
      <c r="M179" s="23"/>
      <c r="N179" s="23"/>
      <c r="O179" s="23"/>
      <c r="P179" s="22" t="str">
        <f aca="false">IFERROR(N179/O179,"")</f>
        <v/>
      </c>
      <c r="Q179" s="20"/>
      <c r="R179" s="20"/>
      <c r="S179" s="20"/>
      <c r="T179" s="20"/>
      <c r="U179" s="20"/>
      <c r="V179" s="19"/>
      <c r="W179" s="19"/>
      <c r="X179" s="20"/>
      <c r="Y179" s="19"/>
      <c r="Z179" s="20"/>
      <c r="AA179" s="20"/>
      <c r="AB179" s="20"/>
      <c r="AC179" s="20"/>
      <c r="AD179" s="20"/>
      <c r="AE179" s="20"/>
      <c r="AF179" s="20"/>
      <c r="AG179" s="19"/>
    </row>
    <row r="180" customFormat="false" ht="15" hidden="false" customHeight="false" outlineLevel="0" collapsed="false">
      <c r="A180" s="20"/>
      <c r="B180" s="19"/>
      <c r="C180" s="20"/>
      <c r="D180" s="20"/>
      <c r="E180" s="20"/>
      <c r="F180" s="20"/>
      <c r="G180" s="20"/>
      <c r="H180" s="20"/>
      <c r="I180" s="20"/>
      <c r="J180" s="20"/>
      <c r="K180" s="20"/>
      <c r="L180" s="23"/>
      <c r="M180" s="23"/>
      <c r="N180" s="23"/>
      <c r="O180" s="23"/>
      <c r="P180" s="22" t="str">
        <f aca="false">IFERROR(N180/O180,"")</f>
        <v/>
      </c>
      <c r="Q180" s="20"/>
      <c r="R180" s="20"/>
      <c r="S180" s="20"/>
      <c r="T180" s="20"/>
      <c r="U180" s="20"/>
      <c r="V180" s="19"/>
      <c r="W180" s="19"/>
      <c r="X180" s="20"/>
      <c r="Y180" s="19"/>
      <c r="Z180" s="20"/>
      <c r="AA180" s="20"/>
      <c r="AB180" s="20"/>
      <c r="AC180" s="20"/>
      <c r="AD180" s="20"/>
      <c r="AE180" s="20"/>
      <c r="AF180" s="20"/>
      <c r="AG180" s="19"/>
    </row>
    <row r="181" customFormat="false" ht="15" hidden="false" customHeight="false" outlineLevel="0" collapsed="false">
      <c r="A181" s="20"/>
      <c r="B181" s="19"/>
      <c r="C181" s="20"/>
      <c r="D181" s="20"/>
      <c r="E181" s="20"/>
      <c r="F181" s="20"/>
      <c r="G181" s="20"/>
      <c r="H181" s="20"/>
      <c r="I181" s="20"/>
      <c r="J181" s="20"/>
      <c r="K181" s="20"/>
      <c r="L181" s="23"/>
      <c r="M181" s="23"/>
      <c r="N181" s="23"/>
      <c r="O181" s="23"/>
      <c r="P181" s="22" t="str">
        <f aca="false">IFERROR(N181/O181,"")</f>
        <v/>
      </c>
      <c r="Q181" s="20"/>
      <c r="R181" s="20"/>
      <c r="S181" s="20"/>
      <c r="T181" s="20"/>
      <c r="U181" s="20"/>
      <c r="V181" s="19"/>
      <c r="W181" s="19"/>
      <c r="X181" s="20"/>
      <c r="Y181" s="19"/>
      <c r="Z181" s="20"/>
      <c r="AA181" s="20"/>
      <c r="AB181" s="20"/>
      <c r="AC181" s="20"/>
      <c r="AD181" s="20"/>
      <c r="AE181" s="20"/>
      <c r="AF181" s="20"/>
      <c r="AG181" s="19"/>
    </row>
    <row r="182" customFormat="false" ht="15" hidden="false" customHeight="false" outlineLevel="0" collapsed="false">
      <c r="A182" s="20"/>
      <c r="B182" s="19"/>
      <c r="C182" s="20"/>
      <c r="D182" s="20"/>
      <c r="E182" s="20"/>
      <c r="F182" s="20"/>
      <c r="G182" s="20"/>
      <c r="H182" s="20"/>
      <c r="I182" s="20"/>
      <c r="J182" s="20"/>
      <c r="K182" s="20"/>
      <c r="L182" s="23"/>
      <c r="M182" s="23"/>
      <c r="N182" s="23"/>
      <c r="O182" s="23"/>
      <c r="P182" s="22" t="str">
        <f aca="false">IFERROR(N182/O182,"")</f>
        <v/>
      </c>
      <c r="Q182" s="20"/>
      <c r="R182" s="20"/>
      <c r="S182" s="20"/>
      <c r="T182" s="20"/>
      <c r="U182" s="20"/>
      <c r="V182" s="19"/>
      <c r="W182" s="19"/>
      <c r="X182" s="20"/>
      <c r="Y182" s="19"/>
      <c r="Z182" s="20"/>
      <c r="AA182" s="20"/>
      <c r="AB182" s="20"/>
      <c r="AC182" s="20"/>
      <c r="AD182" s="20"/>
      <c r="AE182" s="20"/>
      <c r="AF182" s="20"/>
      <c r="AG182" s="19"/>
    </row>
    <row r="183" customFormat="false" ht="15" hidden="false" customHeight="false" outlineLevel="0" collapsed="false">
      <c r="A183" s="20"/>
      <c r="B183" s="19"/>
      <c r="C183" s="20"/>
      <c r="D183" s="20"/>
      <c r="E183" s="20"/>
      <c r="F183" s="20"/>
      <c r="G183" s="20"/>
      <c r="H183" s="20"/>
      <c r="I183" s="20"/>
      <c r="J183" s="20"/>
      <c r="K183" s="20"/>
      <c r="L183" s="23"/>
      <c r="M183" s="23"/>
      <c r="N183" s="23"/>
      <c r="O183" s="23"/>
      <c r="P183" s="22" t="str">
        <f aca="false">IFERROR(N183/O183,"")</f>
        <v/>
      </c>
      <c r="Q183" s="20"/>
      <c r="R183" s="20"/>
      <c r="S183" s="20"/>
      <c r="T183" s="20"/>
      <c r="U183" s="20"/>
      <c r="V183" s="19"/>
      <c r="W183" s="19"/>
      <c r="X183" s="20"/>
      <c r="Y183" s="19"/>
      <c r="Z183" s="20"/>
      <c r="AA183" s="20"/>
      <c r="AB183" s="20"/>
      <c r="AC183" s="20"/>
      <c r="AD183" s="20"/>
      <c r="AE183" s="20"/>
      <c r="AF183" s="20"/>
      <c r="AG183" s="19"/>
    </row>
    <row r="184" customFormat="false" ht="15" hidden="false" customHeight="false" outlineLevel="0" collapsed="false">
      <c r="A184" s="20"/>
      <c r="B184" s="19"/>
      <c r="C184" s="20"/>
      <c r="D184" s="20"/>
      <c r="E184" s="20"/>
      <c r="F184" s="20"/>
      <c r="G184" s="20"/>
      <c r="H184" s="20"/>
      <c r="I184" s="20"/>
      <c r="J184" s="20"/>
      <c r="K184" s="20"/>
      <c r="L184" s="23"/>
      <c r="M184" s="23"/>
      <c r="N184" s="23"/>
      <c r="O184" s="23"/>
      <c r="P184" s="22" t="str">
        <f aca="false">IFERROR(N184/O184,"")</f>
        <v/>
      </c>
      <c r="Q184" s="20"/>
      <c r="R184" s="20"/>
      <c r="S184" s="20"/>
      <c r="T184" s="20"/>
      <c r="U184" s="20"/>
      <c r="V184" s="19"/>
      <c r="W184" s="19"/>
      <c r="X184" s="20"/>
      <c r="Y184" s="19"/>
      <c r="Z184" s="20"/>
      <c r="AA184" s="20"/>
      <c r="AB184" s="20"/>
      <c r="AC184" s="20"/>
      <c r="AD184" s="20"/>
      <c r="AE184" s="20"/>
      <c r="AF184" s="20"/>
      <c r="AG184" s="19"/>
    </row>
    <row r="185" customFormat="false" ht="15" hidden="false" customHeight="false" outlineLevel="0" collapsed="false">
      <c r="A185" s="20"/>
      <c r="B185" s="19"/>
      <c r="C185" s="20"/>
      <c r="D185" s="20"/>
      <c r="E185" s="20"/>
      <c r="F185" s="20"/>
      <c r="G185" s="20"/>
      <c r="H185" s="20"/>
      <c r="I185" s="20"/>
      <c r="J185" s="20"/>
      <c r="K185" s="20"/>
      <c r="L185" s="23"/>
      <c r="M185" s="23"/>
      <c r="N185" s="23"/>
      <c r="O185" s="23"/>
      <c r="P185" s="22" t="str">
        <f aca="false">IFERROR(N185/O185,"")</f>
        <v/>
      </c>
      <c r="Q185" s="20"/>
      <c r="R185" s="20"/>
      <c r="S185" s="20"/>
      <c r="T185" s="20"/>
      <c r="U185" s="20"/>
      <c r="V185" s="19"/>
      <c r="W185" s="19"/>
      <c r="X185" s="20"/>
      <c r="Y185" s="19"/>
      <c r="Z185" s="20"/>
      <c r="AA185" s="20"/>
      <c r="AB185" s="20"/>
      <c r="AC185" s="20"/>
      <c r="AD185" s="20"/>
      <c r="AE185" s="20"/>
      <c r="AF185" s="20"/>
      <c r="AG185" s="19"/>
    </row>
    <row r="186" customFormat="false" ht="15" hidden="false" customHeight="false" outlineLevel="0" collapsed="false">
      <c r="A186" s="20"/>
      <c r="B186" s="19"/>
      <c r="C186" s="20"/>
      <c r="D186" s="20"/>
      <c r="E186" s="20"/>
      <c r="F186" s="20"/>
      <c r="G186" s="20"/>
      <c r="H186" s="20"/>
      <c r="I186" s="20"/>
      <c r="J186" s="20"/>
      <c r="K186" s="20"/>
      <c r="L186" s="23"/>
      <c r="M186" s="23"/>
      <c r="N186" s="23"/>
      <c r="O186" s="23"/>
      <c r="P186" s="22" t="str">
        <f aca="false">IFERROR(N186/O186,"")</f>
        <v/>
      </c>
      <c r="Q186" s="20"/>
      <c r="R186" s="20"/>
      <c r="S186" s="20"/>
      <c r="T186" s="20"/>
      <c r="U186" s="20"/>
      <c r="V186" s="19"/>
      <c r="W186" s="19"/>
      <c r="X186" s="20"/>
      <c r="Y186" s="19"/>
      <c r="Z186" s="20"/>
      <c r="AA186" s="20"/>
      <c r="AB186" s="20"/>
      <c r="AC186" s="20"/>
      <c r="AD186" s="20"/>
      <c r="AE186" s="20"/>
      <c r="AF186" s="20"/>
      <c r="AG186" s="19"/>
    </row>
    <row r="187" customFormat="false" ht="15" hidden="false" customHeight="false" outlineLevel="0" collapsed="false">
      <c r="A187" s="20"/>
      <c r="B187" s="19"/>
      <c r="C187" s="20"/>
      <c r="D187" s="20"/>
      <c r="E187" s="20"/>
      <c r="F187" s="20"/>
      <c r="G187" s="20"/>
      <c r="H187" s="20"/>
      <c r="I187" s="20"/>
      <c r="J187" s="20"/>
      <c r="K187" s="20"/>
      <c r="L187" s="23"/>
      <c r="M187" s="23"/>
      <c r="N187" s="23"/>
      <c r="O187" s="23"/>
      <c r="P187" s="22" t="str">
        <f aca="false">IFERROR(N187/O187,"")</f>
        <v/>
      </c>
      <c r="Q187" s="20"/>
      <c r="R187" s="20"/>
      <c r="S187" s="20"/>
      <c r="T187" s="20"/>
      <c r="U187" s="20"/>
      <c r="V187" s="19"/>
      <c r="W187" s="19"/>
      <c r="X187" s="20"/>
      <c r="Y187" s="19"/>
      <c r="Z187" s="20"/>
      <c r="AA187" s="20"/>
      <c r="AB187" s="20"/>
      <c r="AC187" s="20"/>
      <c r="AD187" s="20"/>
      <c r="AE187" s="20"/>
      <c r="AF187" s="20"/>
      <c r="AG187" s="19"/>
    </row>
    <row r="188" customFormat="false" ht="15" hidden="false" customHeight="false" outlineLevel="0" collapsed="false">
      <c r="A188" s="20"/>
      <c r="B188" s="19"/>
      <c r="C188" s="20"/>
      <c r="D188" s="20"/>
      <c r="E188" s="20"/>
      <c r="F188" s="20"/>
      <c r="G188" s="20"/>
      <c r="H188" s="20"/>
      <c r="I188" s="20"/>
      <c r="J188" s="20"/>
      <c r="K188" s="20"/>
      <c r="L188" s="23"/>
      <c r="M188" s="23"/>
      <c r="N188" s="23"/>
      <c r="O188" s="23"/>
      <c r="P188" s="22" t="str">
        <f aca="false">IFERROR(N188/O188,"")</f>
        <v/>
      </c>
      <c r="Q188" s="20"/>
      <c r="R188" s="20"/>
      <c r="S188" s="20"/>
      <c r="T188" s="20"/>
      <c r="U188" s="20"/>
      <c r="V188" s="19"/>
      <c r="W188" s="19"/>
      <c r="X188" s="20"/>
      <c r="Y188" s="19"/>
      <c r="Z188" s="20"/>
      <c r="AA188" s="20"/>
      <c r="AB188" s="20"/>
      <c r="AC188" s="20"/>
      <c r="AD188" s="20"/>
      <c r="AE188" s="20"/>
      <c r="AF188" s="20"/>
      <c r="AG188" s="19"/>
    </row>
    <row r="189" customFormat="false" ht="15" hidden="false" customHeight="false" outlineLevel="0" collapsed="false">
      <c r="A189" s="20"/>
      <c r="B189" s="19"/>
      <c r="C189" s="20"/>
      <c r="D189" s="20"/>
      <c r="E189" s="20"/>
      <c r="F189" s="20"/>
      <c r="G189" s="20"/>
      <c r="H189" s="20"/>
      <c r="I189" s="20"/>
      <c r="J189" s="20"/>
      <c r="K189" s="20"/>
      <c r="L189" s="23"/>
      <c r="M189" s="23"/>
      <c r="N189" s="23"/>
      <c r="O189" s="23"/>
      <c r="P189" s="22" t="str">
        <f aca="false">IFERROR(N189/O189,"")</f>
        <v/>
      </c>
      <c r="Q189" s="20"/>
      <c r="R189" s="20"/>
      <c r="S189" s="20"/>
      <c r="T189" s="20"/>
      <c r="U189" s="20"/>
      <c r="V189" s="19"/>
      <c r="W189" s="19"/>
      <c r="X189" s="20"/>
      <c r="Y189" s="19"/>
      <c r="Z189" s="20"/>
      <c r="AA189" s="20"/>
      <c r="AB189" s="20"/>
      <c r="AC189" s="20"/>
      <c r="AD189" s="20"/>
      <c r="AE189" s="20"/>
      <c r="AF189" s="20"/>
      <c r="AG189" s="19"/>
    </row>
    <row r="190" customFormat="false" ht="15" hidden="false" customHeight="false" outlineLevel="0" collapsed="false">
      <c r="A190" s="20"/>
      <c r="B190" s="19"/>
      <c r="C190" s="20"/>
      <c r="D190" s="20"/>
      <c r="E190" s="20"/>
      <c r="F190" s="20"/>
      <c r="G190" s="20"/>
      <c r="H190" s="20"/>
      <c r="I190" s="20"/>
      <c r="J190" s="20"/>
      <c r="K190" s="20"/>
      <c r="L190" s="23"/>
      <c r="M190" s="23"/>
      <c r="N190" s="23"/>
      <c r="O190" s="23"/>
      <c r="P190" s="22" t="str">
        <f aca="false">IFERROR(N190/O190,"")</f>
        <v/>
      </c>
      <c r="Q190" s="20"/>
      <c r="R190" s="20"/>
      <c r="S190" s="20"/>
      <c r="T190" s="20"/>
      <c r="U190" s="20"/>
      <c r="V190" s="19"/>
      <c r="W190" s="19"/>
      <c r="X190" s="20"/>
      <c r="Y190" s="19"/>
      <c r="Z190" s="20"/>
      <c r="AA190" s="20"/>
      <c r="AB190" s="20"/>
      <c r="AC190" s="20"/>
      <c r="AD190" s="20"/>
      <c r="AE190" s="20"/>
      <c r="AF190" s="20"/>
      <c r="AG190" s="19"/>
    </row>
    <row r="191" customFormat="false" ht="15" hidden="false" customHeight="false" outlineLevel="0" collapsed="false">
      <c r="A191" s="20"/>
      <c r="B191" s="19"/>
      <c r="C191" s="20"/>
      <c r="D191" s="20"/>
      <c r="E191" s="20"/>
      <c r="F191" s="20"/>
      <c r="G191" s="20"/>
      <c r="H191" s="20"/>
      <c r="I191" s="20"/>
      <c r="J191" s="20"/>
      <c r="K191" s="20"/>
      <c r="L191" s="23"/>
      <c r="M191" s="23"/>
      <c r="N191" s="23"/>
      <c r="O191" s="23"/>
      <c r="P191" s="22" t="str">
        <f aca="false">IFERROR(N191/O191,"")</f>
        <v/>
      </c>
      <c r="Q191" s="20"/>
      <c r="R191" s="20"/>
      <c r="S191" s="20"/>
      <c r="T191" s="20"/>
      <c r="U191" s="20"/>
      <c r="V191" s="19"/>
      <c r="W191" s="19"/>
      <c r="X191" s="20"/>
      <c r="Y191" s="19"/>
      <c r="Z191" s="20"/>
      <c r="AA191" s="20"/>
      <c r="AB191" s="20"/>
      <c r="AC191" s="20"/>
      <c r="AD191" s="20"/>
      <c r="AE191" s="20"/>
      <c r="AF191" s="20"/>
      <c r="AG191" s="19"/>
    </row>
    <row r="192" customFormat="false" ht="15" hidden="false" customHeight="false" outlineLevel="0" collapsed="false">
      <c r="A192" s="20"/>
      <c r="B192" s="19"/>
      <c r="C192" s="20"/>
      <c r="D192" s="20"/>
      <c r="E192" s="20"/>
      <c r="F192" s="20"/>
      <c r="G192" s="20"/>
      <c r="H192" s="20"/>
      <c r="I192" s="20"/>
      <c r="J192" s="20"/>
      <c r="K192" s="20"/>
      <c r="L192" s="23"/>
      <c r="M192" s="23"/>
      <c r="N192" s="23"/>
      <c r="O192" s="23"/>
      <c r="P192" s="22" t="str">
        <f aca="false">IFERROR(N192/O192,"")</f>
        <v/>
      </c>
      <c r="Q192" s="20"/>
      <c r="R192" s="20"/>
      <c r="S192" s="20"/>
      <c r="T192" s="20"/>
      <c r="U192" s="20"/>
      <c r="V192" s="19"/>
      <c r="W192" s="19"/>
      <c r="X192" s="20"/>
      <c r="Y192" s="19"/>
      <c r="Z192" s="20"/>
      <c r="AA192" s="20"/>
      <c r="AB192" s="20"/>
      <c r="AC192" s="20"/>
      <c r="AD192" s="20"/>
      <c r="AE192" s="20"/>
      <c r="AF192" s="20"/>
      <c r="AG192" s="19"/>
    </row>
    <row r="193" customFormat="false" ht="15" hidden="false" customHeight="false" outlineLevel="0" collapsed="false">
      <c r="A193" s="20"/>
      <c r="B193" s="19"/>
      <c r="C193" s="20"/>
      <c r="D193" s="20"/>
      <c r="E193" s="20"/>
      <c r="F193" s="20"/>
      <c r="G193" s="20"/>
      <c r="H193" s="20"/>
      <c r="I193" s="20"/>
      <c r="J193" s="20"/>
      <c r="K193" s="20"/>
      <c r="L193" s="23"/>
      <c r="M193" s="23"/>
      <c r="N193" s="23"/>
      <c r="O193" s="23"/>
      <c r="P193" s="22" t="str">
        <f aca="false">IFERROR(N193/O193,"")</f>
        <v/>
      </c>
      <c r="Q193" s="20"/>
      <c r="R193" s="20"/>
      <c r="S193" s="20"/>
      <c r="T193" s="20"/>
      <c r="U193" s="20"/>
      <c r="V193" s="19"/>
      <c r="W193" s="19"/>
      <c r="X193" s="20"/>
      <c r="Y193" s="19"/>
      <c r="Z193" s="20"/>
      <c r="AA193" s="20"/>
      <c r="AB193" s="20"/>
      <c r="AC193" s="20"/>
      <c r="AD193" s="20"/>
      <c r="AE193" s="20"/>
      <c r="AF193" s="20"/>
      <c r="AG193" s="19"/>
    </row>
    <row r="194" customFormat="false" ht="15" hidden="false" customHeight="false" outlineLevel="0" collapsed="false">
      <c r="A194" s="20"/>
      <c r="B194" s="19"/>
      <c r="C194" s="20"/>
      <c r="D194" s="20"/>
      <c r="E194" s="20"/>
      <c r="F194" s="20"/>
      <c r="G194" s="20"/>
      <c r="H194" s="20"/>
      <c r="I194" s="20"/>
      <c r="J194" s="20"/>
      <c r="K194" s="20"/>
      <c r="L194" s="23"/>
      <c r="M194" s="23"/>
      <c r="N194" s="23"/>
      <c r="O194" s="23"/>
      <c r="P194" s="22" t="str">
        <f aca="false">IFERROR(N194/O194,"")</f>
        <v/>
      </c>
      <c r="Q194" s="20"/>
      <c r="R194" s="20"/>
      <c r="S194" s="20"/>
      <c r="T194" s="20"/>
      <c r="U194" s="20"/>
      <c r="V194" s="19"/>
      <c r="W194" s="19"/>
      <c r="X194" s="20"/>
      <c r="Y194" s="19"/>
      <c r="Z194" s="20"/>
      <c r="AA194" s="20"/>
      <c r="AB194" s="20"/>
      <c r="AC194" s="20"/>
      <c r="AD194" s="20"/>
      <c r="AE194" s="20"/>
      <c r="AF194" s="20"/>
      <c r="AG194" s="19"/>
    </row>
    <row r="195" customFormat="false" ht="15" hidden="false" customHeight="false" outlineLevel="0" collapsed="false">
      <c r="A195" s="20"/>
      <c r="B195" s="19"/>
      <c r="C195" s="20"/>
      <c r="D195" s="20"/>
      <c r="E195" s="20"/>
      <c r="F195" s="20"/>
      <c r="G195" s="20"/>
      <c r="H195" s="20"/>
      <c r="I195" s="20"/>
      <c r="J195" s="20"/>
      <c r="K195" s="20"/>
      <c r="L195" s="23"/>
      <c r="M195" s="23"/>
      <c r="N195" s="23"/>
      <c r="O195" s="23"/>
      <c r="P195" s="22" t="str">
        <f aca="false">IFERROR(N195/O195,"")</f>
        <v/>
      </c>
      <c r="Q195" s="20"/>
      <c r="R195" s="20"/>
      <c r="S195" s="20"/>
      <c r="T195" s="20"/>
      <c r="U195" s="20"/>
      <c r="V195" s="19"/>
      <c r="W195" s="19"/>
      <c r="X195" s="20"/>
      <c r="Y195" s="19"/>
      <c r="Z195" s="20"/>
      <c r="AA195" s="20"/>
      <c r="AB195" s="20"/>
      <c r="AC195" s="20"/>
      <c r="AD195" s="20"/>
      <c r="AE195" s="20"/>
      <c r="AF195" s="20"/>
      <c r="AG195" s="19"/>
    </row>
    <row r="196" customFormat="false" ht="15" hidden="false" customHeight="false" outlineLevel="0" collapsed="false">
      <c r="A196" s="20"/>
      <c r="B196" s="19"/>
      <c r="C196" s="20"/>
      <c r="D196" s="20"/>
      <c r="E196" s="20"/>
      <c r="F196" s="20"/>
      <c r="G196" s="20"/>
      <c r="H196" s="20"/>
      <c r="I196" s="20"/>
      <c r="J196" s="20"/>
      <c r="K196" s="20"/>
      <c r="L196" s="23"/>
      <c r="M196" s="23"/>
      <c r="N196" s="23"/>
      <c r="O196" s="23"/>
      <c r="P196" s="22" t="str">
        <f aca="false">IFERROR(N196/O196,"")</f>
        <v/>
      </c>
      <c r="Q196" s="20"/>
      <c r="R196" s="20"/>
      <c r="S196" s="20"/>
      <c r="T196" s="20"/>
      <c r="U196" s="20"/>
      <c r="V196" s="19"/>
      <c r="W196" s="19"/>
      <c r="X196" s="20"/>
      <c r="Y196" s="19"/>
      <c r="Z196" s="20"/>
      <c r="AA196" s="20"/>
      <c r="AB196" s="20"/>
      <c r="AC196" s="20"/>
      <c r="AD196" s="20"/>
      <c r="AE196" s="20"/>
      <c r="AF196" s="20"/>
      <c r="AG196" s="19"/>
    </row>
    <row r="197" customFormat="false" ht="15" hidden="false" customHeight="false" outlineLevel="0" collapsed="false">
      <c r="A197" s="20"/>
      <c r="B197" s="19"/>
      <c r="C197" s="20"/>
      <c r="D197" s="20"/>
      <c r="E197" s="20"/>
      <c r="F197" s="20"/>
      <c r="G197" s="20"/>
      <c r="H197" s="20"/>
      <c r="I197" s="20"/>
      <c r="J197" s="20"/>
      <c r="K197" s="20"/>
      <c r="L197" s="23"/>
      <c r="M197" s="23"/>
      <c r="N197" s="23"/>
      <c r="O197" s="23"/>
      <c r="P197" s="22" t="str">
        <f aca="false">IFERROR(N197/O197,"")</f>
        <v/>
      </c>
      <c r="Q197" s="20"/>
      <c r="R197" s="20"/>
      <c r="S197" s="20"/>
      <c r="T197" s="20"/>
      <c r="U197" s="20"/>
      <c r="V197" s="19"/>
      <c r="W197" s="19"/>
      <c r="X197" s="20"/>
      <c r="Y197" s="19"/>
      <c r="Z197" s="20"/>
      <c r="AA197" s="20"/>
      <c r="AB197" s="20"/>
      <c r="AC197" s="20"/>
      <c r="AD197" s="20"/>
      <c r="AE197" s="20"/>
      <c r="AF197" s="20"/>
      <c r="AG197" s="19"/>
    </row>
    <row r="198" customFormat="false" ht="15" hidden="false" customHeight="false" outlineLevel="0" collapsed="false">
      <c r="A198" s="20"/>
      <c r="B198" s="19"/>
      <c r="C198" s="20"/>
      <c r="D198" s="20"/>
      <c r="E198" s="20"/>
      <c r="F198" s="20"/>
      <c r="G198" s="20"/>
      <c r="H198" s="20"/>
      <c r="I198" s="20"/>
      <c r="J198" s="20"/>
      <c r="K198" s="20"/>
      <c r="L198" s="23"/>
      <c r="M198" s="23"/>
      <c r="N198" s="23"/>
      <c r="O198" s="23"/>
      <c r="P198" s="22" t="str">
        <f aca="false">IFERROR(N198/O198,"")</f>
        <v/>
      </c>
      <c r="Q198" s="20"/>
      <c r="R198" s="20"/>
      <c r="S198" s="20"/>
      <c r="T198" s="20"/>
      <c r="U198" s="20"/>
      <c r="V198" s="19"/>
      <c r="W198" s="19"/>
      <c r="X198" s="20"/>
      <c r="Y198" s="19"/>
      <c r="Z198" s="20"/>
      <c r="AA198" s="20"/>
      <c r="AB198" s="20"/>
      <c r="AC198" s="20"/>
      <c r="AD198" s="20"/>
      <c r="AE198" s="20"/>
      <c r="AF198" s="20"/>
      <c r="AG198" s="19"/>
    </row>
    <row r="199" customFormat="false" ht="15" hidden="false" customHeight="false" outlineLevel="0" collapsed="false">
      <c r="A199" s="20"/>
      <c r="B199" s="19"/>
      <c r="C199" s="20"/>
      <c r="D199" s="20"/>
      <c r="E199" s="20"/>
      <c r="F199" s="20"/>
      <c r="G199" s="20"/>
      <c r="H199" s="20"/>
      <c r="I199" s="20"/>
      <c r="J199" s="20"/>
      <c r="K199" s="20"/>
      <c r="L199" s="23"/>
      <c r="M199" s="23"/>
      <c r="N199" s="23"/>
      <c r="O199" s="23"/>
      <c r="P199" s="22" t="str">
        <f aca="false">IFERROR(N199/O199,"")</f>
        <v/>
      </c>
      <c r="Q199" s="20"/>
      <c r="R199" s="20"/>
      <c r="S199" s="20"/>
      <c r="T199" s="20"/>
      <c r="U199" s="20"/>
      <c r="V199" s="19"/>
      <c r="W199" s="19"/>
      <c r="X199" s="20"/>
      <c r="Y199" s="19"/>
      <c r="Z199" s="20"/>
      <c r="AA199" s="20"/>
      <c r="AB199" s="20"/>
      <c r="AC199" s="20"/>
      <c r="AD199" s="20"/>
      <c r="AE199" s="20"/>
      <c r="AF199" s="20"/>
      <c r="AG199" s="19"/>
    </row>
    <row r="200" customFormat="false" ht="15" hidden="false" customHeight="false" outlineLevel="0" collapsed="false">
      <c r="A200" s="20"/>
      <c r="B200" s="19"/>
      <c r="C200" s="20"/>
      <c r="D200" s="20"/>
      <c r="E200" s="20"/>
      <c r="F200" s="20"/>
      <c r="G200" s="20"/>
      <c r="H200" s="20"/>
      <c r="I200" s="20"/>
      <c r="J200" s="20"/>
      <c r="K200" s="20"/>
      <c r="L200" s="23"/>
      <c r="M200" s="23"/>
      <c r="N200" s="23"/>
      <c r="O200" s="23"/>
      <c r="P200" s="22" t="str">
        <f aca="false">IFERROR(N200/O200,"")</f>
        <v/>
      </c>
      <c r="Q200" s="20"/>
      <c r="R200" s="20"/>
      <c r="S200" s="20"/>
      <c r="T200" s="20"/>
      <c r="U200" s="20"/>
      <c r="V200" s="19"/>
      <c r="W200" s="19"/>
      <c r="X200" s="20"/>
      <c r="Y200" s="19"/>
      <c r="Z200" s="20"/>
      <c r="AA200" s="20"/>
      <c r="AB200" s="20"/>
      <c r="AC200" s="20"/>
      <c r="AD200" s="20"/>
      <c r="AE200" s="20"/>
      <c r="AF200" s="20"/>
      <c r="AG200" s="19"/>
    </row>
    <row r="201" customFormat="false" ht="15" hidden="false" customHeight="false" outlineLevel="0" collapsed="false">
      <c r="A201" s="20"/>
      <c r="B201" s="19"/>
      <c r="C201" s="20"/>
      <c r="D201" s="20"/>
      <c r="E201" s="20"/>
      <c r="F201" s="20"/>
      <c r="G201" s="20"/>
      <c r="H201" s="20"/>
      <c r="I201" s="20"/>
      <c r="J201" s="20"/>
      <c r="K201" s="20"/>
      <c r="L201" s="23"/>
      <c r="M201" s="23"/>
      <c r="N201" s="23"/>
      <c r="O201" s="23"/>
      <c r="P201" s="22" t="str">
        <f aca="false">IFERROR(N201/O201,"")</f>
        <v/>
      </c>
      <c r="Q201" s="20"/>
      <c r="R201" s="20"/>
      <c r="S201" s="20"/>
      <c r="T201" s="20"/>
      <c r="U201" s="20"/>
      <c r="V201" s="19"/>
      <c r="W201" s="19"/>
      <c r="X201" s="20"/>
      <c r="Y201" s="19"/>
      <c r="Z201" s="20"/>
      <c r="AA201" s="20"/>
      <c r="AB201" s="20"/>
      <c r="AC201" s="20"/>
      <c r="AD201" s="20"/>
      <c r="AE201" s="20"/>
      <c r="AF201" s="20"/>
      <c r="AG201" s="19"/>
    </row>
    <row r="202" customFormat="false" ht="15" hidden="false" customHeight="false" outlineLevel="0" collapsed="false">
      <c r="A202" s="20"/>
      <c r="B202" s="19"/>
      <c r="C202" s="20"/>
      <c r="D202" s="20"/>
      <c r="E202" s="20"/>
      <c r="F202" s="20"/>
      <c r="G202" s="20"/>
      <c r="H202" s="20"/>
      <c r="I202" s="20"/>
      <c r="J202" s="20"/>
      <c r="K202" s="20"/>
      <c r="L202" s="23"/>
      <c r="M202" s="23"/>
      <c r="N202" s="23"/>
      <c r="O202" s="23"/>
      <c r="P202" s="22" t="str">
        <f aca="false">IFERROR(N202/O202,"")</f>
        <v/>
      </c>
      <c r="Q202" s="20"/>
      <c r="R202" s="20"/>
      <c r="S202" s="20"/>
      <c r="T202" s="20"/>
      <c r="U202" s="20"/>
      <c r="V202" s="19"/>
      <c r="W202" s="19"/>
      <c r="X202" s="20"/>
      <c r="Y202" s="19"/>
      <c r="Z202" s="20"/>
      <c r="AA202" s="20"/>
      <c r="AB202" s="20"/>
      <c r="AC202" s="20"/>
      <c r="AD202" s="20"/>
      <c r="AE202" s="20"/>
      <c r="AF202" s="20"/>
      <c r="AG202" s="19"/>
    </row>
    <row r="203" customFormat="false" ht="15" hidden="false" customHeight="false" outlineLevel="0" collapsed="false">
      <c r="A203" s="20"/>
      <c r="B203" s="19"/>
      <c r="C203" s="20"/>
      <c r="D203" s="20"/>
      <c r="E203" s="20"/>
      <c r="F203" s="20"/>
      <c r="G203" s="20"/>
      <c r="H203" s="20"/>
      <c r="I203" s="20"/>
      <c r="J203" s="20"/>
      <c r="K203" s="20"/>
      <c r="L203" s="23"/>
      <c r="M203" s="23"/>
      <c r="N203" s="23"/>
      <c r="O203" s="23"/>
      <c r="P203" s="22" t="str">
        <f aca="false">IFERROR(N203/O203,"")</f>
        <v/>
      </c>
      <c r="Q203" s="20"/>
      <c r="R203" s="20"/>
      <c r="S203" s="20"/>
      <c r="T203" s="20"/>
      <c r="U203" s="20"/>
      <c r="V203" s="19"/>
      <c r="W203" s="19"/>
      <c r="X203" s="20"/>
      <c r="Y203" s="19"/>
      <c r="Z203" s="20"/>
      <c r="AA203" s="20"/>
      <c r="AB203" s="20"/>
      <c r="AC203" s="20"/>
      <c r="AD203" s="20"/>
      <c r="AE203" s="20"/>
      <c r="AF203" s="20"/>
      <c r="AG203" s="19"/>
    </row>
    <row r="204" customFormat="false" ht="15" hidden="false" customHeight="false" outlineLevel="0" collapsed="false">
      <c r="A204" s="20"/>
      <c r="B204" s="19"/>
      <c r="C204" s="20"/>
      <c r="D204" s="20"/>
      <c r="E204" s="20"/>
      <c r="F204" s="20"/>
      <c r="G204" s="20"/>
      <c r="H204" s="20"/>
      <c r="I204" s="20"/>
      <c r="J204" s="20"/>
      <c r="K204" s="20"/>
      <c r="L204" s="23"/>
      <c r="M204" s="23"/>
      <c r="N204" s="23"/>
      <c r="O204" s="23"/>
      <c r="P204" s="22" t="str">
        <f aca="false">IFERROR(N204/O204,"")</f>
        <v/>
      </c>
      <c r="Q204" s="20"/>
      <c r="R204" s="20"/>
      <c r="S204" s="20"/>
      <c r="T204" s="20"/>
      <c r="U204" s="20"/>
      <c r="V204" s="19"/>
      <c r="W204" s="19"/>
      <c r="X204" s="20"/>
      <c r="Y204" s="19"/>
      <c r="Z204" s="20"/>
      <c r="AA204" s="20"/>
      <c r="AB204" s="20"/>
      <c r="AC204" s="20"/>
      <c r="AD204" s="20"/>
      <c r="AE204" s="20"/>
      <c r="AF204" s="20"/>
      <c r="AG204" s="19"/>
    </row>
    <row r="205" customFormat="false" ht="15" hidden="false" customHeight="false" outlineLevel="0" collapsed="false">
      <c r="A205" s="20"/>
      <c r="B205" s="19"/>
      <c r="C205" s="20"/>
      <c r="D205" s="20"/>
      <c r="E205" s="20"/>
      <c r="F205" s="20"/>
      <c r="G205" s="20"/>
      <c r="H205" s="20"/>
      <c r="I205" s="20"/>
      <c r="J205" s="20"/>
      <c r="K205" s="20"/>
      <c r="L205" s="23"/>
      <c r="M205" s="23"/>
      <c r="N205" s="23"/>
      <c r="O205" s="23"/>
      <c r="P205" s="22" t="str">
        <f aca="false">IFERROR(N205/O205,"")</f>
        <v/>
      </c>
      <c r="Q205" s="20"/>
      <c r="R205" s="20"/>
      <c r="S205" s="20"/>
      <c r="T205" s="20"/>
      <c r="U205" s="20"/>
      <c r="V205" s="19"/>
      <c r="W205" s="19"/>
      <c r="X205" s="20"/>
      <c r="Y205" s="19"/>
      <c r="Z205" s="20"/>
      <c r="AA205" s="20"/>
      <c r="AB205" s="20"/>
      <c r="AC205" s="20"/>
      <c r="AD205" s="20"/>
      <c r="AE205" s="20"/>
      <c r="AF205" s="20"/>
      <c r="AG205" s="19"/>
    </row>
    <row r="206" customFormat="false" ht="15" hidden="false" customHeight="false" outlineLevel="0" collapsed="false">
      <c r="A206" s="20"/>
      <c r="B206" s="19"/>
      <c r="C206" s="20"/>
      <c r="D206" s="20"/>
      <c r="E206" s="20"/>
      <c r="F206" s="20"/>
      <c r="G206" s="20"/>
      <c r="H206" s="20"/>
      <c r="I206" s="20"/>
      <c r="J206" s="20"/>
      <c r="K206" s="20"/>
      <c r="L206" s="23"/>
      <c r="M206" s="23"/>
      <c r="N206" s="23"/>
      <c r="O206" s="23"/>
      <c r="P206" s="22" t="str">
        <f aca="false">IFERROR(N206/O206,"")</f>
        <v/>
      </c>
      <c r="Q206" s="20"/>
      <c r="R206" s="20"/>
      <c r="S206" s="20"/>
      <c r="T206" s="20"/>
      <c r="U206" s="20"/>
      <c r="V206" s="19"/>
      <c r="W206" s="19"/>
      <c r="X206" s="20"/>
      <c r="Y206" s="19"/>
      <c r="Z206" s="20"/>
      <c r="AA206" s="20"/>
      <c r="AB206" s="20"/>
      <c r="AC206" s="20"/>
      <c r="AD206" s="20"/>
      <c r="AE206" s="20"/>
      <c r="AF206" s="20"/>
      <c r="AG206" s="19"/>
    </row>
    <row r="207" customFormat="false" ht="15" hidden="false" customHeight="false" outlineLevel="0" collapsed="false">
      <c r="A207" s="20"/>
      <c r="B207" s="19"/>
      <c r="C207" s="20"/>
      <c r="D207" s="20"/>
      <c r="E207" s="20"/>
      <c r="F207" s="20"/>
      <c r="G207" s="20"/>
      <c r="H207" s="20"/>
      <c r="I207" s="20"/>
      <c r="J207" s="20"/>
      <c r="K207" s="20"/>
      <c r="L207" s="23"/>
      <c r="M207" s="23"/>
      <c r="N207" s="23"/>
      <c r="O207" s="23"/>
      <c r="P207" s="22" t="str">
        <f aca="false">IFERROR(N207/O207,"")</f>
        <v/>
      </c>
      <c r="Q207" s="20"/>
      <c r="R207" s="20"/>
      <c r="S207" s="20"/>
      <c r="T207" s="20"/>
      <c r="U207" s="20"/>
      <c r="V207" s="19"/>
      <c r="W207" s="19"/>
      <c r="X207" s="20"/>
      <c r="Y207" s="19"/>
      <c r="Z207" s="20"/>
      <c r="AA207" s="20"/>
      <c r="AB207" s="20"/>
      <c r="AC207" s="20"/>
      <c r="AD207" s="20"/>
      <c r="AE207" s="20"/>
      <c r="AF207" s="20"/>
      <c r="AG207" s="19"/>
    </row>
    <row r="208" customFormat="false" ht="15" hidden="false" customHeight="false" outlineLevel="0" collapsed="false">
      <c r="A208" s="20"/>
      <c r="B208" s="19"/>
      <c r="C208" s="20"/>
      <c r="D208" s="20"/>
      <c r="E208" s="20"/>
      <c r="F208" s="20"/>
      <c r="G208" s="20"/>
      <c r="H208" s="20"/>
      <c r="I208" s="20"/>
      <c r="J208" s="20"/>
      <c r="K208" s="20"/>
      <c r="L208" s="23"/>
      <c r="M208" s="23"/>
      <c r="N208" s="23"/>
      <c r="O208" s="23"/>
      <c r="P208" s="22" t="str">
        <f aca="false">IFERROR(N208/O208,"")</f>
        <v/>
      </c>
      <c r="Q208" s="20"/>
      <c r="R208" s="20"/>
      <c r="S208" s="20"/>
      <c r="T208" s="20"/>
      <c r="U208" s="20"/>
      <c r="V208" s="19"/>
      <c r="W208" s="19"/>
      <c r="X208" s="20"/>
      <c r="Y208" s="19"/>
      <c r="Z208" s="20"/>
      <c r="AA208" s="20"/>
      <c r="AB208" s="20"/>
      <c r="AC208" s="20"/>
      <c r="AD208" s="20"/>
      <c r="AE208" s="20"/>
      <c r="AF208" s="20"/>
      <c r="AG208" s="19"/>
    </row>
    <row r="209" customFormat="false" ht="15" hidden="false" customHeight="false" outlineLevel="0" collapsed="false">
      <c r="A209" s="20"/>
      <c r="B209" s="19"/>
      <c r="C209" s="20"/>
      <c r="D209" s="20"/>
      <c r="E209" s="20"/>
      <c r="F209" s="20"/>
      <c r="G209" s="20"/>
      <c r="H209" s="20"/>
      <c r="I209" s="20"/>
      <c r="J209" s="20"/>
      <c r="K209" s="20"/>
      <c r="L209" s="23"/>
      <c r="M209" s="23"/>
      <c r="N209" s="23"/>
      <c r="O209" s="23"/>
      <c r="P209" s="22" t="str">
        <f aca="false">IFERROR(N209/O209,"")</f>
        <v/>
      </c>
      <c r="Q209" s="20"/>
      <c r="R209" s="20"/>
      <c r="S209" s="20"/>
      <c r="T209" s="20"/>
      <c r="U209" s="20"/>
      <c r="V209" s="19"/>
      <c r="W209" s="19"/>
      <c r="X209" s="20"/>
      <c r="Y209" s="19"/>
      <c r="Z209" s="20"/>
      <c r="AA209" s="20"/>
      <c r="AB209" s="20"/>
      <c r="AC209" s="20"/>
      <c r="AD209" s="20"/>
      <c r="AE209" s="20"/>
      <c r="AF209" s="20"/>
      <c r="AG209" s="19"/>
    </row>
    <row r="210" customFormat="false" ht="15" hidden="false" customHeight="false" outlineLevel="0" collapsed="false">
      <c r="A210" s="20"/>
      <c r="B210" s="19"/>
      <c r="C210" s="20"/>
      <c r="D210" s="20"/>
      <c r="E210" s="20"/>
      <c r="F210" s="20"/>
      <c r="G210" s="20"/>
      <c r="H210" s="20"/>
      <c r="I210" s="20"/>
      <c r="J210" s="20"/>
      <c r="K210" s="20"/>
      <c r="L210" s="23"/>
      <c r="M210" s="23"/>
      <c r="N210" s="23"/>
      <c r="O210" s="23"/>
      <c r="P210" s="22" t="str">
        <f aca="false">IFERROR(N210/O210,"")</f>
        <v/>
      </c>
      <c r="Q210" s="20"/>
      <c r="R210" s="20"/>
      <c r="S210" s="20"/>
      <c r="T210" s="20"/>
      <c r="U210" s="20"/>
      <c r="V210" s="19"/>
      <c r="W210" s="19"/>
      <c r="X210" s="20"/>
      <c r="Y210" s="19"/>
      <c r="Z210" s="20"/>
      <c r="AA210" s="20"/>
      <c r="AB210" s="20"/>
      <c r="AC210" s="20"/>
      <c r="AD210" s="20"/>
      <c r="AE210" s="20"/>
      <c r="AF210" s="20"/>
      <c r="AG210" s="19"/>
    </row>
    <row r="211" customFormat="false" ht="15" hidden="false" customHeight="false" outlineLevel="0" collapsed="false">
      <c r="A211" s="20"/>
      <c r="B211" s="19"/>
      <c r="C211" s="20"/>
      <c r="D211" s="20"/>
      <c r="E211" s="20"/>
      <c r="F211" s="20"/>
      <c r="G211" s="20"/>
      <c r="H211" s="20"/>
      <c r="I211" s="20"/>
      <c r="J211" s="20"/>
      <c r="K211" s="20"/>
      <c r="L211" s="23"/>
      <c r="M211" s="23"/>
      <c r="N211" s="23"/>
      <c r="O211" s="23"/>
      <c r="P211" s="22" t="str">
        <f aca="false">IFERROR(N211/O211,"")</f>
        <v/>
      </c>
      <c r="Q211" s="20"/>
      <c r="R211" s="20"/>
      <c r="S211" s="20"/>
      <c r="T211" s="20"/>
      <c r="U211" s="20"/>
      <c r="V211" s="19"/>
      <c r="W211" s="19"/>
      <c r="X211" s="20"/>
      <c r="Y211" s="19"/>
      <c r="Z211" s="20"/>
      <c r="AA211" s="20"/>
      <c r="AB211" s="20"/>
      <c r="AC211" s="20"/>
      <c r="AD211" s="20"/>
      <c r="AE211" s="20"/>
      <c r="AF211" s="20"/>
      <c r="AG211" s="19"/>
    </row>
    <row r="212" customFormat="false" ht="15" hidden="false" customHeight="false" outlineLevel="0" collapsed="false">
      <c r="A212" s="20"/>
      <c r="B212" s="19"/>
      <c r="C212" s="20"/>
      <c r="D212" s="20"/>
      <c r="E212" s="20"/>
      <c r="F212" s="20"/>
      <c r="G212" s="20"/>
      <c r="H212" s="20"/>
      <c r="I212" s="20"/>
      <c r="J212" s="20"/>
      <c r="K212" s="20"/>
      <c r="L212" s="23"/>
      <c r="M212" s="23"/>
      <c r="N212" s="23"/>
      <c r="O212" s="23"/>
      <c r="P212" s="22" t="str">
        <f aca="false">IFERROR(N212/O212,"")</f>
        <v/>
      </c>
      <c r="Q212" s="20"/>
      <c r="R212" s="20"/>
      <c r="S212" s="20"/>
      <c r="T212" s="20"/>
      <c r="U212" s="20"/>
      <c r="V212" s="19"/>
      <c r="W212" s="19"/>
      <c r="X212" s="20"/>
      <c r="Y212" s="19"/>
      <c r="Z212" s="20"/>
      <c r="AA212" s="20"/>
      <c r="AB212" s="20"/>
      <c r="AC212" s="20"/>
      <c r="AD212" s="20"/>
      <c r="AE212" s="20"/>
      <c r="AF212" s="20"/>
      <c r="AG212" s="19"/>
    </row>
    <row r="213" customFormat="false" ht="15" hidden="false" customHeight="false" outlineLevel="0" collapsed="false">
      <c r="A213" s="20"/>
      <c r="B213" s="19"/>
      <c r="C213" s="20"/>
      <c r="D213" s="20"/>
      <c r="E213" s="20"/>
      <c r="F213" s="20"/>
      <c r="G213" s="20"/>
      <c r="H213" s="20"/>
      <c r="I213" s="20"/>
      <c r="J213" s="20"/>
      <c r="K213" s="20"/>
      <c r="L213" s="23"/>
      <c r="M213" s="23"/>
      <c r="N213" s="23"/>
      <c r="O213" s="23"/>
      <c r="P213" s="22" t="str">
        <f aca="false">IFERROR(N213/O213,"")</f>
        <v/>
      </c>
      <c r="Q213" s="20"/>
      <c r="R213" s="20"/>
      <c r="S213" s="20"/>
      <c r="T213" s="20"/>
      <c r="U213" s="20"/>
      <c r="V213" s="19"/>
      <c r="W213" s="19"/>
      <c r="X213" s="20"/>
      <c r="Y213" s="19"/>
      <c r="Z213" s="20"/>
      <c r="AA213" s="20"/>
      <c r="AB213" s="20"/>
      <c r="AC213" s="20"/>
      <c r="AD213" s="20"/>
      <c r="AE213" s="20"/>
      <c r="AF213" s="20"/>
      <c r="AG213" s="19"/>
    </row>
    <row r="214" customFormat="false" ht="15" hidden="false" customHeight="false" outlineLevel="0" collapsed="false">
      <c r="A214" s="20"/>
      <c r="B214" s="19"/>
      <c r="C214" s="20"/>
      <c r="D214" s="20"/>
      <c r="E214" s="20"/>
      <c r="F214" s="20"/>
      <c r="G214" s="20"/>
      <c r="H214" s="20"/>
      <c r="I214" s="20"/>
      <c r="J214" s="20"/>
      <c r="K214" s="20"/>
      <c r="L214" s="23"/>
      <c r="M214" s="23"/>
      <c r="N214" s="23"/>
      <c r="O214" s="23"/>
      <c r="P214" s="22" t="str">
        <f aca="false">IFERROR(N214/O214,"")</f>
        <v/>
      </c>
      <c r="Q214" s="20"/>
      <c r="R214" s="20"/>
      <c r="S214" s="20"/>
      <c r="T214" s="20"/>
      <c r="U214" s="20"/>
      <c r="V214" s="19"/>
      <c r="W214" s="19"/>
      <c r="X214" s="20"/>
      <c r="Y214" s="19"/>
      <c r="Z214" s="20"/>
      <c r="AA214" s="20"/>
      <c r="AB214" s="20"/>
      <c r="AC214" s="20"/>
      <c r="AD214" s="20"/>
      <c r="AE214" s="20"/>
      <c r="AF214" s="20"/>
      <c r="AG214" s="19"/>
    </row>
    <row r="215" customFormat="false" ht="15" hidden="false" customHeight="false" outlineLevel="0" collapsed="false">
      <c r="A215" s="20"/>
      <c r="B215" s="19"/>
      <c r="C215" s="20"/>
      <c r="D215" s="20"/>
      <c r="E215" s="20"/>
      <c r="F215" s="20"/>
      <c r="G215" s="20"/>
      <c r="H215" s="20"/>
      <c r="I215" s="20"/>
      <c r="J215" s="20"/>
      <c r="K215" s="20"/>
      <c r="L215" s="23"/>
      <c r="M215" s="23"/>
      <c r="N215" s="23"/>
      <c r="O215" s="23"/>
      <c r="P215" s="22" t="str">
        <f aca="false">IFERROR(N215/O215,"")</f>
        <v/>
      </c>
      <c r="Q215" s="20"/>
      <c r="R215" s="20"/>
      <c r="S215" s="20"/>
      <c r="T215" s="20"/>
      <c r="U215" s="20"/>
      <c r="V215" s="19"/>
      <c r="W215" s="19"/>
      <c r="X215" s="20"/>
      <c r="Y215" s="19"/>
      <c r="Z215" s="20"/>
      <c r="AA215" s="20"/>
      <c r="AB215" s="20"/>
      <c r="AC215" s="20"/>
      <c r="AD215" s="20"/>
      <c r="AE215" s="20"/>
      <c r="AF215" s="20"/>
      <c r="AG215" s="19"/>
    </row>
    <row r="216" customFormat="false" ht="15" hidden="false" customHeight="false" outlineLevel="0" collapsed="false">
      <c r="A216" s="20"/>
      <c r="B216" s="19"/>
      <c r="C216" s="20"/>
      <c r="D216" s="20"/>
      <c r="E216" s="20"/>
      <c r="F216" s="20"/>
      <c r="G216" s="20"/>
      <c r="H216" s="20"/>
      <c r="I216" s="20"/>
      <c r="J216" s="20"/>
      <c r="K216" s="20"/>
      <c r="L216" s="23"/>
      <c r="M216" s="23"/>
      <c r="N216" s="23"/>
      <c r="O216" s="23"/>
      <c r="P216" s="22" t="str">
        <f aca="false">IFERROR(N216/O216,"")</f>
        <v/>
      </c>
      <c r="Q216" s="20"/>
      <c r="R216" s="20"/>
      <c r="S216" s="20"/>
      <c r="T216" s="20"/>
      <c r="U216" s="20"/>
      <c r="V216" s="19"/>
      <c r="W216" s="19"/>
      <c r="X216" s="20"/>
      <c r="Y216" s="19"/>
      <c r="Z216" s="20"/>
      <c r="AA216" s="20"/>
      <c r="AB216" s="20"/>
      <c r="AC216" s="20"/>
      <c r="AD216" s="20"/>
      <c r="AE216" s="20"/>
      <c r="AF216" s="20"/>
      <c r="AG216" s="19"/>
    </row>
    <row r="217" customFormat="false" ht="15" hidden="false" customHeight="false" outlineLevel="0" collapsed="false">
      <c r="A217" s="20"/>
      <c r="B217" s="19"/>
      <c r="C217" s="20"/>
      <c r="D217" s="20"/>
      <c r="E217" s="20"/>
      <c r="F217" s="20"/>
      <c r="G217" s="20"/>
      <c r="H217" s="20"/>
      <c r="I217" s="20"/>
      <c r="J217" s="20"/>
      <c r="K217" s="20"/>
      <c r="L217" s="23"/>
      <c r="M217" s="23"/>
      <c r="N217" s="23"/>
      <c r="O217" s="23"/>
      <c r="P217" s="22" t="str">
        <f aca="false">IFERROR(N217/O217,"")</f>
        <v/>
      </c>
      <c r="Q217" s="20"/>
      <c r="R217" s="20"/>
      <c r="S217" s="20"/>
      <c r="T217" s="20"/>
      <c r="U217" s="20"/>
      <c r="V217" s="19"/>
      <c r="W217" s="19"/>
      <c r="X217" s="20"/>
      <c r="Y217" s="19"/>
      <c r="Z217" s="20"/>
      <c r="AA217" s="20"/>
      <c r="AB217" s="20"/>
      <c r="AC217" s="20"/>
      <c r="AD217" s="20"/>
      <c r="AE217" s="20"/>
      <c r="AF217" s="20"/>
      <c r="AG217" s="19"/>
    </row>
    <row r="218" customFormat="false" ht="15" hidden="false" customHeight="false" outlineLevel="0" collapsed="false">
      <c r="A218" s="20"/>
      <c r="B218" s="19"/>
      <c r="C218" s="20"/>
      <c r="D218" s="20"/>
      <c r="E218" s="20"/>
      <c r="F218" s="20"/>
      <c r="G218" s="20"/>
      <c r="H218" s="20"/>
      <c r="I218" s="20"/>
      <c r="J218" s="20"/>
      <c r="K218" s="20"/>
      <c r="L218" s="23"/>
      <c r="M218" s="23"/>
      <c r="N218" s="23"/>
      <c r="O218" s="23"/>
      <c r="P218" s="22" t="str">
        <f aca="false">IFERROR(N218/O218,"")</f>
        <v/>
      </c>
      <c r="Q218" s="20"/>
      <c r="R218" s="20"/>
      <c r="S218" s="20"/>
      <c r="T218" s="20"/>
      <c r="U218" s="20"/>
      <c r="V218" s="19"/>
      <c r="W218" s="19"/>
      <c r="X218" s="20"/>
      <c r="Y218" s="19"/>
      <c r="Z218" s="20"/>
      <c r="AA218" s="20"/>
      <c r="AB218" s="20"/>
      <c r="AC218" s="20"/>
      <c r="AD218" s="20"/>
      <c r="AE218" s="20"/>
      <c r="AF218" s="20"/>
      <c r="AG218" s="19"/>
    </row>
    <row r="219" customFormat="false" ht="15" hidden="false" customHeight="false" outlineLevel="0" collapsed="false">
      <c r="A219" s="20"/>
      <c r="B219" s="19"/>
      <c r="C219" s="20"/>
      <c r="D219" s="20"/>
      <c r="E219" s="20"/>
      <c r="F219" s="20"/>
      <c r="G219" s="20"/>
      <c r="H219" s="20"/>
      <c r="I219" s="20"/>
      <c r="J219" s="20"/>
      <c r="K219" s="20"/>
      <c r="L219" s="23"/>
      <c r="M219" s="23"/>
      <c r="N219" s="23"/>
      <c r="O219" s="23"/>
      <c r="P219" s="22" t="str">
        <f aca="false">IFERROR(N219/O219,"")</f>
        <v/>
      </c>
      <c r="Q219" s="20"/>
      <c r="R219" s="20"/>
      <c r="S219" s="20"/>
      <c r="T219" s="20"/>
      <c r="U219" s="20"/>
      <c r="V219" s="19"/>
      <c r="W219" s="19"/>
      <c r="X219" s="20"/>
      <c r="Y219" s="19"/>
      <c r="Z219" s="20"/>
      <c r="AA219" s="20"/>
      <c r="AB219" s="20"/>
      <c r="AC219" s="20"/>
      <c r="AD219" s="20"/>
      <c r="AE219" s="20"/>
      <c r="AF219" s="20"/>
      <c r="AG219" s="19"/>
    </row>
    <row r="220" customFormat="false" ht="15" hidden="false" customHeight="false" outlineLevel="0" collapsed="false">
      <c r="A220" s="20"/>
      <c r="B220" s="19"/>
      <c r="C220" s="20"/>
      <c r="D220" s="20"/>
      <c r="E220" s="20"/>
      <c r="F220" s="20"/>
      <c r="G220" s="20"/>
      <c r="H220" s="20"/>
      <c r="I220" s="20"/>
      <c r="J220" s="20"/>
      <c r="K220" s="20"/>
      <c r="L220" s="23"/>
      <c r="M220" s="23"/>
      <c r="N220" s="23"/>
      <c r="O220" s="23"/>
      <c r="P220" s="22" t="str">
        <f aca="false">IFERROR(N220/O220,"")</f>
        <v/>
      </c>
      <c r="Q220" s="20"/>
      <c r="R220" s="20"/>
      <c r="S220" s="20"/>
      <c r="T220" s="20"/>
      <c r="U220" s="20"/>
      <c r="V220" s="19"/>
      <c r="W220" s="19"/>
      <c r="X220" s="20"/>
      <c r="Y220" s="19"/>
      <c r="Z220" s="20"/>
      <c r="AA220" s="20"/>
      <c r="AB220" s="20"/>
      <c r="AC220" s="20"/>
      <c r="AD220" s="20"/>
      <c r="AE220" s="20"/>
      <c r="AF220" s="20"/>
      <c r="AG220" s="19"/>
    </row>
    <row r="221" customFormat="false" ht="15" hidden="false" customHeight="false" outlineLevel="0" collapsed="false">
      <c r="A221" s="20"/>
      <c r="B221" s="19"/>
      <c r="C221" s="20"/>
      <c r="D221" s="20"/>
      <c r="E221" s="20"/>
      <c r="F221" s="20"/>
      <c r="G221" s="20"/>
      <c r="H221" s="20"/>
      <c r="I221" s="20"/>
      <c r="J221" s="20"/>
      <c r="K221" s="20"/>
      <c r="L221" s="23"/>
      <c r="M221" s="23"/>
      <c r="N221" s="23"/>
      <c r="O221" s="23"/>
      <c r="P221" s="22" t="str">
        <f aca="false">IFERROR(N221/O221,"")</f>
        <v/>
      </c>
      <c r="Q221" s="20"/>
      <c r="R221" s="20"/>
      <c r="S221" s="20"/>
      <c r="T221" s="20"/>
      <c r="U221" s="20"/>
      <c r="V221" s="19"/>
      <c r="W221" s="19"/>
      <c r="X221" s="20"/>
      <c r="Y221" s="19"/>
      <c r="Z221" s="20"/>
      <c r="AA221" s="20"/>
      <c r="AB221" s="20"/>
      <c r="AC221" s="20"/>
      <c r="AD221" s="20"/>
      <c r="AE221" s="20"/>
      <c r="AF221" s="20"/>
      <c r="AG221" s="19"/>
    </row>
    <row r="222" customFormat="false" ht="15" hidden="false" customHeight="false" outlineLevel="0" collapsed="false">
      <c r="A222" s="20"/>
      <c r="B222" s="19"/>
      <c r="C222" s="20"/>
      <c r="D222" s="20"/>
      <c r="E222" s="20"/>
      <c r="F222" s="20"/>
      <c r="G222" s="20"/>
      <c r="H222" s="20"/>
      <c r="I222" s="20"/>
      <c r="J222" s="20"/>
      <c r="K222" s="20"/>
      <c r="L222" s="23"/>
      <c r="M222" s="23"/>
      <c r="N222" s="23"/>
      <c r="O222" s="23"/>
      <c r="P222" s="22" t="str">
        <f aca="false">IFERROR(N222/O222,"")</f>
        <v/>
      </c>
      <c r="Q222" s="20"/>
      <c r="R222" s="20"/>
      <c r="S222" s="20"/>
      <c r="T222" s="20"/>
      <c r="U222" s="20"/>
      <c r="V222" s="19"/>
      <c r="W222" s="19"/>
      <c r="X222" s="20"/>
      <c r="Y222" s="19"/>
      <c r="Z222" s="20"/>
      <c r="AA222" s="20"/>
      <c r="AB222" s="20"/>
      <c r="AC222" s="20"/>
      <c r="AD222" s="20"/>
      <c r="AE222" s="20"/>
      <c r="AF222" s="20"/>
      <c r="AG222" s="19"/>
    </row>
    <row r="223" customFormat="false" ht="15" hidden="false" customHeight="false" outlineLevel="0" collapsed="false">
      <c r="A223" s="20"/>
      <c r="B223" s="19"/>
      <c r="C223" s="20"/>
      <c r="D223" s="20"/>
      <c r="E223" s="20"/>
      <c r="F223" s="20"/>
      <c r="G223" s="20"/>
      <c r="H223" s="20"/>
      <c r="I223" s="20"/>
      <c r="J223" s="20"/>
      <c r="K223" s="20"/>
      <c r="L223" s="23"/>
      <c r="M223" s="23"/>
      <c r="N223" s="23"/>
      <c r="O223" s="23"/>
      <c r="P223" s="22" t="str">
        <f aca="false">IFERROR(N223/O223,"")</f>
        <v/>
      </c>
      <c r="Q223" s="20"/>
      <c r="R223" s="20"/>
      <c r="S223" s="20"/>
      <c r="T223" s="20"/>
      <c r="U223" s="20"/>
      <c r="V223" s="19"/>
      <c r="W223" s="19"/>
      <c r="X223" s="20"/>
      <c r="Y223" s="19"/>
      <c r="Z223" s="20"/>
      <c r="AA223" s="20"/>
      <c r="AB223" s="20"/>
      <c r="AC223" s="20"/>
      <c r="AD223" s="20"/>
      <c r="AE223" s="20"/>
      <c r="AF223" s="20"/>
      <c r="AG223" s="19"/>
    </row>
    <row r="224" customFormat="false" ht="15" hidden="false" customHeight="false" outlineLevel="0" collapsed="false">
      <c r="A224" s="20"/>
      <c r="B224" s="19"/>
      <c r="C224" s="20"/>
      <c r="D224" s="20"/>
      <c r="E224" s="20"/>
      <c r="F224" s="20"/>
      <c r="G224" s="20"/>
      <c r="H224" s="20"/>
      <c r="I224" s="20"/>
      <c r="J224" s="20"/>
      <c r="K224" s="20"/>
      <c r="L224" s="23"/>
      <c r="M224" s="23"/>
      <c r="N224" s="23"/>
      <c r="O224" s="23"/>
      <c r="P224" s="22" t="str">
        <f aca="false">IFERROR(N224/O224,"")</f>
        <v/>
      </c>
      <c r="Q224" s="20"/>
      <c r="R224" s="20"/>
      <c r="S224" s="20"/>
      <c r="T224" s="20"/>
      <c r="U224" s="20"/>
      <c r="V224" s="19"/>
      <c r="W224" s="19"/>
      <c r="X224" s="20"/>
      <c r="Y224" s="19"/>
      <c r="Z224" s="20"/>
      <c r="AA224" s="20"/>
      <c r="AB224" s="20"/>
      <c r="AC224" s="20"/>
      <c r="AD224" s="20"/>
      <c r="AE224" s="20"/>
      <c r="AF224" s="20"/>
      <c r="AG224" s="19"/>
    </row>
    <row r="225" customFormat="false" ht="15" hidden="false" customHeight="false" outlineLevel="0" collapsed="false">
      <c r="A225" s="20"/>
      <c r="B225" s="19"/>
      <c r="C225" s="20"/>
      <c r="D225" s="20"/>
      <c r="E225" s="20"/>
      <c r="F225" s="20"/>
      <c r="G225" s="20"/>
      <c r="H225" s="20"/>
      <c r="I225" s="20"/>
      <c r="J225" s="20"/>
      <c r="K225" s="20"/>
      <c r="L225" s="23"/>
      <c r="M225" s="23"/>
      <c r="N225" s="23"/>
      <c r="O225" s="23"/>
      <c r="P225" s="22" t="str">
        <f aca="false">IFERROR(N225/O225,"")</f>
        <v/>
      </c>
      <c r="Q225" s="20"/>
      <c r="R225" s="20"/>
      <c r="S225" s="20"/>
      <c r="T225" s="20"/>
      <c r="U225" s="20"/>
      <c r="V225" s="19"/>
      <c r="W225" s="19"/>
      <c r="X225" s="20"/>
      <c r="Y225" s="19"/>
      <c r="Z225" s="20"/>
      <c r="AA225" s="20"/>
      <c r="AB225" s="20"/>
      <c r="AC225" s="20"/>
      <c r="AD225" s="20"/>
      <c r="AE225" s="20"/>
      <c r="AF225" s="20"/>
      <c r="AG225" s="19"/>
    </row>
    <row r="226" customFormat="false" ht="15" hidden="false" customHeight="false" outlineLevel="0" collapsed="false">
      <c r="A226" s="20"/>
      <c r="B226" s="19"/>
      <c r="C226" s="20"/>
      <c r="D226" s="20"/>
      <c r="E226" s="20"/>
      <c r="F226" s="20"/>
      <c r="G226" s="20"/>
      <c r="H226" s="20"/>
      <c r="I226" s="20"/>
      <c r="J226" s="20"/>
      <c r="K226" s="20"/>
      <c r="L226" s="23"/>
      <c r="M226" s="23"/>
      <c r="N226" s="23"/>
      <c r="O226" s="23"/>
      <c r="P226" s="22" t="str">
        <f aca="false">IFERROR(N226/O226,"")</f>
        <v/>
      </c>
      <c r="Q226" s="20"/>
      <c r="R226" s="20"/>
      <c r="S226" s="20"/>
      <c r="T226" s="20"/>
      <c r="U226" s="20"/>
      <c r="V226" s="19"/>
      <c r="W226" s="19"/>
      <c r="X226" s="20"/>
      <c r="Y226" s="19"/>
      <c r="Z226" s="20"/>
      <c r="AA226" s="20"/>
      <c r="AB226" s="20"/>
      <c r="AC226" s="20"/>
      <c r="AD226" s="20"/>
      <c r="AE226" s="20"/>
      <c r="AF226" s="20"/>
      <c r="AG226" s="19"/>
    </row>
    <row r="227" customFormat="false" ht="15" hidden="false" customHeight="false" outlineLevel="0" collapsed="false">
      <c r="A227" s="20"/>
      <c r="B227" s="19"/>
      <c r="C227" s="20"/>
      <c r="D227" s="20"/>
      <c r="E227" s="20"/>
      <c r="F227" s="20"/>
      <c r="G227" s="20"/>
      <c r="H227" s="20"/>
      <c r="I227" s="20"/>
      <c r="J227" s="20"/>
      <c r="K227" s="20"/>
      <c r="L227" s="23"/>
      <c r="M227" s="23"/>
      <c r="N227" s="23"/>
      <c r="O227" s="23"/>
      <c r="P227" s="22" t="str">
        <f aca="false">IFERROR(N227/O227,"")</f>
        <v/>
      </c>
      <c r="Q227" s="20"/>
      <c r="R227" s="20"/>
      <c r="S227" s="20"/>
      <c r="T227" s="20"/>
      <c r="U227" s="20"/>
      <c r="V227" s="19"/>
      <c r="W227" s="19"/>
      <c r="X227" s="20"/>
      <c r="Y227" s="19"/>
      <c r="Z227" s="20"/>
      <c r="AA227" s="20"/>
      <c r="AB227" s="20"/>
      <c r="AC227" s="20"/>
      <c r="AD227" s="20"/>
      <c r="AE227" s="20"/>
      <c r="AF227" s="20"/>
      <c r="AG227" s="19"/>
    </row>
    <row r="228" customFormat="false" ht="15" hidden="false" customHeight="false" outlineLevel="0" collapsed="false">
      <c r="A228" s="20"/>
      <c r="B228" s="19"/>
      <c r="C228" s="20"/>
      <c r="D228" s="20"/>
      <c r="E228" s="20"/>
      <c r="F228" s="20"/>
      <c r="G228" s="20"/>
      <c r="H228" s="20"/>
      <c r="I228" s="20"/>
      <c r="J228" s="20"/>
      <c r="K228" s="20"/>
      <c r="L228" s="23"/>
      <c r="M228" s="23"/>
      <c r="N228" s="23"/>
      <c r="O228" s="23"/>
      <c r="P228" s="22" t="str">
        <f aca="false">IFERROR(N228/O228,"")</f>
        <v/>
      </c>
      <c r="Q228" s="20"/>
      <c r="R228" s="20"/>
      <c r="S228" s="20"/>
      <c r="T228" s="20"/>
      <c r="U228" s="20"/>
      <c r="V228" s="19"/>
      <c r="W228" s="19"/>
      <c r="X228" s="20"/>
      <c r="Y228" s="19"/>
      <c r="Z228" s="20"/>
      <c r="AA228" s="20"/>
      <c r="AB228" s="20"/>
      <c r="AC228" s="20"/>
      <c r="AD228" s="20"/>
      <c r="AE228" s="20"/>
      <c r="AF228" s="20"/>
      <c r="AG228" s="19"/>
    </row>
    <row r="229" customFormat="false" ht="15" hidden="false" customHeight="false" outlineLevel="0" collapsed="false">
      <c r="A229" s="20"/>
      <c r="B229" s="19"/>
      <c r="C229" s="20"/>
      <c r="D229" s="20"/>
      <c r="E229" s="20"/>
      <c r="F229" s="20"/>
      <c r="G229" s="20"/>
      <c r="H229" s="20"/>
      <c r="I229" s="20"/>
      <c r="J229" s="20"/>
      <c r="K229" s="20"/>
      <c r="L229" s="23"/>
      <c r="M229" s="23"/>
      <c r="N229" s="23"/>
      <c r="O229" s="23"/>
      <c r="P229" s="22" t="str">
        <f aca="false">IFERROR(N229/O229,"")</f>
        <v/>
      </c>
      <c r="Q229" s="20"/>
      <c r="R229" s="20"/>
      <c r="S229" s="20"/>
      <c r="T229" s="20"/>
      <c r="U229" s="20"/>
      <c r="V229" s="19"/>
      <c r="W229" s="19"/>
      <c r="X229" s="20"/>
      <c r="Y229" s="19"/>
      <c r="Z229" s="20"/>
      <c r="AA229" s="20"/>
      <c r="AB229" s="20"/>
      <c r="AC229" s="20"/>
      <c r="AD229" s="20"/>
      <c r="AE229" s="20"/>
      <c r="AF229" s="20"/>
      <c r="AG229" s="19"/>
    </row>
    <row r="230" customFormat="false" ht="15" hidden="false" customHeight="false" outlineLevel="0" collapsed="false">
      <c r="A230" s="20"/>
      <c r="B230" s="19"/>
      <c r="C230" s="20"/>
      <c r="D230" s="20"/>
      <c r="E230" s="20"/>
      <c r="F230" s="20"/>
      <c r="G230" s="20"/>
      <c r="H230" s="20"/>
      <c r="I230" s="20"/>
      <c r="J230" s="20"/>
      <c r="K230" s="20"/>
      <c r="L230" s="23"/>
      <c r="M230" s="23"/>
      <c r="N230" s="23"/>
      <c r="O230" s="23"/>
      <c r="P230" s="22" t="str">
        <f aca="false">IFERROR(N230/O230,"")</f>
        <v/>
      </c>
      <c r="Q230" s="20"/>
      <c r="R230" s="20"/>
      <c r="S230" s="20"/>
      <c r="T230" s="20"/>
      <c r="U230" s="20"/>
      <c r="V230" s="19"/>
      <c r="W230" s="19"/>
      <c r="X230" s="20"/>
      <c r="Y230" s="19"/>
      <c r="Z230" s="20"/>
      <c r="AA230" s="20"/>
      <c r="AB230" s="20"/>
      <c r="AC230" s="20"/>
      <c r="AD230" s="20"/>
      <c r="AE230" s="20"/>
      <c r="AF230" s="20"/>
      <c r="AG230" s="19"/>
    </row>
    <row r="231" customFormat="false" ht="15" hidden="false" customHeight="false" outlineLevel="0" collapsed="false">
      <c r="A231" s="20"/>
      <c r="B231" s="19"/>
      <c r="C231" s="20"/>
      <c r="D231" s="20"/>
      <c r="E231" s="20"/>
      <c r="F231" s="20"/>
      <c r="G231" s="20"/>
      <c r="H231" s="20"/>
      <c r="I231" s="20"/>
      <c r="J231" s="20"/>
      <c r="K231" s="20"/>
      <c r="L231" s="23"/>
      <c r="M231" s="23"/>
      <c r="N231" s="23"/>
      <c r="O231" s="23"/>
      <c r="P231" s="22" t="str">
        <f aca="false">IFERROR(N231/O231,"")</f>
        <v/>
      </c>
      <c r="Q231" s="20"/>
      <c r="R231" s="20"/>
      <c r="S231" s="20"/>
      <c r="T231" s="20"/>
      <c r="U231" s="20"/>
      <c r="V231" s="19"/>
      <c r="W231" s="19"/>
      <c r="X231" s="20"/>
      <c r="Y231" s="19"/>
      <c r="Z231" s="20"/>
      <c r="AA231" s="20"/>
      <c r="AB231" s="20"/>
      <c r="AC231" s="20"/>
      <c r="AD231" s="20"/>
      <c r="AE231" s="20"/>
      <c r="AF231" s="20"/>
      <c r="AG231" s="19"/>
    </row>
    <row r="232" customFormat="false" ht="15" hidden="false" customHeight="false" outlineLevel="0" collapsed="false">
      <c r="A232" s="20"/>
      <c r="B232" s="19"/>
      <c r="C232" s="20"/>
      <c r="D232" s="20"/>
      <c r="E232" s="20"/>
      <c r="F232" s="20"/>
      <c r="G232" s="20"/>
      <c r="H232" s="20"/>
      <c r="I232" s="20"/>
      <c r="J232" s="20"/>
      <c r="K232" s="20"/>
      <c r="L232" s="23"/>
      <c r="M232" s="23"/>
      <c r="N232" s="23"/>
      <c r="O232" s="23"/>
      <c r="P232" s="22" t="str">
        <f aca="false">IFERROR(N232/O232,"")</f>
        <v/>
      </c>
      <c r="Q232" s="20"/>
      <c r="R232" s="20"/>
      <c r="S232" s="20"/>
      <c r="T232" s="20"/>
      <c r="U232" s="20"/>
      <c r="V232" s="19"/>
      <c r="W232" s="19"/>
      <c r="X232" s="20"/>
      <c r="Y232" s="19"/>
      <c r="Z232" s="20"/>
      <c r="AA232" s="20"/>
      <c r="AB232" s="20"/>
      <c r="AC232" s="20"/>
      <c r="AD232" s="20"/>
      <c r="AE232" s="20"/>
      <c r="AF232" s="20"/>
      <c r="AG232" s="19"/>
    </row>
    <row r="233" customFormat="false" ht="15" hidden="false" customHeight="false" outlineLevel="0" collapsed="false">
      <c r="A233" s="20"/>
      <c r="B233" s="19"/>
      <c r="C233" s="20"/>
      <c r="D233" s="20"/>
      <c r="E233" s="20"/>
      <c r="F233" s="20"/>
      <c r="G233" s="20"/>
      <c r="H233" s="20"/>
      <c r="I233" s="20"/>
      <c r="J233" s="20"/>
      <c r="K233" s="20"/>
      <c r="L233" s="23"/>
      <c r="M233" s="23"/>
      <c r="N233" s="23"/>
      <c r="O233" s="23"/>
      <c r="P233" s="22" t="str">
        <f aca="false">IFERROR(N233/O233,"")</f>
        <v/>
      </c>
      <c r="Q233" s="20"/>
      <c r="R233" s="20"/>
      <c r="S233" s="20"/>
      <c r="T233" s="20"/>
      <c r="U233" s="20"/>
      <c r="V233" s="19"/>
      <c r="W233" s="19"/>
      <c r="X233" s="20"/>
      <c r="Y233" s="19"/>
      <c r="Z233" s="20"/>
      <c r="AA233" s="20"/>
      <c r="AB233" s="20"/>
      <c r="AC233" s="20"/>
      <c r="AD233" s="20"/>
      <c r="AE233" s="20"/>
      <c r="AF233" s="20"/>
      <c r="AG233" s="19"/>
    </row>
    <row r="234" customFormat="false" ht="15" hidden="false" customHeight="false" outlineLevel="0" collapsed="false">
      <c r="A234" s="20"/>
      <c r="B234" s="19"/>
      <c r="C234" s="20"/>
      <c r="D234" s="20"/>
      <c r="E234" s="20"/>
      <c r="F234" s="20"/>
      <c r="G234" s="20"/>
      <c r="H234" s="20"/>
      <c r="I234" s="20"/>
      <c r="J234" s="20"/>
      <c r="K234" s="20"/>
      <c r="L234" s="23"/>
      <c r="M234" s="23"/>
      <c r="N234" s="23"/>
      <c r="O234" s="23"/>
      <c r="P234" s="22" t="str">
        <f aca="false">IFERROR(N234/O234,"")</f>
        <v/>
      </c>
      <c r="Q234" s="20"/>
      <c r="R234" s="20"/>
      <c r="S234" s="20"/>
      <c r="T234" s="20"/>
      <c r="U234" s="20"/>
      <c r="V234" s="19"/>
      <c r="W234" s="19"/>
      <c r="X234" s="20"/>
      <c r="Y234" s="19"/>
      <c r="Z234" s="20"/>
      <c r="AA234" s="20"/>
      <c r="AB234" s="20"/>
      <c r="AC234" s="20"/>
      <c r="AD234" s="20"/>
      <c r="AE234" s="20"/>
      <c r="AF234" s="20"/>
      <c r="AG234" s="19"/>
    </row>
    <row r="235" customFormat="false" ht="15" hidden="false" customHeight="false" outlineLevel="0" collapsed="false">
      <c r="A235" s="20"/>
      <c r="B235" s="19"/>
      <c r="C235" s="20"/>
      <c r="D235" s="20"/>
      <c r="E235" s="20"/>
      <c r="F235" s="20"/>
      <c r="G235" s="20"/>
      <c r="H235" s="20"/>
      <c r="I235" s="20"/>
      <c r="J235" s="20"/>
      <c r="K235" s="20"/>
      <c r="L235" s="23"/>
      <c r="M235" s="23"/>
      <c r="N235" s="23"/>
      <c r="O235" s="23"/>
      <c r="P235" s="22" t="str">
        <f aca="false">IFERROR(N235/O235,"")</f>
        <v/>
      </c>
      <c r="Q235" s="20"/>
      <c r="R235" s="20"/>
      <c r="S235" s="20"/>
      <c r="T235" s="20"/>
      <c r="U235" s="20"/>
      <c r="V235" s="19"/>
      <c r="W235" s="19"/>
      <c r="X235" s="20"/>
      <c r="Y235" s="19"/>
      <c r="Z235" s="20"/>
      <c r="AA235" s="20"/>
      <c r="AB235" s="20"/>
      <c r="AC235" s="20"/>
      <c r="AD235" s="20"/>
      <c r="AE235" s="20"/>
      <c r="AF235" s="20"/>
      <c r="AG235" s="19"/>
    </row>
    <row r="236" customFormat="false" ht="15" hidden="false" customHeight="false" outlineLevel="0" collapsed="false">
      <c r="A236" s="20"/>
      <c r="B236" s="19"/>
      <c r="C236" s="20"/>
      <c r="D236" s="20"/>
      <c r="E236" s="20"/>
      <c r="F236" s="20"/>
      <c r="G236" s="20"/>
      <c r="H236" s="20"/>
      <c r="I236" s="20"/>
      <c r="J236" s="20"/>
      <c r="K236" s="20"/>
      <c r="L236" s="23"/>
      <c r="M236" s="23"/>
      <c r="N236" s="23"/>
      <c r="O236" s="23"/>
      <c r="P236" s="22" t="str">
        <f aca="false">IFERROR(N236/O236,"")</f>
        <v/>
      </c>
      <c r="Q236" s="20"/>
      <c r="R236" s="20"/>
      <c r="S236" s="20"/>
      <c r="T236" s="20"/>
      <c r="U236" s="20"/>
      <c r="V236" s="19"/>
      <c r="W236" s="19"/>
      <c r="X236" s="20"/>
      <c r="Y236" s="19"/>
      <c r="Z236" s="20"/>
      <c r="AA236" s="20"/>
      <c r="AB236" s="20"/>
      <c r="AC236" s="20"/>
      <c r="AD236" s="20"/>
      <c r="AE236" s="20"/>
      <c r="AF236" s="20"/>
      <c r="AG236" s="19"/>
    </row>
    <row r="237" customFormat="false" ht="15" hidden="false" customHeight="false" outlineLevel="0" collapsed="false">
      <c r="A237" s="20"/>
      <c r="B237" s="19"/>
      <c r="C237" s="20"/>
      <c r="D237" s="20"/>
      <c r="E237" s="20"/>
      <c r="F237" s="20"/>
      <c r="G237" s="20"/>
      <c r="H237" s="20"/>
      <c r="I237" s="20"/>
      <c r="J237" s="20"/>
      <c r="K237" s="20"/>
      <c r="L237" s="23"/>
      <c r="M237" s="23"/>
      <c r="N237" s="23"/>
      <c r="O237" s="23"/>
      <c r="P237" s="22" t="str">
        <f aca="false">IFERROR(N237/O237,"")</f>
        <v/>
      </c>
      <c r="Q237" s="20"/>
      <c r="R237" s="20"/>
      <c r="S237" s="20"/>
      <c r="T237" s="20"/>
      <c r="U237" s="20"/>
      <c r="V237" s="19"/>
      <c r="W237" s="19"/>
      <c r="X237" s="20"/>
      <c r="Y237" s="19"/>
      <c r="Z237" s="20"/>
      <c r="AA237" s="20"/>
      <c r="AB237" s="20"/>
      <c r="AC237" s="20"/>
      <c r="AD237" s="20"/>
      <c r="AE237" s="20"/>
      <c r="AF237" s="20"/>
      <c r="AG237" s="19"/>
    </row>
    <row r="238" customFormat="false" ht="15" hidden="false" customHeight="false" outlineLevel="0" collapsed="false">
      <c r="A238" s="20"/>
      <c r="B238" s="19"/>
      <c r="C238" s="20"/>
      <c r="D238" s="20"/>
      <c r="E238" s="20"/>
      <c r="F238" s="20"/>
      <c r="G238" s="20"/>
      <c r="H238" s="20"/>
      <c r="I238" s="20"/>
      <c r="J238" s="20"/>
      <c r="K238" s="20"/>
      <c r="L238" s="23"/>
      <c r="M238" s="23"/>
      <c r="N238" s="23"/>
      <c r="O238" s="23"/>
      <c r="P238" s="22" t="str">
        <f aca="false">IFERROR(N238/O238,"")</f>
        <v/>
      </c>
      <c r="Q238" s="20"/>
      <c r="R238" s="20"/>
      <c r="S238" s="20"/>
      <c r="T238" s="20"/>
      <c r="U238" s="20"/>
      <c r="V238" s="19"/>
      <c r="W238" s="19"/>
      <c r="X238" s="20"/>
      <c r="Y238" s="19"/>
      <c r="Z238" s="20"/>
      <c r="AA238" s="20"/>
      <c r="AB238" s="20"/>
      <c r="AC238" s="20"/>
      <c r="AD238" s="20"/>
      <c r="AE238" s="20"/>
      <c r="AF238" s="20"/>
      <c r="AG238" s="19"/>
    </row>
    <row r="239" customFormat="false" ht="15" hidden="false" customHeight="false" outlineLevel="0" collapsed="false">
      <c r="A239" s="20"/>
      <c r="B239" s="19"/>
      <c r="C239" s="20"/>
      <c r="D239" s="20"/>
      <c r="E239" s="20"/>
      <c r="F239" s="20"/>
      <c r="G239" s="20"/>
      <c r="H239" s="20"/>
      <c r="I239" s="20"/>
      <c r="J239" s="20"/>
      <c r="K239" s="20"/>
      <c r="L239" s="23"/>
      <c r="M239" s="23"/>
      <c r="N239" s="23"/>
      <c r="O239" s="23"/>
      <c r="P239" s="22" t="str">
        <f aca="false">IFERROR(N239/O239,"")</f>
        <v/>
      </c>
      <c r="Q239" s="20"/>
      <c r="R239" s="20"/>
      <c r="S239" s="20"/>
      <c r="T239" s="20"/>
      <c r="U239" s="20"/>
      <c r="V239" s="19"/>
      <c r="W239" s="19"/>
      <c r="X239" s="20"/>
      <c r="Y239" s="19"/>
      <c r="Z239" s="20"/>
      <c r="AA239" s="20"/>
      <c r="AB239" s="20"/>
      <c r="AC239" s="20"/>
      <c r="AD239" s="20"/>
      <c r="AE239" s="20"/>
      <c r="AF239" s="20"/>
      <c r="AG239" s="19"/>
    </row>
    <row r="240" customFormat="false" ht="15" hidden="false" customHeight="false" outlineLevel="0" collapsed="false">
      <c r="A240" s="20"/>
      <c r="B240" s="19"/>
      <c r="C240" s="20"/>
      <c r="D240" s="20"/>
      <c r="E240" s="20"/>
      <c r="F240" s="20"/>
      <c r="G240" s="20"/>
      <c r="H240" s="20"/>
      <c r="I240" s="20"/>
      <c r="J240" s="20"/>
      <c r="K240" s="20"/>
      <c r="L240" s="23"/>
      <c r="M240" s="23"/>
      <c r="N240" s="23"/>
      <c r="O240" s="23"/>
      <c r="P240" s="22" t="str">
        <f aca="false">IFERROR(N240/O240,"")</f>
        <v/>
      </c>
      <c r="Q240" s="20"/>
      <c r="R240" s="20"/>
      <c r="S240" s="20"/>
      <c r="T240" s="20"/>
      <c r="U240" s="20"/>
      <c r="V240" s="19"/>
      <c r="W240" s="19"/>
      <c r="X240" s="20"/>
      <c r="Y240" s="19"/>
      <c r="Z240" s="20"/>
      <c r="AA240" s="20"/>
      <c r="AB240" s="20"/>
      <c r="AC240" s="20"/>
      <c r="AD240" s="20"/>
      <c r="AE240" s="20"/>
      <c r="AF240" s="20"/>
      <c r="AG240" s="19"/>
    </row>
    <row r="241" customFormat="false" ht="15" hidden="false" customHeight="false" outlineLevel="0" collapsed="false">
      <c r="A241" s="20"/>
      <c r="B241" s="19"/>
      <c r="C241" s="20"/>
      <c r="D241" s="20"/>
      <c r="E241" s="20"/>
      <c r="F241" s="20"/>
      <c r="G241" s="20"/>
      <c r="H241" s="20"/>
      <c r="I241" s="20"/>
      <c r="J241" s="20"/>
      <c r="K241" s="20"/>
      <c r="L241" s="23"/>
      <c r="M241" s="23"/>
      <c r="N241" s="23"/>
      <c r="O241" s="23"/>
      <c r="P241" s="22" t="str">
        <f aca="false">IFERROR(N241/O241,"")</f>
        <v/>
      </c>
      <c r="Q241" s="20"/>
      <c r="R241" s="20"/>
      <c r="S241" s="20"/>
      <c r="T241" s="20"/>
      <c r="U241" s="20"/>
      <c r="V241" s="19"/>
      <c r="W241" s="19"/>
      <c r="X241" s="20"/>
      <c r="Y241" s="19"/>
      <c r="Z241" s="20"/>
      <c r="AA241" s="20"/>
      <c r="AB241" s="20"/>
      <c r="AC241" s="20"/>
      <c r="AD241" s="20"/>
      <c r="AE241" s="20"/>
      <c r="AF241" s="20"/>
      <c r="AG241" s="19"/>
    </row>
    <row r="242" customFormat="false" ht="15" hidden="false" customHeight="false" outlineLevel="0" collapsed="false">
      <c r="A242" s="20"/>
      <c r="B242" s="19"/>
      <c r="C242" s="20"/>
      <c r="D242" s="20"/>
      <c r="E242" s="20"/>
      <c r="F242" s="20"/>
      <c r="G242" s="20"/>
      <c r="H242" s="20"/>
      <c r="I242" s="20"/>
      <c r="J242" s="20"/>
      <c r="K242" s="20"/>
      <c r="L242" s="23"/>
      <c r="M242" s="23"/>
      <c r="N242" s="23"/>
      <c r="O242" s="23"/>
      <c r="P242" s="22" t="str">
        <f aca="false">IFERROR(N242/O242,"")</f>
        <v/>
      </c>
      <c r="Q242" s="20"/>
      <c r="R242" s="20"/>
      <c r="S242" s="20"/>
      <c r="T242" s="20"/>
      <c r="U242" s="20"/>
      <c r="V242" s="19"/>
      <c r="W242" s="19"/>
      <c r="X242" s="20"/>
      <c r="Y242" s="19"/>
      <c r="Z242" s="20"/>
      <c r="AA242" s="20"/>
      <c r="AB242" s="20"/>
      <c r="AC242" s="20"/>
      <c r="AD242" s="20"/>
      <c r="AE242" s="20"/>
      <c r="AF242" s="20"/>
      <c r="AG242" s="19"/>
    </row>
    <row r="243" customFormat="false" ht="15" hidden="false" customHeight="false" outlineLevel="0" collapsed="false">
      <c r="A243" s="20"/>
      <c r="B243" s="19"/>
      <c r="C243" s="20"/>
      <c r="D243" s="20"/>
      <c r="E243" s="20"/>
      <c r="F243" s="20"/>
      <c r="G243" s="20"/>
      <c r="H243" s="20"/>
      <c r="I243" s="20"/>
      <c r="J243" s="20"/>
      <c r="K243" s="20"/>
      <c r="L243" s="23"/>
      <c r="M243" s="23"/>
      <c r="N243" s="23"/>
      <c r="O243" s="23"/>
      <c r="P243" s="22" t="str">
        <f aca="false">IFERROR(N243/O243,"")</f>
        <v/>
      </c>
      <c r="Q243" s="20"/>
      <c r="R243" s="20"/>
      <c r="S243" s="20"/>
      <c r="T243" s="20"/>
      <c r="U243" s="20"/>
      <c r="V243" s="19"/>
      <c r="W243" s="19"/>
      <c r="X243" s="20"/>
      <c r="Y243" s="19"/>
      <c r="Z243" s="20"/>
      <c r="AA243" s="20"/>
      <c r="AB243" s="20"/>
      <c r="AC243" s="20"/>
      <c r="AD243" s="20"/>
      <c r="AE243" s="20"/>
      <c r="AF243" s="20"/>
      <c r="AG243" s="19"/>
    </row>
    <row r="244" customFormat="false" ht="15" hidden="false" customHeight="false" outlineLevel="0" collapsed="false">
      <c r="A244" s="20"/>
      <c r="B244" s="19"/>
      <c r="C244" s="20"/>
      <c r="D244" s="20"/>
      <c r="E244" s="20"/>
      <c r="F244" s="20"/>
      <c r="G244" s="20"/>
      <c r="H244" s="20"/>
      <c r="I244" s="20"/>
      <c r="J244" s="20"/>
      <c r="K244" s="20"/>
      <c r="L244" s="23"/>
      <c r="M244" s="23"/>
      <c r="N244" s="23"/>
      <c r="O244" s="23"/>
      <c r="P244" s="22" t="str">
        <f aca="false">IFERROR(N244/O244,"")</f>
        <v/>
      </c>
      <c r="Q244" s="20"/>
      <c r="R244" s="20"/>
      <c r="S244" s="20"/>
      <c r="T244" s="20"/>
      <c r="U244" s="20"/>
      <c r="V244" s="19"/>
      <c r="W244" s="19"/>
      <c r="X244" s="20"/>
      <c r="Y244" s="19"/>
      <c r="Z244" s="20"/>
      <c r="AA244" s="20"/>
      <c r="AB244" s="20"/>
      <c r="AC244" s="20"/>
      <c r="AD244" s="20"/>
      <c r="AE244" s="20"/>
      <c r="AF244" s="20"/>
      <c r="AG244" s="19"/>
    </row>
    <row r="245" customFormat="false" ht="15" hidden="false" customHeight="false" outlineLevel="0" collapsed="false">
      <c r="A245" s="20"/>
      <c r="B245" s="19"/>
      <c r="C245" s="20"/>
      <c r="D245" s="20"/>
      <c r="E245" s="20"/>
      <c r="F245" s="20"/>
      <c r="G245" s="20"/>
      <c r="H245" s="20"/>
      <c r="I245" s="20"/>
      <c r="J245" s="20"/>
      <c r="K245" s="20"/>
      <c r="L245" s="23"/>
      <c r="M245" s="23"/>
      <c r="N245" s="23"/>
      <c r="O245" s="23"/>
      <c r="P245" s="22" t="str">
        <f aca="false">IFERROR(N245/O245,"")</f>
        <v/>
      </c>
      <c r="Q245" s="20"/>
      <c r="R245" s="20"/>
      <c r="S245" s="20"/>
      <c r="T245" s="20"/>
      <c r="U245" s="20"/>
      <c r="V245" s="19"/>
      <c r="W245" s="19"/>
      <c r="X245" s="20"/>
      <c r="Y245" s="19"/>
      <c r="Z245" s="20"/>
      <c r="AA245" s="20"/>
      <c r="AB245" s="20"/>
      <c r="AC245" s="20"/>
      <c r="AD245" s="20"/>
      <c r="AE245" s="20"/>
      <c r="AF245" s="20"/>
      <c r="AG245" s="19"/>
    </row>
    <row r="246" customFormat="false" ht="15" hidden="false" customHeight="false" outlineLevel="0" collapsed="false">
      <c r="A246" s="20"/>
      <c r="B246" s="19"/>
      <c r="C246" s="20"/>
      <c r="D246" s="20"/>
      <c r="E246" s="20"/>
      <c r="F246" s="20"/>
      <c r="G246" s="20"/>
      <c r="H246" s="20"/>
      <c r="I246" s="20"/>
      <c r="J246" s="20"/>
      <c r="K246" s="20"/>
      <c r="L246" s="23"/>
      <c r="M246" s="23"/>
      <c r="N246" s="23"/>
      <c r="O246" s="23"/>
      <c r="P246" s="22" t="str">
        <f aca="false">IFERROR(N246/O246,"")</f>
        <v/>
      </c>
      <c r="Q246" s="20"/>
      <c r="R246" s="20"/>
      <c r="S246" s="20"/>
      <c r="T246" s="20"/>
      <c r="U246" s="20"/>
      <c r="V246" s="19"/>
      <c r="W246" s="19"/>
      <c r="X246" s="20"/>
      <c r="Y246" s="19"/>
      <c r="Z246" s="20"/>
      <c r="AA246" s="20"/>
      <c r="AB246" s="20"/>
      <c r="AC246" s="20"/>
      <c r="AD246" s="20"/>
      <c r="AE246" s="20"/>
      <c r="AF246" s="20"/>
      <c r="AG246" s="19"/>
    </row>
    <row r="247" customFormat="false" ht="15" hidden="false" customHeight="false" outlineLevel="0" collapsed="false">
      <c r="A247" s="20"/>
      <c r="B247" s="19"/>
      <c r="C247" s="20"/>
      <c r="D247" s="20"/>
      <c r="E247" s="20"/>
      <c r="F247" s="20"/>
      <c r="G247" s="20"/>
      <c r="H247" s="20"/>
      <c r="I247" s="20"/>
      <c r="J247" s="20"/>
      <c r="K247" s="20"/>
      <c r="L247" s="23"/>
      <c r="M247" s="23"/>
      <c r="N247" s="23"/>
      <c r="O247" s="23"/>
      <c r="P247" s="22" t="str">
        <f aca="false">IFERROR(N247/O247,"")</f>
        <v/>
      </c>
      <c r="Q247" s="20"/>
      <c r="R247" s="20"/>
      <c r="S247" s="20"/>
      <c r="T247" s="20"/>
      <c r="U247" s="20"/>
      <c r="V247" s="19"/>
      <c r="W247" s="19"/>
      <c r="X247" s="20"/>
      <c r="Y247" s="19"/>
      <c r="Z247" s="20"/>
      <c r="AA247" s="20"/>
      <c r="AB247" s="20"/>
      <c r="AC247" s="20"/>
      <c r="AD247" s="20"/>
      <c r="AE247" s="20"/>
      <c r="AF247" s="20"/>
      <c r="AG247" s="19"/>
    </row>
    <row r="248" customFormat="false" ht="15" hidden="false" customHeight="false" outlineLevel="0" collapsed="false">
      <c r="A248" s="20"/>
      <c r="B248" s="19"/>
      <c r="C248" s="20"/>
      <c r="D248" s="20"/>
      <c r="E248" s="20"/>
      <c r="F248" s="20"/>
      <c r="G248" s="20"/>
      <c r="H248" s="20"/>
      <c r="I248" s="20"/>
      <c r="J248" s="20"/>
      <c r="K248" s="20"/>
      <c r="L248" s="23"/>
      <c r="M248" s="23"/>
      <c r="N248" s="23"/>
      <c r="O248" s="23"/>
      <c r="P248" s="22" t="str">
        <f aca="false">IFERROR(N248/O248,"")</f>
        <v/>
      </c>
      <c r="Q248" s="20"/>
      <c r="R248" s="20"/>
      <c r="S248" s="20"/>
      <c r="T248" s="20"/>
      <c r="U248" s="20"/>
      <c r="V248" s="19"/>
      <c r="W248" s="19"/>
      <c r="X248" s="20"/>
      <c r="Y248" s="19"/>
      <c r="Z248" s="20"/>
      <c r="AA248" s="20"/>
      <c r="AB248" s="20"/>
      <c r="AC248" s="20"/>
      <c r="AD248" s="20"/>
      <c r="AE248" s="20"/>
      <c r="AF248" s="20"/>
      <c r="AG248" s="19"/>
    </row>
    <row r="249" customFormat="false" ht="15" hidden="false" customHeight="false" outlineLevel="0" collapsed="false">
      <c r="A249" s="20"/>
      <c r="B249" s="19"/>
      <c r="C249" s="20"/>
      <c r="D249" s="20"/>
      <c r="E249" s="20"/>
      <c r="F249" s="20"/>
      <c r="G249" s="20"/>
      <c r="H249" s="20"/>
      <c r="I249" s="20"/>
      <c r="J249" s="20"/>
      <c r="K249" s="20"/>
      <c r="L249" s="23"/>
      <c r="M249" s="23"/>
      <c r="N249" s="23"/>
      <c r="O249" s="23"/>
      <c r="P249" s="22" t="str">
        <f aca="false">IFERROR(N249/O249,"")</f>
        <v/>
      </c>
      <c r="Q249" s="20"/>
      <c r="R249" s="20"/>
      <c r="S249" s="20"/>
      <c r="T249" s="20"/>
      <c r="U249" s="20"/>
      <c r="V249" s="19"/>
      <c r="W249" s="19"/>
      <c r="X249" s="20"/>
      <c r="Y249" s="19"/>
      <c r="Z249" s="20"/>
      <c r="AA249" s="20"/>
      <c r="AB249" s="20"/>
      <c r="AC249" s="20"/>
      <c r="AD249" s="20"/>
      <c r="AE249" s="20"/>
      <c r="AF249" s="20"/>
      <c r="AG249" s="19"/>
    </row>
    <row r="250" customFormat="false" ht="15" hidden="false" customHeight="false" outlineLevel="0" collapsed="false">
      <c r="A250" s="20"/>
      <c r="B250" s="19"/>
      <c r="C250" s="20"/>
      <c r="D250" s="20"/>
      <c r="E250" s="20"/>
      <c r="F250" s="20"/>
      <c r="G250" s="20"/>
      <c r="H250" s="20"/>
      <c r="I250" s="20"/>
      <c r="J250" s="20"/>
      <c r="K250" s="20"/>
      <c r="L250" s="23"/>
      <c r="M250" s="23"/>
      <c r="N250" s="23"/>
      <c r="O250" s="23"/>
      <c r="P250" s="22" t="str">
        <f aca="false">IFERROR(N250/O250,"")</f>
        <v/>
      </c>
      <c r="Q250" s="20"/>
      <c r="R250" s="20"/>
      <c r="S250" s="20"/>
      <c r="T250" s="20"/>
      <c r="U250" s="20"/>
      <c r="V250" s="19"/>
      <c r="W250" s="19"/>
      <c r="X250" s="20"/>
      <c r="Y250" s="19"/>
      <c r="Z250" s="20"/>
      <c r="AA250" s="20"/>
      <c r="AB250" s="20"/>
      <c r="AC250" s="20"/>
      <c r="AD250" s="20"/>
      <c r="AE250" s="20"/>
      <c r="AF250" s="20"/>
      <c r="AG250" s="19"/>
    </row>
    <row r="251" customFormat="false" ht="15" hidden="false" customHeight="false" outlineLevel="0" collapsed="false">
      <c r="A251" s="20"/>
      <c r="B251" s="19"/>
      <c r="C251" s="20"/>
      <c r="D251" s="20"/>
      <c r="E251" s="20"/>
      <c r="F251" s="20"/>
      <c r="G251" s="20"/>
      <c r="H251" s="20"/>
      <c r="I251" s="20"/>
      <c r="J251" s="20"/>
      <c r="K251" s="20"/>
      <c r="L251" s="23"/>
      <c r="M251" s="23"/>
      <c r="N251" s="23"/>
      <c r="O251" s="23"/>
      <c r="P251" s="22" t="str">
        <f aca="false">IFERROR(N251/O251,"")</f>
        <v/>
      </c>
      <c r="Q251" s="20"/>
      <c r="R251" s="20"/>
      <c r="S251" s="20"/>
      <c r="T251" s="20"/>
      <c r="U251" s="20"/>
      <c r="V251" s="19"/>
      <c r="W251" s="19"/>
      <c r="X251" s="20"/>
      <c r="Y251" s="19"/>
      <c r="Z251" s="20"/>
      <c r="AA251" s="20"/>
      <c r="AB251" s="20"/>
      <c r="AC251" s="20"/>
      <c r="AD251" s="20"/>
      <c r="AE251" s="20"/>
      <c r="AF251" s="20"/>
      <c r="AG251" s="19"/>
    </row>
    <row r="252" customFormat="false" ht="15" hidden="false" customHeight="false" outlineLevel="0" collapsed="false">
      <c r="A252" s="20"/>
      <c r="B252" s="19"/>
      <c r="C252" s="20"/>
      <c r="D252" s="20"/>
      <c r="E252" s="20"/>
      <c r="F252" s="20"/>
      <c r="G252" s="20"/>
      <c r="H252" s="20"/>
      <c r="I252" s="20"/>
      <c r="J252" s="20"/>
      <c r="K252" s="20"/>
      <c r="L252" s="23"/>
      <c r="M252" s="23"/>
      <c r="N252" s="23"/>
      <c r="O252" s="23"/>
      <c r="P252" s="22" t="str">
        <f aca="false">IFERROR(N252/O252,"")</f>
        <v/>
      </c>
      <c r="Q252" s="20"/>
      <c r="R252" s="20"/>
      <c r="S252" s="20"/>
      <c r="T252" s="20"/>
      <c r="U252" s="20"/>
      <c r="V252" s="19"/>
      <c r="W252" s="19"/>
      <c r="X252" s="20"/>
      <c r="Y252" s="19"/>
      <c r="Z252" s="20"/>
      <c r="AA252" s="20"/>
      <c r="AB252" s="20"/>
      <c r="AC252" s="20"/>
      <c r="AD252" s="20"/>
      <c r="AE252" s="20"/>
      <c r="AF252" s="20"/>
      <c r="AG252" s="19"/>
    </row>
    <row r="253" customFormat="false" ht="15" hidden="false" customHeight="false" outlineLevel="0" collapsed="false">
      <c r="A253" s="20"/>
      <c r="B253" s="19"/>
      <c r="C253" s="20"/>
      <c r="D253" s="20"/>
      <c r="E253" s="20"/>
      <c r="F253" s="20"/>
      <c r="G253" s="20"/>
      <c r="H253" s="20"/>
      <c r="I253" s="20"/>
      <c r="J253" s="20"/>
      <c r="K253" s="20"/>
      <c r="L253" s="23"/>
      <c r="M253" s="23"/>
      <c r="N253" s="23"/>
      <c r="O253" s="23"/>
      <c r="P253" s="22" t="str">
        <f aca="false">IFERROR(N253/O253,"")</f>
        <v/>
      </c>
      <c r="Q253" s="20"/>
      <c r="R253" s="20"/>
      <c r="S253" s="20"/>
      <c r="T253" s="20"/>
      <c r="U253" s="20"/>
      <c r="V253" s="19"/>
      <c r="W253" s="19"/>
      <c r="X253" s="20"/>
      <c r="Y253" s="19"/>
      <c r="Z253" s="20"/>
      <c r="AA253" s="20"/>
      <c r="AB253" s="20"/>
      <c r="AC253" s="20"/>
      <c r="AD253" s="20"/>
      <c r="AE253" s="20"/>
      <c r="AF253" s="20"/>
      <c r="AG253" s="19"/>
    </row>
    <row r="254" customFormat="false" ht="15" hidden="false" customHeight="false" outlineLevel="0" collapsed="false">
      <c r="A254" s="20"/>
      <c r="B254" s="19"/>
      <c r="C254" s="20"/>
      <c r="D254" s="20"/>
      <c r="E254" s="20"/>
      <c r="F254" s="20"/>
      <c r="G254" s="20"/>
      <c r="H254" s="20"/>
      <c r="I254" s="20"/>
      <c r="J254" s="20"/>
      <c r="K254" s="20"/>
      <c r="L254" s="23"/>
      <c r="M254" s="23"/>
      <c r="N254" s="23"/>
      <c r="O254" s="23"/>
      <c r="P254" s="22" t="str">
        <f aca="false">IFERROR(N254/O254,"")</f>
        <v/>
      </c>
      <c r="Q254" s="20"/>
      <c r="R254" s="20"/>
      <c r="S254" s="20"/>
      <c r="T254" s="20"/>
      <c r="U254" s="20"/>
      <c r="V254" s="19"/>
      <c r="W254" s="19"/>
      <c r="X254" s="20"/>
      <c r="Y254" s="19"/>
      <c r="Z254" s="20"/>
      <c r="AA254" s="20"/>
      <c r="AB254" s="20"/>
      <c r="AC254" s="20"/>
      <c r="AD254" s="20"/>
      <c r="AE254" s="20"/>
      <c r="AF254" s="20"/>
      <c r="AG254" s="19"/>
    </row>
    <row r="255" customFormat="false" ht="15" hidden="false" customHeight="false" outlineLevel="0" collapsed="false">
      <c r="A255" s="20"/>
      <c r="B255" s="19"/>
      <c r="C255" s="20"/>
      <c r="D255" s="20"/>
      <c r="E255" s="20"/>
      <c r="F255" s="20"/>
      <c r="G255" s="20"/>
      <c r="H255" s="20"/>
      <c r="I255" s="20"/>
      <c r="J255" s="20"/>
      <c r="K255" s="20"/>
      <c r="L255" s="23"/>
      <c r="M255" s="23"/>
      <c r="N255" s="23"/>
      <c r="O255" s="23"/>
      <c r="P255" s="22" t="str">
        <f aca="false">IFERROR(N255/O255,"")</f>
        <v/>
      </c>
      <c r="Q255" s="20"/>
      <c r="R255" s="20"/>
      <c r="S255" s="20"/>
      <c r="T255" s="20"/>
      <c r="U255" s="20"/>
      <c r="V255" s="19"/>
      <c r="W255" s="19"/>
      <c r="X255" s="20"/>
      <c r="Y255" s="19"/>
      <c r="Z255" s="20"/>
      <c r="AA255" s="20"/>
      <c r="AB255" s="20"/>
      <c r="AC255" s="20"/>
      <c r="AD255" s="20"/>
      <c r="AE255" s="20"/>
      <c r="AF255" s="20"/>
      <c r="AG255" s="19"/>
    </row>
    <row r="256" customFormat="false" ht="15" hidden="false" customHeight="false" outlineLevel="0" collapsed="false">
      <c r="A256" s="20"/>
      <c r="B256" s="19"/>
      <c r="C256" s="20"/>
      <c r="D256" s="20"/>
      <c r="E256" s="20"/>
      <c r="F256" s="20"/>
      <c r="G256" s="20"/>
      <c r="H256" s="20"/>
      <c r="I256" s="20"/>
      <c r="J256" s="20"/>
      <c r="K256" s="20"/>
      <c r="L256" s="23"/>
      <c r="M256" s="23"/>
      <c r="N256" s="23"/>
      <c r="O256" s="23"/>
      <c r="P256" s="22" t="str">
        <f aca="false">IFERROR(N256/O256,"")</f>
        <v/>
      </c>
      <c r="Q256" s="20"/>
      <c r="R256" s="20"/>
      <c r="S256" s="20"/>
      <c r="T256" s="20"/>
      <c r="U256" s="20"/>
      <c r="V256" s="19"/>
      <c r="W256" s="19"/>
      <c r="X256" s="20"/>
      <c r="Y256" s="19"/>
      <c r="Z256" s="20"/>
      <c r="AA256" s="20"/>
      <c r="AB256" s="20"/>
      <c r="AC256" s="20"/>
      <c r="AD256" s="20"/>
      <c r="AE256" s="20"/>
      <c r="AF256" s="20"/>
      <c r="AG256" s="19"/>
    </row>
    <row r="257" customFormat="false" ht="15" hidden="false" customHeight="false" outlineLevel="0" collapsed="false">
      <c r="A257" s="20"/>
      <c r="B257" s="19"/>
      <c r="C257" s="20"/>
      <c r="D257" s="20"/>
      <c r="E257" s="20"/>
      <c r="F257" s="20"/>
      <c r="G257" s="20"/>
      <c r="H257" s="20"/>
      <c r="I257" s="20"/>
      <c r="J257" s="20"/>
      <c r="K257" s="20"/>
      <c r="L257" s="23"/>
      <c r="M257" s="23"/>
      <c r="N257" s="23"/>
      <c r="O257" s="23"/>
      <c r="P257" s="22" t="str">
        <f aca="false">IFERROR(N257/O257,"")</f>
        <v/>
      </c>
      <c r="Q257" s="20"/>
      <c r="R257" s="20"/>
      <c r="S257" s="20"/>
      <c r="T257" s="20"/>
      <c r="U257" s="20"/>
      <c r="V257" s="19"/>
      <c r="W257" s="19"/>
      <c r="X257" s="20"/>
      <c r="Y257" s="19"/>
      <c r="Z257" s="20"/>
      <c r="AA257" s="20"/>
      <c r="AB257" s="20"/>
      <c r="AC257" s="20"/>
      <c r="AD257" s="20"/>
      <c r="AE257" s="20"/>
      <c r="AF257" s="20"/>
      <c r="AG257" s="19"/>
    </row>
    <row r="258" customFormat="false" ht="15" hidden="false" customHeight="false" outlineLevel="0" collapsed="false">
      <c r="A258" s="20"/>
      <c r="B258" s="19"/>
      <c r="C258" s="20"/>
      <c r="D258" s="20"/>
      <c r="E258" s="20"/>
      <c r="F258" s="20"/>
      <c r="G258" s="20"/>
      <c r="H258" s="20"/>
      <c r="I258" s="20"/>
      <c r="J258" s="20"/>
      <c r="K258" s="20"/>
      <c r="L258" s="23"/>
      <c r="M258" s="23"/>
      <c r="N258" s="23"/>
      <c r="O258" s="23"/>
      <c r="P258" s="22" t="str">
        <f aca="false">IFERROR(N258/O258,"")</f>
        <v/>
      </c>
      <c r="Q258" s="20"/>
      <c r="R258" s="20"/>
      <c r="S258" s="20"/>
      <c r="T258" s="20"/>
      <c r="U258" s="20"/>
      <c r="V258" s="19"/>
      <c r="W258" s="19"/>
      <c r="X258" s="20"/>
      <c r="Y258" s="19"/>
      <c r="Z258" s="20"/>
      <c r="AA258" s="20"/>
      <c r="AB258" s="20"/>
      <c r="AC258" s="20"/>
      <c r="AD258" s="20"/>
      <c r="AE258" s="20"/>
      <c r="AF258" s="20"/>
      <c r="AG258" s="19"/>
    </row>
    <row r="259" customFormat="false" ht="15" hidden="false" customHeight="false" outlineLevel="0" collapsed="false">
      <c r="A259" s="20"/>
      <c r="B259" s="19"/>
      <c r="C259" s="20"/>
      <c r="D259" s="20"/>
      <c r="E259" s="20"/>
      <c r="F259" s="20"/>
      <c r="G259" s="20"/>
      <c r="H259" s="20"/>
      <c r="I259" s="20"/>
      <c r="J259" s="20"/>
      <c r="K259" s="20"/>
      <c r="L259" s="23"/>
      <c r="M259" s="23"/>
      <c r="N259" s="23"/>
      <c r="O259" s="23"/>
      <c r="P259" s="22" t="str">
        <f aca="false">IFERROR(N259/O259,"")</f>
        <v/>
      </c>
      <c r="Q259" s="20"/>
      <c r="R259" s="20"/>
      <c r="S259" s="20"/>
      <c r="T259" s="20"/>
      <c r="U259" s="20"/>
      <c r="V259" s="19"/>
      <c r="W259" s="19"/>
      <c r="X259" s="20"/>
      <c r="Y259" s="19"/>
      <c r="Z259" s="20"/>
      <c r="AA259" s="20"/>
      <c r="AB259" s="20"/>
      <c r="AC259" s="20"/>
      <c r="AD259" s="20"/>
      <c r="AE259" s="20"/>
      <c r="AF259" s="20"/>
      <c r="AG259" s="19"/>
    </row>
    <row r="260" customFormat="false" ht="15" hidden="false" customHeight="false" outlineLevel="0" collapsed="false">
      <c r="A260" s="20"/>
      <c r="B260" s="19"/>
      <c r="C260" s="20"/>
      <c r="D260" s="20"/>
      <c r="E260" s="20"/>
      <c r="F260" s="20"/>
      <c r="G260" s="20"/>
      <c r="H260" s="20"/>
      <c r="I260" s="20"/>
      <c r="J260" s="20"/>
      <c r="K260" s="20"/>
      <c r="L260" s="23"/>
      <c r="M260" s="23"/>
      <c r="N260" s="23"/>
      <c r="O260" s="23"/>
      <c r="P260" s="22" t="str">
        <f aca="false">IFERROR(N260/O260,"")</f>
        <v/>
      </c>
      <c r="Q260" s="20"/>
      <c r="R260" s="20"/>
      <c r="S260" s="20"/>
      <c r="T260" s="20"/>
      <c r="U260" s="20"/>
      <c r="V260" s="19"/>
      <c r="W260" s="19"/>
      <c r="X260" s="20"/>
      <c r="Y260" s="19"/>
      <c r="Z260" s="20"/>
      <c r="AA260" s="20"/>
      <c r="AB260" s="20"/>
      <c r="AC260" s="20"/>
      <c r="AD260" s="20"/>
      <c r="AE260" s="20"/>
      <c r="AF260" s="20"/>
      <c r="AG260" s="19"/>
    </row>
    <row r="261" customFormat="false" ht="15" hidden="false" customHeight="false" outlineLevel="0" collapsed="false">
      <c r="A261" s="20"/>
      <c r="B261" s="19"/>
      <c r="C261" s="20"/>
      <c r="D261" s="20"/>
      <c r="E261" s="20"/>
      <c r="F261" s="20"/>
      <c r="G261" s="20"/>
      <c r="H261" s="20"/>
      <c r="I261" s="20"/>
      <c r="J261" s="20"/>
      <c r="K261" s="20"/>
      <c r="L261" s="23"/>
      <c r="M261" s="23"/>
      <c r="N261" s="23"/>
      <c r="O261" s="23"/>
      <c r="P261" s="22" t="str">
        <f aca="false">IFERROR(N261/O261,"")</f>
        <v/>
      </c>
      <c r="Q261" s="20"/>
      <c r="R261" s="20"/>
      <c r="S261" s="20"/>
      <c r="T261" s="20"/>
      <c r="U261" s="20"/>
      <c r="V261" s="19"/>
      <c r="W261" s="19"/>
      <c r="X261" s="20"/>
      <c r="Y261" s="19"/>
      <c r="Z261" s="20"/>
      <c r="AA261" s="20"/>
      <c r="AB261" s="20"/>
      <c r="AC261" s="20"/>
      <c r="AD261" s="20"/>
      <c r="AE261" s="20"/>
      <c r="AF261" s="20"/>
      <c r="AG261" s="19"/>
    </row>
    <row r="262" customFormat="false" ht="15" hidden="false" customHeight="false" outlineLevel="0" collapsed="false">
      <c r="A262" s="20"/>
      <c r="B262" s="19"/>
      <c r="C262" s="20"/>
      <c r="D262" s="20"/>
      <c r="E262" s="20"/>
      <c r="F262" s="20"/>
      <c r="G262" s="20"/>
      <c r="H262" s="20"/>
      <c r="I262" s="20"/>
      <c r="J262" s="20"/>
      <c r="K262" s="20"/>
      <c r="L262" s="23"/>
      <c r="M262" s="23"/>
      <c r="N262" s="23"/>
      <c r="O262" s="23"/>
      <c r="P262" s="22" t="str">
        <f aca="false">IFERROR(N262/O262,"")</f>
        <v/>
      </c>
      <c r="Q262" s="20"/>
      <c r="R262" s="20"/>
      <c r="S262" s="20"/>
      <c r="T262" s="20"/>
      <c r="U262" s="20"/>
      <c r="V262" s="19"/>
      <c r="W262" s="19"/>
      <c r="X262" s="20"/>
      <c r="Y262" s="19"/>
      <c r="Z262" s="20"/>
      <c r="AA262" s="20"/>
      <c r="AB262" s="20"/>
      <c r="AC262" s="20"/>
      <c r="AD262" s="20"/>
      <c r="AE262" s="20"/>
      <c r="AF262" s="20"/>
      <c r="AG262" s="19"/>
    </row>
    <row r="263" customFormat="false" ht="15" hidden="false" customHeight="false" outlineLevel="0" collapsed="false">
      <c r="A263" s="20"/>
      <c r="B263" s="19"/>
      <c r="C263" s="20"/>
      <c r="D263" s="20"/>
      <c r="E263" s="20"/>
      <c r="F263" s="20"/>
      <c r="G263" s="20"/>
      <c r="H263" s="20"/>
      <c r="I263" s="20"/>
      <c r="J263" s="20"/>
      <c r="K263" s="20"/>
      <c r="L263" s="23"/>
      <c r="M263" s="23"/>
      <c r="N263" s="23"/>
      <c r="O263" s="23"/>
      <c r="P263" s="22" t="str">
        <f aca="false">IFERROR(N263/O263,"")</f>
        <v/>
      </c>
      <c r="Q263" s="20"/>
      <c r="R263" s="20"/>
      <c r="S263" s="20"/>
      <c r="T263" s="20"/>
      <c r="U263" s="20"/>
      <c r="V263" s="19"/>
      <c r="W263" s="19"/>
      <c r="X263" s="20"/>
      <c r="Y263" s="19"/>
      <c r="Z263" s="20"/>
      <c r="AA263" s="20"/>
      <c r="AB263" s="20"/>
      <c r="AC263" s="20"/>
      <c r="AD263" s="20"/>
      <c r="AE263" s="20"/>
      <c r="AF263" s="20"/>
      <c r="AG263" s="19"/>
    </row>
    <row r="264" customFormat="false" ht="15" hidden="false" customHeight="false" outlineLevel="0" collapsed="false">
      <c r="A264" s="20"/>
      <c r="B264" s="19"/>
      <c r="C264" s="20"/>
      <c r="D264" s="20"/>
      <c r="E264" s="20"/>
      <c r="F264" s="20"/>
      <c r="G264" s="20"/>
      <c r="H264" s="20"/>
      <c r="I264" s="20"/>
      <c r="J264" s="20"/>
      <c r="K264" s="20"/>
      <c r="L264" s="23"/>
      <c r="M264" s="23"/>
      <c r="N264" s="23"/>
      <c r="O264" s="23"/>
      <c r="P264" s="22" t="str">
        <f aca="false">IFERROR(N264/O264,"")</f>
        <v/>
      </c>
      <c r="Q264" s="20"/>
      <c r="R264" s="20"/>
      <c r="S264" s="20"/>
      <c r="T264" s="20"/>
      <c r="U264" s="20"/>
      <c r="V264" s="19"/>
      <c r="W264" s="19"/>
      <c r="X264" s="20"/>
      <c r="Y264" s="19"/>
      <c r="Z264" s="20"/>
      <c r="AA264" s="20"/>
      <c r="AB264" s="20"/>
      <c r="AC264" s="20"/>
      <c r="AD264" s="20"/>
      <c r="AE264" s="20"/>
      <c r="AF264" s="20"/>
      <c r="AG264" s="19"/>
    </row>
    <row r="265" customFormat="false" ht="15" hidden="false" customHeight="false" outlineLevel="0" collapsed="false">
      <c r="A265" s="20"/>
      <c r="B265" s="19"/>
      <c r="C265" s="20"/>
      <c r="D265" s="20"/>
      <c r="E265" s="20"/>
      <c r="F265" s="20"/>
      <c r="G265" s="20"/>
      <c r="H265" s="20"/>
      <c r="I265" s="20"/>
      <c r="J265" s="20"/>
      <c r="K265" s="20"/>
      <c r="L265" s="23"/>
      <c r="M265" s="23"/>
      <c r="N265" s="23"/>
      <c r="O265" s="23"/>
      <c r="P265" s="22" t="str">
        <f aca="false">IFERROR(N265/O265,"")</f>
        <v/>
      </c>
      <c r="Q265" s="20"/>
      <c r="R265" s="20"/>
      <c r="S265" s="20"/>
      <c r="T265" s="20"/>
      <c r="U265" s="20"/>
      <c r="V265" s="19"/>
      <c r="W265" s="19"/>
      <c r="X265" s="20"/>
      <c r="Y265" s="19"/>
      <c r="Z265" s="20"/>
      <c r="AA265" s="20"/>
      <c r="AB265" s="20"/>
      <c r="AC265" s="20"/>
      <c r="AD265" s="20"/>
      <c r="AE265" s="20"/>
      <c r="AF265" s="20"/>
      <c r="AG265" s="19"/>
    </row>
    <row r="266" customFormat="false" ht="15" hidden="false" customHeight="false" outlineLevel="0" collapsed="false">
      <c r="A266" s="20"/>
      <c r="B266" s="19"/>
      <c r="C266" s="20"/>
      <c r="D266" s="20"/>
      <c r="E266" s="20"/>
      <c r="F266" s="20"/>
      <c r="G266" s="20"/>
      <c r="H266" s="20"/>
      <c r="I266" s="20"/>
      <c r="J266" s="20"/>
      <c r="K266" s="20"/>
      <c r="L266" s="23"/>
      <c r="M266" s="23"/>
      <c r="N266" s="23"/>
      <c r="O266" s="23"/>
      <c r="P266" s="22" t="str">
        <f aca="false">IFERROR(N266/O266,"")</f>
        <v/>
      </c>
      <c r="Q266" s="20"/>
      <c r="R266" s="20"/>
      <c r="S266" s="20"/>
      <c r="T266" s="20"/>
      <c r="U266" s="20"/>
      <c r="V266" s="19"/>
      <c r="W266" s="19"/>
      <c r="X266" s="20"/>
      <c r="Y266" s="19"/>
      <c r="Z266" s="20"/>
      <c r="AA266" s="20"/>
      <c r="AB266" s="20"/>
      <c r="AC266" s="20"/>
      <c r="AD266" s="20"/>
      <c r="AE266" s="20"/>
      <c r="AF266" s="20"/>
      <c r="AG266" s="19"/>
    </row>
    <row r="267" customFormat="false" ht="15" hidden="false" customHeight="false" outlineLevel="0" collapsed="false">
      <c r="A267" s="20"/>
      <c r="B267" s="19"/>
      <c r="C267" s="20"/>
      <c r="D267" s="20"/>
      <c r="E267" s="20"/>
      <c r="F267" s="20"/>
      <c r="G267" s="20"/>
      <c r="H267" s="20"/>
      <c r="I267" s="20"/>
      <c r="J267" s="20"/>
      <c r="K267" s="20"/>
      <c r="L267" s="23"/>
      <c r="M267" s="23"/>
      <c r="N267" s="23"/>
      <c r="O267" s="23"/>
      <c r="P267" s="22" t="str">
        <f aca="false">IFERROR(N267/O267,"")</f>
        <v/>
      </c>
      <c r="Q267" s="20"/>
      <c r="R267" s="20"/>
      <c r="S267" s="20"/>
      <c r="T267" s="20"/>
      <c r="U267" s="20"/>
      <c r="V267" s="19"/>
      <c r="W267" s="19"/>
      <c r="X267" s="20"/>
      <c r="Y267" s="19"/>
      <c r="Z267" s="20"/>
      <c r="AA267" s="20"/>
      <c r="AB267" s="20"/>
      <c r="AC267" s="20"/>
      <c r="AD267" s="20"/>
      <c r="AE267" s="20"/>
      <c r="AF267" s="20"/>
      <c r="AG267" s="19"/>
    </row>
    <row r="268" customFormat="false" ht="15" hidden="false" customHeight="false" outlineLevel="0" collapsed="false">
      <c r="A268" s="20"/>
      <c r="B268" s="19"/>
      <c r="C268" s="20"/>
      <c r="D268" s="20"/>
      <c r="E268" s="20"/>
      <c r="F268" s="20"/>
      <c r="G268" s="20"/>
      <c r="H268" s="20"/>
      <c r="I268" s="20"/>
      <c r="J268" s="20"/>
      <c r="K268" s="20"/>
      <c r="L268" s="23"/>
      <c r="M268" s="23"/>
      <c r="N268" s="23"/>
      <c r="O268" s="23"/>
      <c r="P268" s="22" t="str">
        <f aca="false">IFERROR(N268/O268,"")</f>
        <v/>
      </c>
      <c r="Q268" s="20"/>
      <c r="R268" s="20"/>
      <c r="S268" s="20"/>
      <c r="T268" s="20"/>
      <c r="U268" s="20"/>
      <c r="V268" s="19"/>
      <c r="W268" s="19"/>
      <c r="X268" s="20"/>
      <c r="Y268" s="19"/>
      <c r="Z268" s="20"/>
      <c r="AA268" s="20"/>
      <c r="AB268" s="20"/>
      <c r="AC268" s="20"/>
      <c r="AD268" s="20"/>
      <c r="AE268" s="20"/>
      <c r="AF268" s="20"/>
      <c r="AG268" s="19"/>
    </row>
    <row r="269" customFormat="false" ht="15" hidden="false" customHeight="false" outlineLevel="0" collapsed="false">
      <c r="A269" s="20"/>
      <c r="B269" s="19"/>
      <c r="C269" s="20"/>
      <c r="D269" s="20"/>
      <c r="E269" s="20"/>
      <c r="F269" s="20"/>
      <c r="G269" s="20"/>
      <c r="H269" s="20"/>
      <c r="I269" s="20"/>
      <c r="J269" s="20"/>
      <c r="K269" s="20"/>
      <c r="L269" s="23"/>
      <c r="M269" s="23"/>
      <c r="N269" s="23"/>
      <c r="O269" s="23"/>
      <c r="P269" s="22" t="str">
        <f aca="false">IFERROR(N269/O269,"")</f>
        <v/>
      </c>
      <c r="Q269" s="20"/>
      <c r="R269" s="20"/>
      <c r="S269" s="20"/>
      <c r="T269" s="20"/>
      <c r="U269" s="20"/>
      <c r="V269" s="19"/>
      <c r="W269" s="19"/>
      <c r="X269" s="20"/>
      <c r="Y269" s="19"/>
      <c r="Z269" s="20"/>
      <c r="AA269" s="20"/>
      <c r="AB269" s="20"/>
      <c r="AC269" s="20"/>
      <c r="AD269" s="20"/>
      <c r="AE269" s="20"/>
      <c r="AF269" s="20"/>
      <c r="AG269" s="19"/>
    </row>
    <row r="270" customFormat="false" ht="15" hidden="false" customHeight="false" outlineLevel="0" collapsed="false">
      <c r="A270" s="20"/>
      <c r="B270" s="19"/>
      <c r="C270" s="20"/>
      <c r="D270" s="20"/>
      <c r="E270" s="20"/>
      <c r="F270" s="20"/>
      <c r="G270" s="20"/>
      <c r="H270" s="20"/>
      <c r="I270" s="20"/>
      <c r="J270" s="20"/>
      <c r="K270" s="20"/>
      <c r="L270" s="23"/>
      <c r="M270" s="23"/>
      <c r="N270" s="23"/>
      <c r="O270" s="23"/>
      <c r="P270" s="22" t="str">
        <f aca="false">IFERROR(N270/O270,"")</f>
        <v/>
      </c>
      <c r="Q270" s="20"/>
      <c r="R270" s="20"/>
      <c r="S270" s="20"/>
      <c r="T270" s="20"/>
      <c r="U270" s="20"/>
      <c r="V270" s="19"/>
      <c r="W270" s="19"/>
      <c r="X270" s="20"/>
      <c r="Y270" s="19"/>
      <c r="Z270" s="20"/>
      <c r="AA270" s="20"/>
      <c r="AB270" s="20"/>
      <c r="AC270" s="20"/>
      <c r="AD270" s="20"/>
      <c r="AE270" s="20"/>
      <c r="AF270" s="20"/>
      <c r="AG270" s="19"/>
    </row>
    <row r="271" customFormat="false" ht="15" hidden="false" customHeight="false" outlineLevel="0" collapsed="false">
      <c r="A271" s="20"/>
      <c r="B271" s="19"/>
      <c r="C271" s="20"/>
      <c r="D271" s="20"/>
      <c r="E271" s="20"/>
      <c r="F271" s="20"/>
      <c r="G271" s="20"/>
      <c r="H271" s="20"/>
      <c r="I271" s="20"/>
      <c r="J271" s="20"/>
      <c r="K271" s="20"/>
      <c r="L271" s="23"/>
      <c r="M271" s="23"/>
      <c r="N271" s="23"/>
      <c r="O271" s="23"/>
      <c r="P271" s="22" t="str">
        <f aca="false">IFERROR(N271/O271,"")</f>
        <v/>
      </c>
      <c r="Q271" s="20"/>
      <c r="R271" s="20"/>
      <c r="S271" s="20"/>
      <c r="T271" s="20"/>
      <c r="U271" s="20"/>
      <c r="V271" s="19"/>
      <c r="W271" s="19"/>
      <c r="X271" s="20"/>
      <c r="Y271" s="19"/>
      <c r="Z271" s="20"/>
      <c r="AA271" s="20"/>
      <c r="AB271" s="20"/>
      <c r="AC271" s="20"/>
      <c r="AD271" s="20"/>
      <c r="AE271" s="20"/>
      <c r="AF271" s="20"/>
      <c r="AG271" s="19"/>
    </row>
    <row r="272" customFormat="false" ht="15" hidden="false" customHeight="false" outlineLevel="0" collapsed="false">
      <c r="A272" s="20"/>
      <c r="B272" s="19"/>
      <c r="C272" s="20"/>
      <c r="D272" s="20"/>
      <c r="E272" s="20"/>
      <c r="F272" s="20"/>
      <c r="G272" s="20"/>
      <c r="H272" s="20"/>
      <c r="I272" s="20"/>
      <c r="J272" s="20"/>
      <c r="K272" s="20"/>
      <c r="L272" s="23"/>
      <c r="M272" s="23"/>
      <c r="N272" s="23"/>
      <c r="O272" s="23"/>
      <c r="P272" s="22" t="str">
        <f aca="false">IFERROR(N272/O272,"")</f>
        <v/>
      </c>
      <c r="Q272" s="20"/>
      <c r="R272" s="20"/>
      <c r="S272" s="20"/>
      <c r="T272" s="20"/>
      <c r="U272" s="20"/>
      <c r="V272" s="19"/>
      <c r="W272" s="19"/>
      <c r="X272" s="20"/>
      <c r="Y272" s="19"/>
      <c r="Z272" s="20"/>
      <c r="AA272" s="20"/>
      <c r="AB272" s="20"/>
      <c r="AC272" s="20"/>
      <c r="AD272" s="20"/>
      <c r="AE272" s="20"/>
      <c r="AF272" s="20"/>
      <c r="AG272" s="19"/>
    </row>
    <row r="273" customFormat="false" ht="15" hidden="false" customHeight="false" outlineLevel="0" collapsed="false">
      <c r="A273" s="20"/>
      <c r="B273" s="19"/>
      <c r="C273" s="20"/>
      <c r="D273" s="20"/>
      <c r="E273" s="20"/>
      <c r="F273" s="20"/>
      <c r="G273" s="20"/>
      <c r="H273" s="20"/>
      <c r="I273" s="20"/>
      <c r="J273" s="20"/>
      <c r="K273" s="20"/>
      <c r="L273" s="23"/>
      <c r="M273" s="23"/>
      <c r="N273" s="23"/>
      <c r="O273" s="23"/>
      <c r="P273" s="22" t="str">
        <f aca="false">IFERROR(N273/O273,"")</f>
        <v/>
      </c>
      <c r="Q273" s="20"/>
      <c r="R273" s="20"/>
      <c r="S273" s="20"/>
      <c r="T273" s="20"/>
      <c r="U273" s="20"/>
      <c r="V273" s="19"/>
      <c r="W273" s="19"/>
      <c r="X273" s="20"/>
      <c r="Y273" s="19"/>
      <c r="Z273" s="20"/>
      <c r="AA273" s="20"/>
      <c r="AB273" s="20"/>
      <c r="AC273" s="20"/>
      <c r="AD273" s="20"/>
      <c r="AE273" s="20"/>
      <c r="AF273" s="20"/>
      <c r="AG273" s="19"/>
    </row>
    <row r="274" customFormat="false" ht="15" hidden="false" customHeight="false" outlineLevel="0" collapsed="false">
      <c r="A274" s="20"/>
      <c r="B274" s="19"/>
      <c r="C274" s="20"/>
      <c r="D274" s="20"/>
      <c r="E274" s="20"/>
      <c r="F274" s="20"/>
      <c r="G274" s="20"/>
      <c r="H274" s="20"/>
      <c r="I274" s="20"/>
      <c r="J274" s="20"/>
      <c r="K274" s="20"/>
      <c r="L274" s="23"/>
      <c r="M274" s="23"/>
      <c r="N274" s="23"/>
      <c r="O274" s="23"/>
      <c r="P274" s="22" t="str">
        <f aca="false">IFERROR(N274/O274,"")</f>
        <v/>
      </c>
      <c r="Q274" s="20"/>
      <c r="R274" s="20"/>
      <c r="S274" s="20"/>
      <c r="T274" s="20"/>
      <c r="U274" s="20"/>
      <c r="V274" s="19"/>
      <c r="W274" s="19"/>
      <c r="X274" s="20"/>
      <c r="Y274" s="19"/>
      <c r="Z274" s="20"/>
      <c r="AA274" s="20"/>
      <c r="AB274" s="20"/>
      <c r="AC274" s="20"/>
      <c r="AD274" s="20"/>
      <c r="AE274" s="20"/>
      <c r="AF274" s="20"/>
      <c r="AG274" s="19"/>
    </row>
    <row r="275" customFormat="false" ht="15" hidden="false" customHeight="false" outlineLevel="0" collapsed="false">
      <c r="A275" s="20"/>
      <c r="B275" s="19"/>
      <c r="C275" s="20"/>
      <c r="D275" s="20"/>
      <c r="E275" s="20"/>
      <c r="F275" s="20"/>
      <c r="G275" s="20"/>
      <c r="H275" s="20"/>
      <c r="I275" s="20"/>
      <c r="J275" s="20"/>
      <c r="K275" s="20"/>
      <c r="L275" s="23"/>
      <c r="M275" s="23"/>
      <c r="N275" s="23"/>
      <c r="O275" s="23"/>
      <c r="P275" s="22" t="str">
        <f aca="false">IFERROR(N275/O275,"")</f>
        <v/>
      </c>
      <c r="Q275" s="20"/>
      <c r="R275" s="20"/>
      <c r="S275" s="20"/>
      <c r="T275" s="20"/>
      <c r="U275" s="20"/>
      <c r="V275" s="19"/>
      <c r="W275" s="19"/>
      <c r="X275" s="20"/>
      <c r="Y275" s="19"/>
      <c r="Z275" s="20"/>
      <c r="AA275" s="20"/>
      <c r="AB275" s="20"/>
      <c r="AC275" s="20"/>
      <c r="AD275" s="20"/>
      <c r="AE275" s="20"/>
      <c r="AF275" s="20"/>
      <c r="AG275" s="19"/>
    </row>
    <row r="276" customFormat="false" ht="15" hidden="false" customHeight="false" outlineLevel="0" collapsed="false">
      <c r="A276" s="20"/>
      <c r="B276" s="19"/>
      <c r="C276" s="20"/>
      <c r="D276" s="20"/>
      <c r="E276" s="20"/>
      <c r="F276" s="20"/>
      <c r="G276" s="20"/>
      <c r="H276" s="20"/>
      <c r="I276" s="20"/>
      <c r="J276" s="20"/>
      <c r="K276" s="20"/>
      <c r="L276" s="23"/>
      <c r="M276" s="23"/>
      <c r="N276" s="23"/>
      <c r="O276" s="23"/>
      <c r="P276" s="22" t="str">
        <f aca="false">IFERROR(N276/O276,"")</f>
        <v/>
      </c>
      <c r="Q276" s="20"/>
      <c r="R276" s="20"/>
      <c r="S276" s="20"/>
      <c r="T276" s="20"/>
      <c r="U276" s="20"/>
      <c r="V276" s="19"/>
      <c r="W276" s="19"/>
      <c r="X276" s="20"/>
      <c r="Y276" s="19"/>
      <c r="Z276" s="20"/>
      <c r="AA276" s="20"/>
      <c r="AB276" s="20"/>
      <c r="AC276" s="20"/>
      <c r="AD276" s="20"/>
      <c r="AE276" s="20"/>
      <c r="AF276" s="20"/>
      <c r="AG276" s="19"/>
    </row>
    <row r="277" customFormat="false" ht="15" hidden="false" customHeight="false" outlineLevel="0" collapsed="false">
      <c r="A277" s="20"/>
      <c r="B277" s="19"/>
      <c r="C277" s="20"/>
      <c r="D277" s="20"/>
      <c r="E277" s="20"/>
      <c r="F277" s="20"/>
      <c r="G277" s="20"/>
      <c r="H277" s="20"/>
      <c r="I277" s="20"/>
      <c r="J277" s="20"/>
      <c r="K277" s="20"/>
      <c r="L277" s="23"/>
      <c r="M277" s="23"/>
      <c r="N277" s="23"/>
      <c r="O277" s="23"/>
      <c r="P277" s="22" t="str">
        <f aca="false">IFERROR(N277/O277,"")</f>
        <v/>
      </c>
      <c r="Q277" s="20"/>
      <c r="R277" s="20"/>
      <c r="S277" s="20"/>
      <c r="T277" s="20"/>
      <c r="U277" s="20"/>
      <c r="V277" s="19"/>
      <c r="W277" s="19"/>
      <c r="X277" s="20"/>
      <c r="Y277" s="19"/>
      <c r="Z277" s="20"/>
      <c r="AA277" s="20"/>
      <c r="AB277" s="20"/>
      <c r="AC277" s="20"/>
      <c r="AD277" s="20"/>
      <c r="AE277" s="20"/>
      <c r="AF277" s="20"/>
      <c r="AG277" s="19"/>
    </row>
    <row r="278" customFormat="false" ht="15" hidden="false" customHeight="false" outlineLevel="0" collapsed="false">
      <c r="A278" s="20"/>
      <c r="B278" s="19"/>
      <c r="C278" s="20"/>
      <c r="D278" s="20"/>
      <c r="E278" s="20"/>
      <c r="F278" s="20"/>
      <c r="G278" s="20"/>
      <c r="H278" s="20"/>
      <c r="I278" s="20"/>
      <c r="J278" s="20"/>
      <c r="K278" s="20"/>
      <c r="L278" s="23"/>
      <c r="M278" s="23"/>
      <c r="N278" s="23"/>
      <c r="O278" s="23"/>
      <c r="P278" s="22" t="str">
        <f aca="false">IFERROR(N278/O278,"")</f>
        <v/>
      </c>
      <c r="Q278" s="20"/>
      <c r="R278" s="20"/>
      <c r="S278" s="20"/>
      <c r="T278" s="20"/>
      <c r="U278" s="20"/>
      <c r="V278" s="19"/>
      <c r="W278" s="19"/>
      <c r="X278" s="20"/>
      <c r="Y278" s="19"/>
      <c r="Z278" s="20"/>
      <c r="AA278" s="20"/>
      <c r="AB278" s="20"/>
      <c r="AC278" s="20"/>
      <c r="AD278" s="20"/>
      <c r="AE278" s="20"/>
      <c r="AF278" s="20"/>
      <c r="AG278" s="19"/>
    </row>
    <row r="279" customFormat="false" ht="15" hidden="false" customHeight="false" outlineLevel="0" collapsed="false">
      <c r="A279" s="20"/>
      <c r="B279" s="19"/>
      <c r="C279" s="20"/>
      <c r="D279" s="20"/>
      <c r="E279" s="20"/>
      <c r="F279" s="20"/>
      <c r="G279" s="20"/>
      <c r="H279" s="20"/>
      <c r="I279" s="20"/>
      <c r="J279" s="20"/>
      <c r="K279" s="20"/>
      <c r="L279" s="23"/>
      <c r="M279" s="23"/>
      <c r="N279" s="23"/>
      <c r="O279" s="23"/>
      <c r="P279" s="22" t="str">
        <f aca="false">IFERROR(N279/O279,"")</f>
        <v/>
      </c>
      <c r="Q279" s="20"/>
      <c r="R279" s="20"/>
      <c r="S279" s="20"/>
      <c r="T279" s="20"/>
      <c r="U279" s="20"/>
      <c r="V279" s="19"/>
      <c r="W279" s="19"/>
      <c r="X279" s="20"/>
      <c r="Y279" s="19"/>
      <c r="Z279" s="20"/>
      <c r="AA279" s="20"/>
      <c r="AB279" s="20"/>
      <c r="AC279" s="20"/>
      <c r="AD279" s="20"/>
      <c r="AE279" s="20"/>
      <c r="AF279" s="20"/>
      <c r="AG279" s="19"/>
    </row>
    <row r="280" customFormat="false" ht="15" hidden="false" customHeight="false" outlineLevel="0" collapsed="false">
      <c r="A280" s="20"/>
      <c r="B280" s="19"/>
      <c r="C280" s="20"/>
      <c r="D280" s="20"/>
      <c r="E280" s="20"/>
      <c r="F280" s="20"/>
      <c r="G280" s="20"/>
      <c r="H280" s="20"/>
      <c r="I280" s="20"/>
      <c r="J280" s="20"/>
      <c r="K280" s="20"/>
      <c r="L280" s="23"/>
      <c r="M280" s="23"/>
      <c r="N280" s="23"/>
      <c r="O280" s="23"/>
      <c r="P280" s="22" t="str">
        <f aca="false">IFERROR(N280/O280,"")</f>
        <v/>
      </c>
      <c r="Q280" s="20"/>
      <c r="R280" s="20"/>
      <c r="S280" s="20"/>
      <c r="T280" s="20"/>
      <c r="U280" s="20"/>
      <c r="V280" s="19"/>
      <c r="W280" s="19"/>
      <c r="X280" s="20"/>
      <c r="Y280" s="19"/>
      <c r="Z280" s="20"/>
      <c r="AA280" s="20"/>
      <c r="AB280" s="20"/>
      <c r="AC280" s="20"/>
      <c r="AD280" s="20"/>
      <c r="AE280" s="20"/>
      <c r="AF280" s="20"/>
      <c r="AG280" s="19"/>
    </row>
    <row r="281" customFormat="false" ht="15" hidden="false" customHeight="false" outlineLevel="0" collapsed="false">
      <c r="A281" s="20"/>
      <c r="B281" s="19"/>
      <c r="C281" s="20"/>
      <c r="D281" s="20"/>
      <c r="E281" s="20"/>
      <c r="F281" s="20"/>
      <c r="G281" s="20"/>
      <c r="H281" s="20"/>
      <c r="I281" s="20"/>
      <c r="J281" s="20"/>
      <c r="K281" s="20"/>
      <c r="L281" s="23"/>
      <c r="M281" s="23"/>
      <c r="N281" s="23"/>
      <c r="O281" s="23"/>
      <c r="P281" s="22" t="str">
        <f aca="false">IFERROR(N281/O281,"")</f>
        <v/>
      </c>
      <c r="Q281" s="20"/>
      <c r="R281" s="20"/>
      <c r="S281" s="20"/>
      <c r="T281" s="20"/>
      <c r="U281" s="20"/>
      <c r="V281" s="19"/>
      <c r="W281" s="19"/>
      <c r="X281" s="20"/>
      <c r="Y281" s="19"/>
      <c r="Z281" s="20"/>
      <c r="AA281" s="20"/>
      <c r="AB281" s="20"/>
      <c r="AC281" s="20"/>
      <c r="AD281" s="20"/>
      <c r="AE281" s="20"/>
      <c r="AF281" s="20"/>
      <c r="AG281" s="19"/>
    </row>
    <row r="282" customFormat="false" ht="15" hidden="false" customHeight="false" outlineLevel="0" collapsed="false">
      <c r="A282" s="20"/>
      <c r="B282" s="19"/>
      <c r="C282" s="20"/>
      <c r="D282" s="20"/>
      <c r="E282" s="20"/>
      <c r="F282" s="20"/>
      <c r="G282" s="20"/>
      <c r="H282" s="20"/>
      <c r="I282" s="20"/>
      <c r="J282" s="20"/>
      <c r="K282" s="20"/>
      <c r="L282" s="23"/>
      <c r="M282" s="23"/>
      <c r="N282" s="23"/>
      <c r="O282" s="23"/>
      <c r="P282" s="22" t="str">
        <f aca="false">IFERROR(N282/O282,"")</f>
        <v/>
      </c>
      <c r="Q282" s="20"/>
      <c r="R282" s="20"/>
      <c r="S282" s="20"/>
      <c r="T282" s="20"/>
      <c r="U282" s="20"/>
      <c r="V282" s="19"/>
      <c r="W282" s="19"/>
      <c r="X282" s="20"/>
      <c r="Y282" s="19"/>
      <c r="Z282" s="20"/>
      <c r="AA282" s="20"/>
      <c r="AB282" s="20"/>
      <c r="AC282" s="20"/>
      <c r="AD282" s="20"/>
      <c r="AE282" s="20"/>
      <c r="AF282" s="20"/>
      <c r="AG282" s="19"/>
    </row>
    <row r="283" customFormat="false" ht="15" hidden="false" customHeight="false" outlineLevel="0" collapsed="false">
      <c r="A283" s="20"/>
      <c r="B283" s="19"/>
      <c r="C283" s="20"/>
      <c r="D283" s="20"/>
      <c r="E283" s="20"/>
      <c r="F283" s="20"/>
      <c r="G283" s="20"/>
      <c r="H283" s="20"/>
      <c r="I283" s="20"/>
      <c r="J283" s="20"/>
      <c r="K283" s="20"/>
      <c r="L283" s="23"/>
      <c r="M283" s="23"/>
      <c r="N283" s="23"/>
      <c r="O283" s="23"/>
      <c r="P283" s="22" t="str">
        <f aca="false">IFERROR(N283/O283,"")</f>
        <v/>
      </c>
      <c r="Q283" s="20"/>
      <c r="R283" s="20"/>
      <c r="S283" s="20"/>
      <c r="T283" s="20"/>
      <c r="U283" s="20"/>
      <c r="V283" s="19"/>
      <c r="W283" s="19"/>
      <c r="X283" s="20"/>
      <c r="Y283" s="19"/>
      <c r="Z283" s="20"/>
      <c r="AA283" s="20"/>
      <c r="AB283" s="20"/>
      <c r="AC283" s="20"/>
      <c r="AD283" s="20"/>
      <c r="AE283" s="20"/>
      <c r="AF283" s="20"/>
      <c r="AG283" s="19"/>
    </row>
    <row r="284" customFormat="false" ht="15" hidden="false" customHeight="false" outlineLevel="0" collapsed="false">
      <c r="A284" s="20"/>
      <c r="B284" s="19"/>
      <c r="C284" s="20"/>
      <c r="D284" s="20"/>
      <c r="E284" s="20"/>
      <c r="F284" s="20"/>
      <c r="G284" s="20"/>
      <c r="H284" s="20"/>
      <c r="I284" s="20"/>
      <c r="J284" s="20"/>
      <c r="K284" s="20"/>
      <c r="L284" s="23"/>
      <c r="M284" s="23"/>
      <c r="N284" s="23"/>
      <c r="O284" s="23"/>
      <c r="P284" s="22" t="str">
        <f aca="false">IFERROR(N284/O284,"")</f>
        <v/>
      </c>
      <c r="Q284" s="20"/>
      <c r="R284" s="20"/>
      <c r="S284" s="20"/>
      <c r="T284" s="20"/>
      <c r="U284" s="20"/>
      <c r="V284" s="19"/>
      <c r="W284" s="19"/>
      <c r="X284" s="20"/>
      <c r="Y284" s="19"/>
      <c r="Z284" s="20"/>
      <c r="AA284" s="20"/>
      <c r="AB284" s="20"/>
      <c r="AC284" s="20"/>
      <c r="AD284" s="20"/>
      <c r="AE284" s="20"/>
      <c r="AF284" s="20"/>
      <c r="AG284" s="19"/>
    </row>
    <row r="285" customFormat="false" ht="15" hidden="false" customHeight="false" outlineLevel="0" collapsed="false">
      <c r="A285" s="20"/>
      <c r="B285" s="19"/>
      <c r="C285" s="20"/>
      <c r="D285" s="20"/>
      <c r="E285" s="20"/>
      <c r="F285" s="20"/>
      <c r="G285" s="20"/>
      <c r="H285" s="20"/>
      <c r="I285" s="20"/>
      <c r="J285" s="20"/>
      <c r="K285" s="20"/>
      <c r="L285" s="23"/>
      <c r="M285" s="23"/>
      <c r="N285" s="23"/>
      <c r="O285" s="23"/>
      <c r="P285" s="22" t="str">
        <f aca="false">IFERROR(N285/O285,"")</f>
        <v/>
      </c>
      <c r="Q285" s="20"/>
      <c r="R285" s="20"/>
      <c r="S285" s="20"/>
      <c r="T285" s="20"/>
      <c r="U285" s="20"/>
      <c r="V285" s="19"/>
      <c r="W285" s="19"/>
      <c r="X285" s="20"/>
      <c r="Y285" s="19"/>
      <c r="Z285" s="20"/>
      <c r="AA285" s="20"/>
      <c r="AB285" s="20"/>
      <c r="AC285" s="20"/>
      <c r="AD285" s="20"/>
      <c r="AE285" s="20"/>
      <c r="AF285" s="20"/>
      <c r="AG285" s="19"/>
    </row>
    <row r="286" customFormat="false" ht="15" hidden="false" customHeight="false" outlineLevel="0" collapsed="false">
      <c r="A286" s="20"/>
      <c r="B286" s="19"/>
      <c r="C286" s="20"/>
      <c r="D286" s="20"/>
      <c r="E286" s="20"/>
      <c r="F286" s="20"/>
      <c r="G286" s="20"/>
      <c r="H286" s="20"/>
      <c r="I286" s="20"/>
      <c r="J286" s="20"/>
      <c r="K286" s="20"/>
      <c r="L286" s="23"/>
      <c r="M286" s="23"/>
      <c r="N286" s="23"/>
      <c r="O286" s="23"/>
      <c r="P286" s="22" t="str">
        <f aca="false">IFERROR(N286/O286,"")</f>
        <v/>
      </c>
      <c r="Q286" s="20"/>
      <c r="R286" s="20"/>
      <c r="S286" s="20"/>
      <c r="T286" s="20"/>
      <c r="U286" s="20"/>
      <c r="V286" s="19"/>
      <c r="W286" s="19"/>
      <c r="X286" s="20"/>
      <c r="Y286" s="19"/>
      <c r="Z286" s="20"/>
      <c r="AA286" s="20"/>
      <c r="AB286" s="20"/>
      <c r="AC286" s="20"/>
      <c r="AD286" s="20"/>
      <c r="AE286" s="20"/>
      <c r="AF286" s="20"/>
      <c r="AG286" s="19"/>
    </row>
    <row r="287" customFormat="false" ht="15" hidden="false" customHeight="false" outlineLevel="0" collapsed="false">
      <c r="A287" s="20"/>
      <c r="B287" s="19"/>
      <c r="C287" s="20"/>
      <c r="D287" s="20"/>
      <c r="E287" s="20"/>
      <c r="F287" s="20"/>
      <c r="G287" s="20"/>
      <c r="H287" s="20"/>
      <c r="I287" s="20"/>
      <c r="J287" s="20"/>
      <c r="K287" s="20"/>
      <c r="L287" s="23"/>
      <c r="M287" s="23"/>
      <c r="N287" s="23"/>
      <c r="O287" s="23"/>
      <c r="P287" s="22" t="str">
        <f aca="false">IFERROR(N287/O287,"")</f>
        <v/>
      </c>
      <c r="Q287" s="20"/>
      <c r="R287" s="20"/>
      <c r="S287" s="20"/>
      <c r="T287" s="20"/>
      <c r="U287" s="20"/>
      <c r="V287" s="19"/>
      <c r="W287" s="19"/>
      <c r="X287" s="20"/>
      <c r="Y287" s="19"/>
      <c r="Z287" s="20"/>
      <c r="AA287" s="20"/>
      <c r="AB287" s="20"/>
      <c r="AC287" s="20"/>
      <c r="AD287" s="20"/>
      <c r="AE287" s="20"/>
      <c r="AF287" s="20"/>
      <c r="AG287" s="19"/>
    </row>
    <row r="288" customFormat="false" ht="15" hidden="false" customHeight="false" outlineLevel="0" collapsed="false">
      <c r="A288" s="20"/>
      <c r="B288" s="19"/>
      <c r="C288" s="20"/>
      <c r="D288" s="20"/>
      <c r="E288" s="20"/>
      <c r="F288" s="20"/>
      <c r="G288" s="20"/>
      <c r="H288" s="20"/>
      <c r="I288" s="20"/>
      <c r="J288" s="20"/>
      <c r="K288" s="20"/>
      <c r="L288" s="23"/>
      <c r="M288" s="23"/>
      <c r="N288" s="23"/>
      <c r="O288" s="23"/>
      <c r="P288" s="22" t="str">
        <f aca="false">IFERROR(N288/O288,"")</f>
        <v/>
      </c>
      <c r="Q288" s="20"/>
      <c r="R288" s="20"/>
      <c r="S288" s="20"/>
      <c r="T288" s="20"/>
      <c r="U288" s="20"/>
      <c r="V288" s="19"/>
      <c r="W288" s="19"/>
      <c r="X288" s="20"/>
      <c r="Y288" s="19"/>
      <c r="Z288" s="20"/>
      <c r="AA288" s="20"/>
      <c r="AB288" s="20"/>
      <c r="AC288" s="20"/>
      <c r="AD288" s="20"/>
      <c r="AE288" s="20"/>
      <c r="AF288" s="20"/>
      <c r="AG288" s="19"/>
    </row>
    <row r="289" customFormat="false" ht="15" hidden="false" customHeight="false" outlineLevel="0" collapsed="false">
      <c r="A289" s="20"/>
      <c r="B289" s="19"/>
      <c r="C289" s="20"/>
      <c r="D289" s="20"/>
      <c r="E289" s="20"/>
      <c r="F289" s="20"/>
      <c r="G289" s="20"/>
      <c r="H289" s="20"/>
      <c r="I289" s="20"/>
      <c r="J289" s="20"/>
      <c r="K289" s="20"/>
      <c r="L289" s="23"/>
      <c r="M289" s="23"/>
      <c r="N289" s="23"/>
      <c r="O289" s="23"/>
      <c r="P289" s="22" t="str">
        <f aca="false">IFERROR(N289/O289,"")</f>
        <v/>
      </c>
      <c r="Q289" s="20"/>
      <c r="R289" s="20"/>
      <c r="S289" s="20"/>
      <c r="T289" s="20"/>
      <c r="U289" s="20"/>
      <c r="V289" s="19"/>
      <c r="W289" s="19"/>
      <c r="X289" s="20"/>
      <c r="Y289" s="19"/>
      <c r="Z289" s="20"/>
      <c r="AA289" s="20"/>
      <c r="AB289" s="20"/>
      <c r="AC289" s="20"/>
      <c r="AD289" s="20"/>
      <c r="AE289" s="20"/>
      <c r="AF289" s="20"/>
      <c r="AG289" s="19"/>
    </row>
    <row r="290" customFormat="false" ht="15" hidden="false" customHeight="false" outlineLevel="0" collapsed="false">
      <c r="A290" s="20"/>
      <c r="B290" s="19"/>
      <c r="C290" s="20"/>
      <c r="D290" s="20"/>
      <c r="E290" s="20"/>
      <c r="F290" s="20"/>
      <c r="G290" s="20"/>
      <c r="H290" s="20"/>
      <c r="I290" s="20"/>
      <c r="J290" s="20"/>
      <c r="K290" s="20"/>
      <c r="L290" s="23"/>
      <c r="M290" s="23"/>
      <c r="N290" s="23"/>
      <c r="O290" s="23"/>
      <c r="P290" s="22" t="str">
        <f aca="false">IFERROR(N290/O290,"")</f>
        <v/>
      </c>
      <c r="Q290" s="20"/>
      <c r="R290" s="20"/>
      <c r="S290" s="20"/>
      <c r="T290" s="20"/>
      <c r="U290" s="20"/>
      <c r="V290" s="19"/>
      <c r="W290" s="19"/>
      <c r="X290" s="20"/>
      <c r="Y290" s="19"/>
      <c r="Z290" s="20"/>
      <c r="AA290" s="20"/>
      <c r="AB290" s="20"/>
      <c r="AC290" s="20"/>
      <c r="AD290" s="20"/>
      <c r="AE290" s="20"/>
      <c r="AF290" s="20"/>
      <c r="AG290" s="19"/>
    </row>
    <row r="291" customFormat="false" ht="15" hidden="false" customHeight="false" outlineLevel="0" collapsed="false">
      <c r="A291" s="20"/>
      <c r="B291" s="19"/>
      <c r="C291" s="20"/>
      <c r="D291" s="20"/>
      <c r="E291" s="20"/>
      <c r="F291" s="20"/>
      <c r="G291" s="20"/>
      <c r="H291" s="20"/>
      <c r="I291" s="20"/>
      <c r="J291" s="20"/>
      <c r="K291" s="20"/>
      <c r="L291" s="23"/>
      <c r="M291" s="23"/>
      <c r="N291" s="23"/>
      <c r="O291" s="23"/>
      <c r="P291" s="22" t="str">
        <f aca="false">IFERROR(N291/O291,"")</f>
        <v/>
      </c>
      <c r="Q291" s="20"/>
      <c r="R291" s="20"/>
      <c r="S291" s="20"/>
      <c r="T291" s="20"/>
      <c r="U291" s="20"/>
      <c r="V291" s="19"/>
      <c r="W291" s="19"/>
      <c r="X291" s="20"/>
      <c r="Y291" s="19"/>
      <c r="Z291" s="20"/>
      <c r="AA291" s="20"/>
      <c r="AB291" s="20"/>
      <c r="AC291" s="20"/>
      <c r="AD291" s="20"/>
      <c r="AE291" s="20"/>
      <c r="AF291" s="20"/>
      <c r="AG291" s="19"/>
    </row>
    <row r="292" customFormat="false" ht="15" hidden="false" customHeight="false" outlineLevel="0" collapsed="false">
      <c r="A292" s="20"/>
      <c r="B292" s="19"/>
      <c r="C292" s="20"/>
      <c r="D292" s="20"/>
      <c r="E292" s="20"/>
      <c r="F292" s="20"/>
      <c r="G292" s="20"/>
      <c r="H292" s="20"/>
      <c r="I292" s="20"/>
      <c r="J292" s="20"/>
      <c r="K292" s="20"/>
      <c r="L292" s="23"/>
      <c r="M292" s="23"/>
      <c r="N292" s="23"/>
      <c r="O292" s="23"/>
      <c r="P292" s="22" t="str">
        <f aca="false">IFERROR(N292/O292,"")</f>
        <v/>
      </c>
      <c r="Q292" s="20"/>
      <c r="R292" s="20"/>
      <c r="S292" s="20"/>
      <c r="T292" s="20"/>
      <c r="U292" s="20"/>
      <c r="V292" s="19"/>
      <c r="W292" s="19"/>
      <c r="X292" s="20"/>
      <c r="Y292" s="19"/>
      <c r="Z292" s="20"/>
      <c r="AA292" s="20"/>
      <c r="AB292" s="20"/>
      <c r="AC292" s="20"/>
      <c r="AD292" s="20"/>
      <c r="AE292" s="20"/>
      <c r="AF292" s="20"/>
      <c r="AG292" s="19"/>
    </row>
    <row r="293" customFormat="false" ht="15" hidden="false" customHeight="false" outlineLevel="0" collapsed="false">
      <c r="A293" s="20"/>
      <c r="B293" s="19"/>
      <c r="C293" s="20"/>
      <c r="D293" s="20"/>
      <c r="E293" s="20"/>
      <c r="F293" s="20"/>
      <c r="G293" s="20"/>
      <c r="H293" s="20"/>
      <c r="I293" s="20"/>
      <c r="J293" s="20"/>
      <c r="K293" s="20"/>
      <c r="L293" s="23"/>
      <c r="M293" s="23"/>
      <c r="N293" s="23"/>
      <c r="O293" s="23"/>
      <c r="P293" s="22" t="str">
        <f aca="false">IFERROR(N293/O293,"")</f>
        <v/>
      </c>
      <c r="Q293" s="20"/>
      <c r="R293" s="20"/>
      <c r="S293" s="20"/>
      <c r="T293" s="20"/>
      <c r="U293" s="20"/>
      <c r="V293" s="19"/>
      <c r="W293" s="19"/>
      <c r="X293" s="20"/>
      <c r="Y293" s="19"/>
      <c r="Z293" s="20"/>
      <c r="AA293" s="20"/>
      <c r="AB293" s="20"/>
      <c r="AC293" s="20"/>
      <c r="AD293" s="20"/>
      <c r="AE293" s="20"/>
      <c r="AF293" s="20"/>
      <c r="AG293" s="19"/>
    </row>
    <row r="294" customFormat="false" ht="15" hidden="false" customHeight="false" outlineLevel="0" collapsed="false">
      <c r="A294" s="20"/>
      <c r="B294" s="19"/>
      <c r="C294" s="20"/>
      <c r="D294" s="20"/>
      <c r="E294" s="20"/>
      <c r="F294" s="20"/>
      <c r="G294" s="20"/>
      <c r="H294" s="20"/>
      <c r="I294" s="20"/>
      <c r="J294" s="20"/>
      <c r="K294" s="20"/>
      <c r="L294" s="23"/>
      <c r="M294" s="23"/>
      <c r="N294" s="23"/>
      <c r="O294" s="23"/>
      <c r="P294" s="22" t="str">
        <f aca="false">IFERROR(N294/O294,"")</f>
        <v/>
      </c>
      <c r="Q294" s="20"/>
      <c r="R294" s="20"/>
      <c r="S294" s="20"/>
      <c r="T294" s="20"/>
      <c r="U294" s="20"/>
      <c r="V294" s="19"/>
      <c r="W294" s="19"/>
      <c r="X294" s="20"/>
      <c r="Y294" s="19"/>
      <c r="Z294" s="20"/>
      <c r="AA294" s="20"/>
      <c r="AB294" s="20"/>
      <c r="AC294" s="20"/>
      <c r="AD294" s="20"/>
      <c r="AE294" s="20"/>
      <c r="AF294" s="20"/>
      <c r="AG294" s="19"/>
    </row>
    <row r="295" customFormat="false" ht="15" hidden="false" customHeight="false" outlineLevel="0" collapsed="false">
      <c r="A295" s="20"/>
      <c r="B295" s="19"/>
      <c r="C295" s="20"/>
      <c r="D295" s="20"/>
      <c r="E295" s="20"/>
      <c r="F295" s="20"/>
      <c r="G295" s="20"/>
      <c r="H295" s="20"/>
      <c r="I295" s="20"/>
      <c r="J295" s="20"/>
      <c r="K295" s="20"/>
      <c r="L295" s="23"/>
      <c r="M295" s="23"/>
      <c r="N295" s="23"/>
      <c r="O295" s="23"/>
      <c r="P295" s="22" t="str">
        <f aca="false">IFERROR(N295/O295,"")</f>
        <v/>
      </c>
      <c r="Q295" s="20"/>
      <c r="R295" s="20"/>
      <c r="S295" s="20"/>
      <c r="T295" s="20"/>
      <c r="U295" s="20"/>
      <c r="V295" s="19"/>
      <c r="W295" s="19"/>
      <c r="X295" s="20"/>
      <c r="Y295" s="19"/>
      <c r="Z295" s="20"/>
      <c r="AA295" s="20"/>
      <c r="AB295" s="20"/>
      <c r="AC295" s="20"/>
      <c r="AD295" s="20"/>
      <c r="AE295" s="20"/>
      <c r="AF295" s="20"/>
      <c r="AG295" s="19"/>
    </row>
    <row r="296" customFormat="false" ht="15" hidden="false" customHeight="false" outlineLevel="0" collapsed="false">
      <c r="A296" s="20"/>
      <c r="B296" s="19"/>
      <c r="C296" s="20"/>
      <c r="D296" s="20"/>
      <c r="E296" s="20"/>
      <c r="F296" s="20"/>
      <c r="G296" s="20"/>
      <c r="H296" s="20"/>
      <c r="I296" s="20"/>
      <c r="J296" s="20"/>
      <c r="K296" s="20"/>
      <c r="L296" s="23"/>
      <c r="M296" s="23"/>
      <c r="N296" s="23"/>
      <c r="O296" s="23"/>
      <c r="P296" s="22" t="str">
        <f aca="false">IFERROR(N296/O296,"")</f>
        <v/>
      </c>
      <c r="Q296" s="20"/>
      <c r="R296" s="20"/>
      <c r="S296" s="20"/>
      <c r="T296" s="20"/>
      <c r="U296" s="20"/>
      <c r="V296" s="19"/>
      <c r="W296" s="19"/>
      <c r="X296" s="20"/>
      <c r="Y296" s="19"/>
      <c r="Z296" s="20"/>
      <c r="AA296" s="20"/>
      <c r="AB296" s="20"/>
      <c r="AC296" s="20"/>
      <c r="AD296" s="20"/>
      <c r="AE296" s="20"/>
      <c r="AF296" s="20"/>
      <c r="AG296" s="19"/>
    </row>
    <row r="297" customFormat="false" ht="15" hidden="false" customHeight="false" outlineLevel="0" collapsed="false">
      <c r="A297" s="20"/>
      <c r="B297" s="19"/>
      <c r="C297" s="20"/>
      <c r="D297" s="20"/>
      <c r="E297" s="20"/>
      <c r="F297" s="20"/>
      <c r="G297" s="20"/>
      <c r="H297" s="20"/>
      <c r="I297" s="20"/>
      <c r="J297" s="20"/>
      <c r="K297" s="20"/>
      <c r="L297" s="23"/>
      <c r="M297" s="23"/>
      <c r="N297" s="23"/>
      <c r="O297" s="23"/>
      <c r="P297" s="22" t="str">
        <f aca="false">IFERROR(N297/O297,"")</f>
        <v/>
      </c>
      <c r="Q297" s="20"/>
      <c r="R297" s="20"/>
      <c r="S297" s="20"/>
      <c r="T297" s="20"/>
      <c r="U297" s="20"/>
      <c r="V297" s="19"/>
      <c r="W297" s="19"/>
      <c r="X297" s="20"/>
      <c r="Y297" s="19"/>
      <c r="Z297" s="20"/>
      <c r="AA297" s="20"/>
      <c r="AB297" s="20"/>
      <c r="AC297" s="20"/>
      <c r="AD297" s="20"/>
      <c r="AE297" s="20"/>
      <c r="AF297" s="20"/>
      <c r="AG297" s="19"/>
    </row>
    <row r="298" customFormat="false" ht="15" hidden="false" customHeight="false" outlineLevel="0" collapsed="false">
      <c r="A298" s="20"/>
      <c r="B298" s="19"/>
      <c r="C298" s="20"/>
      <c r="D298" s="20"/>
      <c r="E298" s="20"/>
      <c r="F298" s="20"/>
      <c r="G298" s="20"/>
      <c r="H298" s="20"/>
      <c r="I298" s="20"/>
      <c r="J298" s="20"/>
      <c r="K298" s="20"/>
      <c r="L298" s="23"/>
      <c r="M298" s="23"/>
      <c r="N298" s="23"/>
      <c r="O298" s="23"/>
      <c r="P298" s="22" t="str">
        <f aca="false">IFERROR(N298/O298,"")</f>
        <v/>
      </c>
      <c r="Q298" s="20"/>
      <c r="R298" s="20"/>
      <c r="S298" s="20"/>
      <c r="T298" s="20"/>
      <c r="U298" s="20"/>
      <c r="V298" s="19"/>
      <c r="W298" s="19"/>
      <c r="X298" s="20"/>
      <c r="Y298" s="19"/>
      <c r="Z298" s="20"/>
      <c r="AA298" s="20"/>
      <c r="AB298" s="20"/>
      <c r="AC298" s="20"/>
      <c r="AD298" s="20"/>
      <c r="AE298" s="20"/>
      <c r="AF298" s="20"/>
      <c r="AG298" s="19"/>
    </row>
    <row r="299" customFormat="false" ht="15" hidden="false" customHeight="false" outlineLevel="0" collapsed="false">
      <c r="A299" s="20"/>
      <c r="B299" s="19"/>
      <c r="C299" s="20"/>
      <c r="D299" s="20"/>
      <c r="E299" s="20"/>
      <c r="F299" s="20"/>
      <c r="G299" s="20"/>
      <c r="H299" s="20"/>
      <c r="I299" s="20"/>
      <c r="J299" s="20"/>
      <c r="K299" s="20"/>
      <c r="L299" s="23"/>
      <c r="M299" s="23"/>
      <c r="N299" s="23"/>
      <c r="O299" s="23"/>
      <c r="P299" s="22" t="str">
        <f aca="false">IFERROR(N299/O299,"")</f>
        <v/>
      </c>
      <c r="Q299" s="20"/>
      <c r="R299" s="20"/>
      <c r="S299" s="20"/>
      <c r="T299" s="20"/>
      <c r="U299" s="20"/>
      <c r="V299" s="19"/>
      <c r="W299" s="19"/>
      <c r="X299" s="20"/>
      <c r="Y299" s="19"/>
      <c r="Z299" s="20"/>
      <c r="AA299" s="20"/>
      <c r="AB299" s="20"/>
      <c r="AC299" s="20"/>
      <c r="AD299" s="20"/>
      <c r="AE299" s="20"/>
      <c r="AF299" s="20"/>
      <c r="AG299" s="19"/>
    </row>
    <row r="300" customFormat="false" ht="15" hidden="false" customHeight="false" outlineLevel="0" collapsed="false">
      <c r="A300" s="20"/>
      <c r="B300" s="19"/>
      <c r="C300" s="20"/>
      <c r="D300" s="20"/>
      <c r="E300" s="20"/>
      <c r="F300" s="20"/>
      <c r="G300" s="20"/>
      <c r="H300" s="20"/>
      <c r="I300" s="20"/>
      <c r="J300" s="20"/>
      <c r="K300" s="20"/>
      <c r="L300" s="23"/>
      <c r="M300" s="23"/>
      <c r="N300" s="23"/>
      <c r="O300" s="23"/>
      <c r="P300" s="22" t="str">
        <f aca="false">IFERROR(N300/O300,"")</f>
        <v/>
      </c>
      <c r="Q300" s="20"/>
      <c r="R300" s="20"/>
      <c r="S300" s="20"/>
      <c r="T300" s="20"/>
      <c r="U300" s="20"/>
      <c r="V300" s="19"/>
      <c r="W300" s="19"/>
      <c r="X300" s="20"/>
      <c r="Y300" s="19"/>
      <c r="Z300" s="20"/>
      <c r="AA300" s="20"/>
      <c r="AB300" s="20"/>
      <c r="AC300" s="20"/>
      <c r="AD300" s="20"/>
      <c r="AE300" s="20"/>
      <c r="AF300" s="20"/>
      <c r="AG300" s="19"/>
    </row>
  </sheetData>
  <autoFilter ref="A4:AG300"/>
  <conditionalFormatting sqref="X5:X300">
    <cfRule type="cellIs" priority="2" operator="equal" aboveAverage="0" equalAverage="0" bottom="0" percent="0" rank="0" text="" dxfId="6">
      <formula>"Completed"</formula>
    </cfRule>
    <cfRule type="expression" priority="3" aboveAverage="0" equalAverage="0" bottom="0" percent="0" rank="0" text="" dxfId="7">
      <formula>OR(X5="Waiting for Client",X5="Waiting for Developer")</formula>
    </cfRule>
  </conditionalFormatting>
  <conditionalFormatting sqref="Q5:Q300">
    <cfRule type="cellIs" priority="4" operator="equal" aboveAverage="0" equalAverage="0" bottom="0" percent="0" rank="0" text="" dxfId="8">
      <formula>"Critical"</formula>
    </cfRule>
  </conditionalFormatting>
  <conditionalFormatting sqref="W5:W300">
    <cfRule type="expression" priority="5" aboveAverage="0" equalAverage="0" bottom="0" percent="0" rank="0" text="" dxfId="9">
      <formula>AND(W5&lt;&gt;"",W5&lt;TODAY(),X5&lt;&gt;"Completed",X5&lt;&gt;"Monitoring")</formula>
    </cfRule>
  </conditionalFormatting>
  <dataValidations count="9">
    <dataValidation allowBlank="true" errorStyle="stop" operator="between" showDropDown="false" showErrorMessage="false" showInputMessage="false" sqref="X5:X300" type="list">
      <formula1>Lists!$A$2:$A$10</formula1>
      <formula2>0</formula2>
    </dataValidation>
    <dataValidation allowBlank="true" errorStyle="stop" operator="between" showDropDown="false" showErrorMessage="false" showInputMessage="false" sqref="Q5:Q300" type="list">
      <formula1>Lists!$B$2:$B$5</formula1>
      <formula2>0</formula2>
    </dataValidation>
    <dataValidation allowBlank="true" errorStyle="stop" operator="between" showDropDown="false" showErrorMessage="false" showInputMessage="false" sqref="R5:R300" type="list">
      <formula1>Lists!$C$2:$C$4</formula1>
      <formula2>0</formula2>
    </dataValidation>
    <dataValidation allowBlank="true" errorStyle="stop" operator="between" showDropDown="false" showErrorMessage="false" showInputMessage="false" sqref="S5:S300" type="list">
      <formula1>Lists!$D$2:$D$4</formula1>
      <formula2>0</formula2>
    </dataValidation>
    <dataValidation allowBlank="true" errorStyle="stop" operator="between" showDropDown="false" showErrorMessage="false" showInputMessage="false" sqref="I5:I300" type="list">
      <formula1>Lists!$E$2:$E$15</formula1>
      <formula2>0</formula2>
    </dataValidation>
    <dataValidation allowBlank="true" errorStyle="stop" operator="between" showDropDown="false" showErrorMessage="false" showInputMessage="false" sqref="C5:C300" type="list">
      <formula1>Lists!$F$2:$F$12</formula1>
      <formula2>0</formula2>
    </dataValidation>
    <dataValidation allowBlank="true" errorStyle="stop" operator="between" showDropDown="false" showErrorMessage="false" showInputMessage="false" sqref="K5:K300" type="list">
      <formula1>Lists!$G$2:$G$7</formula1>
      <formula2>0</formula2>
    </dataValidation>
    <dataValidation allowBlank="true" errorStyle="stop" operator="between" showDropDown="false" showErrorMessage="false" showInputMessage="false" sqref="G5:G300" type="list">
      <formula1>Lists!$H$2:$H$16</formula1>
      <formula2>0</formula2>
    </dataValidation>
    <dataValidation allowBlank="true" errorStyle="stop" operator="between" showDropDown="false" showErrorMessage="false" showInputMessage="false" sqref="U5:U300" type="list">
      <formula1>Lists!$I$2:$I$7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48"/>
    <col collapsed="false" customWidth="true" hidden="false" outlineLevel="0" max="3" min="3" style="0" width="38"/>
    <col collapsed="false" customWidth="true" hidden="false" outlineLevel="0" max="4" min="4" style="0" width="34"/>
    <col collapsed="false" customWidth="true" hidden="false" outlineLevel="0" max="5" min="5" style="0" width="12"/>
    <col collapsed="false" customWidth="true" hidden="false" outlineLevel="0" max="6" min="6" style="0" width="16"/>
    <col collapsed="false" customWidth="true" hidden="false" outlineLevel="0" max="7" min="7" style="0" width="12"/>
    <col collapsed="false" customWidth="true" hidden="false" outlineLevel="0" max="8" min="8" style="0" width="28"/>
  </cols>
  <sheetData>
    <row r="1" customFormat="false" ht="19.7" hidden="false" customHeight="false" outlineLevel="0" collapsed="false">
      <c r="A1" s="1" t="s">
        <v>327</v>
      </c>
    </row>
    <row r="2" customFormat="false" ht="15" hidden="false" customHeight="false" outlineLevel="0" collapsed="false">
      <c r="A2" s="2" t="s">
        <v>328</v>
      </c>
    </row>
    <row r="4" customFormat="false" ht="31.5" hidden="false" customHeight="true" outlineLevel="0" collapsed="false">
      <c r="A4" s="9" t="s">
        <v>329</v>
      </c>
      <c r="B4" s="9" t="s">
        <v>330</v>
      </c>
      <c r="C4" s="9" t="s">
        <v>331</v>
      </c>
      <c r="D4" s="9" t="s">
        <v>332</v>
      </c>
      <c r="E4" s="9" t="s">
        <v>333</v>
      </c>
      <c r="F4" s="9" t="s">
        <v>33</v>
      </c>
      <c r="G4" s="9" t="s">
        <v>334</v>
      </c>
      <c r="H4" s="9" t="s">
        <v>136</v>
      </c>
    </row>
    <row r="5" customFormat="false" ht="15" hidden="false" customHeight="false" outlineLevel="0" collapsed="false">
      <c r="A5" s="20" t="s">
        <v>335</v>
      </c>
      <c r="B5" s="20" t="s">
        <v>336</v>
      </c>
      <c r="C5" s="20" t="s">
        <v>337</v>
      </c>
      <c r="D5" s="20" t="s">
        <v>338</v>
      </c>
      <c r="E5" s="20" t="s">
        <v>339</v>
      </c>
      <c r="F5" s="20" t="s">
        <v>38</v>
      </c>
      <c r="G5" s="20"/>
      <c r="H5" s="20"/>
    </row>
    <row r="6" customFormat="false" ht="15" hidden="false" customHeight="false" outlineLevel="0" collapsed="false">
      <c r="A6" s="20" t="s">
        <v>340</v>
      </c>
      <c r="B6" s="20" t="s">
        <v>341</v>
      </c>
      <c r="C6" s="20" t="s">
        <v>342</v>
      </c>
      <c r="D6" s="20" t="s">
        <v>138</v>
      </c>
      <c r="E6" s="20" t="s">
        <v>339</v>
      </c>
      <c r="F6" s="20" t="s">
        <v>38</v>
      </c>
      <c r="G6" s="20"/>
      <c r="H6" s="20"/>
    </row>
    <row r="7" customFormat="false" ht="15" hidden="false" customHeight="false" outlineLevel="0" collapsed="false">
      <c r="A7" s="20" t="s">
        <v>340</v>
      </c>
      <c r="B7" s="20" t="s">
        <v>343</v>
      </c>
      <c r="C7" s="20" t="s">
        <v>344</v>
      </c>
      <c r="D7" s="20" t="s">
        <v>150</v>
      </c>
      <c r="E7" s="20" t="s">
        <v>339</v>
      </c>
      <c r="F7" s="20" t="s">
        <v>38</v>
      </c>
      <c r="G7" s="20"/>
      <c r="H7" s="20"/>
    </row>
    <row r="8" customFormat="false" ht="15" hidden="false" customHeight="false" outlineLevel="0" collapsed="false">
      <c r="A8" s="20" t="s">
        <v>340</v>
      </c>
      <c r="B8" s="20" t="s">
        <v>345</v>
      </c>
      <c r="C8" s="20" t="s">
        <v>346</v>
      </c>
      <c r="D8" s="20" t="s">
        <v>347</v>
      </c>
      <c r="E8" s="20" t="s">
        <v>339</v>
      </c>
      <c r="F8" s="20" t="s">
        <v>38</v>
      </c>
      <c r="G8" s="20"/>
      <c r="H8" s="20"/>
    </row>
    <row r="9" customFormat="false" ht="15" hidden="false" customHeight="false" outlineLevel="0" collapsed="false">
      <c r="A9" s="20" t="s">
        <v>348</v>
      </c>
      <c r="B9" s="20" t="s">
        <v>349</v>
      </c>
      <c r="C9" s="20" t="s">
        <v>350</v>
      </c>
      <c r="D9" s="20" t="s">
        <v>178</v>
      </c>
      <c r="E9" s="20" t="s">
        <v>351</v>
      </c>
      <c r="F9" s="20" t="s">
        <v>38</v>
      </c>
      <c r="G9" s="20"/>
      <c r="H9" s="20"/>
    </row>
    <row r="10" customFormat="false" ht="23.85" hidden="false" customHeight="false" outlineLevel="0" collapsed="false">
      <c r="A10" s="20" t="s">
        <v>348</v>
      </c>
      <c r="B10" s="20" t="s">
        <v>352</v>
      </c>
      <c r="C10" s="20" t="s">
        <v>353</v>
      </c>
      <c r="D10" s="20" t="s">
        <v>354</v>
      </c>
      <c r="E10" s="20" t="s">
        <v>351</v>
      </c>
      <c r="F10" s="20" t="s">
        <v>58</v>
      </c>
      <c r="G10" s="20"/>
      <c r="H10" s="20"/>
    </row>
    <row r="11" customFormat="false" ht="15" hidden="false" customHeight="false" outlineLevel="0" collapsed="false">
      <c r="A11" s="20" t="s">
        <v>355</v>
      </c>
      <c r="B11" s="20" t="s">
        <v>356</v>
      </c>
      <c r="C11" s="20" t="s">
        <v>357</v>
      </c>
      <c r="D11" s="20" t="s">
        <v>167</v>
      </c>
      <c r="E11" s="20" t="s">
        <v>351</v>
      </c>
      <c r="F11" s="20" t="s">
        <v>38</v>
      </c>
      <c r="G11" s="20"/>
      <c r="H11" s="20"/>
    </row>
    <row r="12" customFormat="false" ht="15" hidden="false" customHeight="false" outlineLevel="0" collapsed="false">
      <c r="A12" s="20" t="s">
        <v>355</v>
      </c>
      <c r="B12" s="20" t="s">
        <v>358</v>
      </c>
      <c r="C12" s="20" t="s">
        <v>359</v>
      </c>
      <c r="D12" s="20" t="s">
        <v>167</v>
      </c>
      <c r="E12" s="20" t="s">
        <v>351</v>
      </c>
      <c r="F12" s="20" t="s">
        <v>38</v>
      </c>
      <c r="G12" s="20"/>
      <c r="H12" s="20"/>
    </row>
    <row r="13" customFormat="false" ht="15" hidden="false" customHeight="false" outlineLevel="0" collapsed="false">
      <c r="A13" s="20" t="s">
        <v>360</v>
      </c>
      <c r="B13" s="20" t="s">
        <v>361</v>
      </c>
      <c r="C13" s="20" t="s">
        <v>346</v>
      </c>
      <c r="D13" s="20" t="s">
        <v>173</v>
      </c>
      <c r="E13" s="20" t="s">
        <v>351</v>
      </c>
      <c r="F13" s="20" t="s">
        <v>38</v>
      </c>
      <c r="G13" s="20"/>
      <c r="H13" s="20"/>
    </row>
    <row r="14" customFormat="false" ht="15" hidden="false" customHeight="false" outlineLevel="0" collapsed="false">
      <c r="A14" s="20" t="s">
        <v>362</v>
      </c>
      <c r="B14" s="20" t="s">
        <v>363</v>
      </c>
      <c r="C14" s="20" t="s">
        <v>364</v>
      </c>
      <c r="D14" s="20" t="s">
        <v>365</v>
      </c>
      <c r="E14" s="20" t="s">
        <v>339</v>
      </c>
      <c r="F14" s="20" t="s">
        <v>38</v>
      </c>
      <c r="G14" s="20"/>
      <c r="H14" s="20"/>
    </row>
    <row r="15" customFormat="false" ht="15" hidden="false" customHeight="false" outlineLevel="0" collapsed="false">
      <c r="A15" s="20" t="s">
        <v>366</v>
      </c>
      <c r="B15" s="20" t="s">
        <v>367</v>
      </c>
      <c r="C15" s="20" t="s">
        <v>368</v>
      </c>
      <c r="D15" s="20" t="s">
        <v>183</v>
      </c>
      <c r="E15" s="20" t="s">
        <v>351</v>
      </c>
      <c r="F15" s="20" t="s">
        <v>38</v>
      </c>
      <c r="G15" s="20"/>
      <c r="H15" s="20"/>
    </row>
    <row r="16" customFormat="false" ht="15" hidden="false" customHeight="false" outlineLevel="0" collapsed="false">
      <c r="A16" s="20" t="s">
        <v>369</v>
      </c>
      <c r="B16" s="20" t="s">
        <v>370</v>
      </c>
      <c r="C16" s="20" t="s">
        <v>364</v>
      </c>
      <c r="D16" s="20" t="s">
        <v>371</v>
      </c>
      <c r="E16" s="20" t="s">
        <v>351</v>
      </c>
      <c r="F16" s="20" t="s">
        <v>38</v>
      </c>
      <c r="G16" s="20"/>
      <c r="H16" s="20"/>
    </row>
    <row r="17" customFormat="false" ht="15" hidden="false" customHeight="false" outlineLevel="0" collapsed="false">
      <c r="A17" s="20" t="s">
        <v>372</v>
      </c>
      <c r="B17" s="20" t="s">
        <v>373</v>
      </c>
      <c r="C17" s="20" t="s">
        <v>374</v>
      </c>
      <c r="D17" s="20" t="s">
        <v>375</v>
      </c>
      <c r="E17" s="20" t="s">
        <v>376</v>
      </c>
      <c r="F17" s="20" t="s">
        <v>38</v>
      </c>
      <c r="G17" s="20"/>
      <c r="H17" s="20"/>
    </row>
    <row r="18" customFormat="false" ht="15" hidden="false" customHeight="false" outlineLevel="0" collapsed="false">
      <c r="A18" s="20" t="s">
        <v>377</v>
      </c>
      <c r="B18" s="20" t="s">
        <v>378</v>
      </c>
      <c r="C18" s="20" t="s">
        <v>379</v>
      </c>
      <c r="D18" s="20" t="s">
        <v>380</v>
      </c>
      <c r="E18" s="20" t="s">
        <v>351</v>
      </c>
      <c r="F18" s="20" t="s">
        <v>38</v>
      </c>
      <c r="G18" s="20"/>
      <c r="H18" s="20"/>
    </row>
    <row r="19" customFormat="false" ht="15" hidden="false" customHeight="false" outlineLevel="0" collapsed="false">
      <c r="A19" s="20" t="s">
        <v>67</v>
      </c>
      <c r="B19" s="20" t="s">
        <v>381</v>
      </c>
      <c r="C19" s="20" t="s">
        <v>382</v>
      </c>
      <c r="D19" s="20" t="s">
        <v>188</v>
      </c>
      <c r="E19" s="20" t="s">
        <v>376</v>
      </c>
      <c r="F19" s="20" t="s">
        <v>38</v>
      </c>
      <c r="G19" s="20"/>
      <c r="H19" s="20"/>
    </row>
    <row r="20" customFormat="false" ht="15" hidden="false" customHeight="false" outlineLevel="0" collapsed="false">
      <c r="A20" s="20" t="s">
        <v>67</v>
      </c>
      <c r="B20" s="20" t="s">
        <v>383</v>
      </c>
      <c r="C20" s="20" t="s">
        <v>384</v>
      </c>
      <c r="D20" s="20" t="s">
        <v>385</v>
      </c>
      <c r="E20" s="20" t="s">
        <v>339</v>
      </c>
      <c r="F20" s="20" t="s">
        <v>38</v>
      </c>
      <c r="G20" s="20"/>
      <c r="H20" s="20"/>
    </row>
    <row r="21" customFormat="false" ht="15" hidden="false" customHeight="false" outlineLevel="0" collapsed="false">
      <c r="A21" s="20" t="s">
        <v>386</v>
      </c>
      <c r="B21" s="20" t="s">
        <v>387</v>
      </c>
      <c r="C21" s="20" t="s">
        <v>374</v>
      </c>
      <c r="D21" s="20" t="s">
        <v>388</v>
      </c>
      <c r="E21" s="20" t="s">
        <v>376</v>
      </c>
      <c r="F21" s="20" t="s">
        <v>38</v>
      </c>
      <c r="G21" s="20"/>
      <c r="H21" s="20"/>
    </row>
    <row r="22" customFormat="false" ht="15" hidden="false" customHeight="false" outlineLevel="0" collapsed="false">
      <c r="A22" s="20" t="s">
        <v>389</v>
      </c>
      <c r="B22" s="20" t="s">
        <v>390</v>
      </c>
      <c r="C22" s="20" t="s">
        <v>391</v>
      </c>
      <c r="D22" s="20" t="s">
        <v>392</v>
      </c>
      <c r="E22" s="20" t="s">
        <v>393</v>
      </c>
      <c r="F22" s="20" t="s">
        <v>58</v>
      </c>
      <c r="G22" s="20"/>
      <c r="H22" s="20"/>
    </row>
    <row r="23" customFormat="false" ht="15" hidden="false" customHeight="false" outlineLevel="0" collapsed="false">
      <c r="A23" s="20" t="s">
        <v>389</v>
      </c>
      <c r="B23" s="20" t="s">
        <v>394</v>
      </c>
      <c r="C23" s="20" t="s">
        <v>346</v>
      </c>
      <c r="D23" s="20" t="s">
        <v>395</v>
      </c>
      <c r="E23" s="20" t="s">
        <v>351</v>
      </c>
      <c r="F23" s="20" t="s">
        <v>38</v>
      </c>
      <c r="G23" s="20"/>
      <c r="H23" s="20"/>
    </row>
    <row r="24" customFormat="false" ht="15" hidden="false" customHeight="false" outlineLevel="0" collapsed="false">
      <c r="A24" s="20" t="s">
        <v>396</v>
      </c>
      <c r="B24" s="20" t="s">
        <v>397</v>
      </c>
      <c r="C24" s="20" t="s">
        <v>398</v>
      </c>
      <c r="D24" s="20" t="s">
        <v>399</v>
      </c>
      <c r="E24" s="20" t="s">
        <v>351</v>
      </c>
      <c r="F24" s="20" t="s">
        <v>38</v>
      </c>
      <c r="G24" s="20"/>
      <c r="H24" s="20"/>
    </row>
    <row r="25" customFormat="false" ht="15" hidden="false" customHeight="false" outlineLevel="0" collapsed="false">
      <c r="A25" s="20" t="s">
        <v>400</v>
      </c>
      <c r="B25" s="20" t="s">
        <v>401</v>
      </c>
      <c r="C25" s="20" t="s">
        <v>402</v>
      </c>
      <c r="D25" s="20" t="s">
        <v>150</v>
      </c>
      <c r="E25" s="20" t="s">
        <v>339</v>
      </c>
      <c r="F25" s="20" t="s">
        <v>38</v>
      </c>
      <c r="G25" s="20"/>
      <c r="H25" s="20"/>
    </row>
    <row r="26" customFormat="false" ht="15" hidden="false" customHeight="false" outlineLevel="0" collapsed="false">
      <c r="A26" s="20" t="s">
        <v>53</v>
      </c>
      <c r="B26" s="20" t="s">
        <v>403</v>
      </c>
      <c r="C26" s="20" t="s">
        <v>364</v>
      </c>
      <c r="D26" s="20" t="s">
        <v>404</v>
      </c>
      <c r="E26" s="20" t="s">
        <v>339</v>
      </c>
      <c r="F26" s="20" t="s">
        <v>38</v>
      </c>
      <c r="G26" s="20"/>
      <c r="H26" s="20"/>
    </row>
    <row r="27" customFormat="false" ht="15" hidden="false" customHeight="false" outlineLevel="0" collapsed="false">
      <c r="A27" s="20" t="s">
        <v>405</v>
      </c>
      <c r="B27" s="20" t="s">
        <v>406</v>
      </c>
      <c r="C27" s="20" t="s">
        <v>346</v>
      </c>
      <c r="D27" s="20" t="s">
        <v>203</v>
      </c>
      <c r="E27" s="20" t="s">
        <v>407</v>
      </c>
      <c r="F27" s="20" t="s">
        <v>38</v>
      </c>
      <c r="G27" s="20"/>
      <c r="H27" s="20"/>
    </row>
    <row r="28" customFormat="false" ht="15" hidden="false" customHeight="false" outlineLevel="0" collapsed="false">
      <c r="A28" s="20"/>
      <c r="B28" s="20"/>
      <c r="C28" s="20"/>
      <c r="D28" s="20"/>
      <c r="E28" s="20"/>
      <c r="F28" s="20"/>
      <c r="G28" s="20"/>
      <c r="H28" s="20"/>
    </row>
    <row r="29" customFormat="false" ht="15" hidden="false" customHeight="false" outlineLevel="0" collapsed="false">
      <c r="A29" s="20"/>
      <c r="B29" s="20"/>
      <c r="C29" s="20"/>
      <c r="D29" s="20"/>
      <c r="E29" s="20"/>
      <c r="F29" s="20"/>
      <c r="G29" s="20"/>
      <c r="H29" s="20"/>
    </row>
    <row r="30" customFormat="false" ht="15" hidden="false" customHeight="false" outlineLevel="0" collapsed="false">
      <c r="A30" s="20"/>
      <c r="B30" s="20"/>
      <c r="C30" s="20"/>
      <c r="D30" s="20"/>
      <c r="E30" s="20"/>
      <c r="F30" s="20"/>
      <c r="G30" s="20"/>
      <c r="H30" s="20"/>
    </row>
    <row r="31" customFormat="false" ht="15" hidden="false" customHeight="false" outlineLevel="0" collapsed="false">
      <c r="A31" s="20"/>
      <c r="B31" s="20"/>
      <c r="C31" s="20"/>
      <c r="D31" s="20"/>
      <c r="E31" s="20"/>
      <c r="F31" s="20"/>
      <c r="G31" s="20"/>
      <c r="H31" s="20"/>
    </row>
    <row r="32" customFormat="false" ht="15" hidden="false" customHeight="false" outlineLevel="0" collapsed="false">
      <c r="A32" s="20"/>
      <c r="B32" s="20"/>
      <c r="C32" s="20"/>
      <c r="D32" s="20"/>
      <c r="E32" s="20"/>
      <c r="F32" s="20"/>
      <c r="G32" s="20"/>
      <c r="H32" s="20"/>
    </row>
    <row r="33" customFormat="false" ht="15" hidden="false" customHeight="false" outlineLevel="0" collapsed="false">
      <c r="A33" s="20"/>
      <c r="B33" s="20"/>
      <c r="C33" s="20"/>
      <c r="D33" s="20"/>
      <c r="E33" s="20"/>
      <c r="F33" s="20"/>
      <c r="G33" s="20"/>
      <c r="H33" s="20"/>
    </row>
    <row r="34" customFormat="false" ht="15" hidden="false" customHeight="false" outlineLevel="0" collapsed="false">
      <c r="A34" s="20"/>
      <c r="B34" s="20"/>
      <c r="C34" s="20"/>
      <c r="D34" s="20"/>
      <c r="E34" s="20"/>
      <c r="F34" s="20"/>
      <c r="G34" s="20"/>
      <c r="H34" s="20"/>
    </row>
    <row r="35" customFormat="false" ht="15" hidden="false" customHeight="false" outlineLevel="0" collapsed="false">
      <c r="A35" s="20"/>
      <c r="B35" s="20"/>
      <c r="C35" s="20"/>
      <c r="D35" s="20"/>
      <c r="E35" s="20"/>
      <c r="F35" s="20"/>
      <c r="G35" s="20"/>
      <c r="H35" s="20"/>
    </row>
    <row r="36" customFormat="false" ht="15" hidden="false" customHeight="false" outlineLevel="0" collapsed="false">
      <c r="A36" s="20"/>
      <c r="B36" s="20"/>
      <c r="C36" s="20"/>
      <c r="D36" s="20"/>
      <c r="E36" s="20"/>
      <c r="F36" s="20"/>
      <c r="G36" s="20"/>
      <c r="H36" s="20"/>
    </row>
    <row r="37" customFormat="false" ht="15" hidden="false" customHeight="false" outlineLevel="0" collapsed="false">
      <c r="A37" s="20"/>
      <c r="B37" s="20"/>
      <c r="C37" s="20"/>
      <c r="D37" s="20"/>
      <c r="E37" s="20"/>
      <c r="F37" s="20"/>
      <c r="G37" s="20"/>
      <c r="H37" s="20"/>
    </row>
    <row r="38" customFormat="false" ht="15" hidden="false" customHeight="false" outlineLevel="0" collapsed="false">
      <c r="A38" s="20"/>
      <c r="B38" s="20"/>
      <c r="C38" s="20"/>
      <c r="D38" s="20"/>
      <c r="E38" s="20"/>
      <c r="F38" s="20"/>
      <c r="G38" s="20"/>
      <c r="H38" s="20"/>
    </row>
    <row r="39" customFormat="false" ht="15" hidden="false" customHeight="false" outlineLevel="0" collapsed="false">
      <c r="A39" s="20"/>
      <c r="B39" s="20"/>
      <c r="C39" s="20"/>
      <c r="D39" s="20"/>
      <c r="E39" s="20"/>
      <c r="F39" s="20"/>
      <c r="G39" s="20"/>
      <c r="H39" s="20"/>
    </row>
    <row r="40" customFormat="false" ht="15" hidden="false" customHeight="false" outlineLevel="0" collapsed="false">
      <c r="A40" s="20"/>
      <c r="B40" s="20"/>
      <c r="C40" s="20"/>
      <c r="D40" s="20"/>
      <c r="E40" s="20"/>
      <c r="F40" s="20"/>
      <c r="G40" s="20"/>
      <c r="H40" s="20"/>
    </row>
    <row r="41" customFormat="false" ht="15" hidden="false" customHeight="false" outlineLevel="0" collapsed="false">
      <c r="A41" s="20"/>
      <c r="B41" s="20"/>
      <c r="C41" s="20"/>
      <c r="D41" s="20"/>
      <c r="E41" s="20"/>
      <c r="F41" s="20"/>
      <c r="G41" s="20"/>
      <c r="H41" s="20"/>
    </row>
    <row r="42" customFormat="false" ht="15" hidden="false" customHeight="false" outlineLevel="0" collapsed="false">
      <c r="A42" s="20"/>
      <c r="B42" s="20"/>
      <c r="C42" s="20"/>
      <c r="D42" s="20"/>
      <c r="E42" s="20"/>
      <c r="F42" s="20"/>
      <c r="G42" s="20"/>
      <c r="H42" s="20"/>
    </row>
    <row r="43" customFormat="false" ht="15" hidden="false" customHeight="false" outlineLevel="0" collapsed="false">
      <c r="A43" s="20"/>
      <c r="B43" s="20"/>
      <c r="C43" s="20"/>
      <c r="D43" s="20"/>
      <c r="E43" s="20"/>
      <c r="F43" s="20"/>
      <c r="G43" s="20"/>
      <c r="H43" s="20"/>
    </row>
    <row r="44" customFormat="false" ht="15" hidden="false" customHeight="false" outlineLevel="0" collapsed="false">
      <c r="A44" s="20"/>
      <c r="B44" s="20"/>
      <c r="C44" s="20"/>
      <c r="D44" s="20"/>
      <c r="E44" s="20"/>
      <c r="F44" s="20"/>
      <c r="G44" s="20"/>
      <c r="H44" s="20"/>
    </row>
    <row r="45" customFormat="false" ht="15" hidden="false" customHeight="false" outlineLevel="0" collapsed="false">
      <c r="A45" s="20"/>
      <c r="B45" s="20"/>
      <c r="C45" s="20"/>
      <c r="D45" s="20"/>
      <c r="E45" s="20"/>
      <c r="F45" s="20"/>
      <c r="G45" s="20"/>
      <c r="H45" s="20"/>
    </row>
    <row r="46" customFormat="false" ht="15" hidden="false" customHeight="false" outlineLevel="0" collapsed="false">
      <c r="A46" s="20"/>
      <c r="B46" s="20"/>
      <c r="C46" s="20"/>
      <c r="D46" s="20"/>
      <c r="E46" s="20"/>
      <c r="F46" s="20"/>
      <c r="G46" s="20"/>
      <c r="H46" s="20"/>
    </row>
    <row r="47" customFormat="false" ht="15" hidden="false" customHeight="false" outlineLevel="0" collapsed="false">
      <c r="A47" s="20"/>
      <c r="B47" s="20"/>
      <c r="C47" s="20"/>
      <c r="D47" s="20"/>
      <c r="E47" s="20"/>
      <c r="F47" s="20"/>
      <c r="G47" s="20"/>
      <c r="H47" s="20"/>
    </row>
    <row r="48" customFormat="false" ht="15" hidden="false" customHeight="false" outlineLevel="0" collapsed="false">
      <c r="A48" s="20"/>
      <c r="B48" s="20"/>
      <c r="C48" s="20"/>
      <c r="D48" s="20"/>
      <c r="E48" s="20"/>
      <c r="F48" s="20"/>
      <c r="G48" s="20"/>
      <c r="H48" s="20"/>
    </row>
    <row r="49" customFormat="false" ht="15" hidden="false" customHeight="false" outlineLevel="0" collapsed="false">
      <c r="A49" s="20"/>
      <c r="B49" s="20"/>
      <c r="C49" s="20"/>
      <c r="D49" s="20"/>
      <c r="E49" s="20"/>
      <c r="F49" s="20"/>
      <c r="G49" s="20"/>
      <c r="H49" s="20"/>
    </row>
    <row r="50" customFormat="false" ht="15" hidden="false" customHeight="false" outlineLevel="0" collapsed="false">
      <c r="A50" s="20"/>
      <c r="B50" s="20"/>
      <c r="C50" s="20"/>
      <c r="D50" s="20"/>
      <c r="E50" s="20"/>
      <c r="F50" s="20"/>
      <c r="G50" s="20"/>
      <c r="H50" s="20"/>
    </row>
    <row r="51" customFormat="false" ht="15" hidden="false" customHeight="false" outlineLevel="0" collapsed="false">
      <c r="A51" s="20"/>
      <c r="B51" s="20"/>
      <c r="C51" s="20"/>
      <c r="D51" s="20"/>
      <c r="E51" s="20"/>
      <c r="F51" s="20"/>
      <c r="G51" s="20"/>
      <c r="H51" s="20"/>
    </row>
    <row r="52" customFormat="false" ht="15" hidden="false" customHeight="false" outlineLevel="0" collapsed="false">
      <c r="A52" s="20"/>
      <c r="B52" s="20"/>
      <c r="C52" s="20"/>
      <c r="D52" s="20"/>
      <c r="E52" s="20"/>
      <c r="F52" s="20"/>
      <c r="G52" s="20"/>
      <c r="H52" s="20"/>
    </row>
    <row r="53" customFormat="false" ht="15" hidden="false" customHeight="false" outlineLevel="0" collapsed="false">
      <c r="A53" s="20"/>
      <c r="B53" s="20"/>
      <c r="C53" s="20"/>
      <c r="D53" s="20"/>
      <c r="E53" s="20"/>
      <c r="F53" s="20"/>
      <c r="G53" s="20"/>
      <c r="H53" s="20"/>
    </row>
    <row r="54" customFormat="false" ht="15" hidden="false" customHeight="false" outlineLevel="0" collapsed="false">
      <c r="A54" s="20"/>
      <c r="B54" s="20"/>
      <c r="C54" s="20"/>
      <c r="D54" s="20"/>
      <c r="E54" s="20"/>
      <c r="F54" s="20"/>
      <c r="G54" s="20"/>
      <c r="H54" s="20"/>
    </row>
    <row r="55" customFormat="false" ht="15" hidden="false" customHeight="false" outlineLevel="0" collapsed="false">
      <c r="A55" s="20"/>
      <c r="B55" s="20"/>
      <c r="C55" s="20"/>
      <c r="D55" s="20"/>
      <c r="E55" s="20"/>
      <c r="F55" s="20"/>
      <c r="G55" s="20"/>
      <c r="H55" s="20"/>
    </row>
    <row r="56" customFormat="false" ht="15" hidden="false" customHeight="false" outlineLevel="0" collapsed="false">
      <c r="A56" s="20"/>
      <c r="B56" s="20"/>
      <c r="C56" s="20"/>
      <c r="D56" s="20"/>
      <c r="E56" s="20"/>
      <c r="F56" s="20"/>
      <c r="G56" s="20"/>
      <c r="H56" s="20"/>
    </row>
    <row r="57" customFormat="false" ht="15" hidden="false" customHeight="false" outlineLevel="0" collapsed="false">
      <c r="A57" s="20"/>
      <c r="B57" s="20"/>
      <c r="C57" s="20"/>
      <c r="D57" s="20"/>
      <c r="E57" s="20"/>
      <c r="F57" s="20"/>
      <c r="G57" s="20"/>
      <c r="H57" s="20"/>
    </row>
    <row r="58" customFormat="false" ht="15" hidden="false" customHeight="false" outlineLevel="0" collapsed="false">
      <c r="A58" s="20"/>
      <c r="B58" s="20"/>
      <c r="C58" s="20"/>
      <c r="D58" s="20"/>
      <c r="E58" s="20"/>
      <c r="F58" s="20"/>
      <c r="G58" s="20"/>
      <c r="H58" s="20"/>
    </row>
    <row r="59" customFormat="false" ht="15" hidden="false" customHeight="false" outlineLevel="0" collapsed="false">
      <c r="A59" s="20"/>
      <c r="B59" s="20"/>
      <c r="C59" s="20"/>
      <c r="D59" s="20"/>
      <c r="E59" s="20"/>
      <c r="F59" s="20"/>
      <c r="G59" s="20"/>
      <c r="H59" s="20"/>
    </row>
    <row r="60" customFormat="false" ht="15" hidden="false" customHeight="false" outlineLevel="0" collapsed="false">
      <c r="A60" s="20"/>
      <c r="B60" s="20"/>
      <c r="C60" s="20"/>
      <c r="D60" s="20"/>
      <c r="E60" s="20"/>
      <c r="F60" s="20"/>
      <c r="G60" s="20"/>
      <c r="H60" s="20"/>
    </row>
    <row r="61" customFormat="false" ht="15" hidden="false" customHeight="false" outlineLevel="0" collapsed="false">
      <c r="A61" s="20"/>
      <c r="B61" s="20"/>
      <c r="C61" s="20"/>
      <c r="D61" s="20"/>
      <c r="E61" s="20"/>
      <c r="F61" s="20"/>
      <c r="G61" s="20"/>
      <c r="H61" s="20"/>
    </row>
    <row r="62" customFormat="false" ht="15" hidden="false" customHeight="false" outlineLevel="0" collapsed="false">
      <c r="A62" s="20"/>
      <c r="B62" s="20"/>
      <c r="C62" s="20"/>
      <c r="D62" s="20"/>
      <c r="E62" s="20"/>
      <c r="F62" s="20"/>
      <c r="G62" s="20"/>
      <c r="H62" s="20"/>
    </row>
    <row r="63" customFormat="false" ht="15" hidden="false" customHeight="false" outlineLevel="0" collapsed="false">
      <c r="A63" s="20"/>
      <c r="B63" s="20"/>
      <c r="C63" s="20"/>
      <c r="D63" s="20"/>
      <c r="E63" s="20"/>
      <c r="F63" s="20"/>
      <c r="G63" s="20"/>
      <c r="H63" s="20"/>
    </row>
    <row r="64" customFormat="false" ht="15" hidden="false" customHeight="false" outlineLevel="0" collapsed="false">
      <c r="A64" s="20"/>
      <c r="B64" s="20"/>
      <c r="C64" s="20"/>
      <c r="D64" s="20"/>
      <c r="E64" s="20"/>
      <c r="F64" s="20"/>
      <c r="G64" s="20"/>
      <c r="H64" s="20"/>
    </row>
  </sheetData>
  <autoFilter ref="A4:H64"/>
  <dataValidations count="2">
    <dataValidation allowBlank="true" errorStyle="stop" operator="between" showDropDown="false" showErrorMessage="false" showInputMessage="false" sqref="F5:F64" type="list">
      <formula1>Lists!$A$2:$A$10</formula1>
      <formula2>0</formula2>
    </dataValidation>
    <dataValidation allowBlank="true" errorStyle="stop" operator="between" showDropDown="false" showErrorMessage="false" showInputMessage="false" sqref="G5:G64" type="list">
      <formula1>Lists!$I$2:$I$7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3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0"/>
    <col collapsed="false" customWidth="true" hidden="false" outlineLevel="0" max="4" min="3" style="0" width="22"/>
    <col collapsed="false" customWidth="true" hidden="false" outlineLevel="0" max="5" min="5" style="0" width="30"/>
    <col collapsed="false" customWidth="true" hidden="false" outlineLevel="0" max="7" min="6" style="0" width="12"/>
    <col collapsed="false" customWidth="true" hidden="false" outlineLevel="0" max="10" min="8" style="0" width="10"/>
    <col collapsed="false" customWidth="true" hidden="false" outlineLevel="0" max="11" min="11" style="0" width="12"/>
    <col collapsed="false" customWidth="true" hidden="false" outlineLevel="0" max="12" min="12" style="0" width="10"/>
    <col collapsed="false" customWidth="true" hidden="false" outlineLevel="0" max="13" min="13" style="0" width="14"/>
    <col collapsed="false" customWidth="true" hidden="false" outlineLevel="0" max="14" min="14" style="0" width="22"/>
    <col collapsed="false" customWidth="true" hidden="false" outlineLevel="0" max="15" min="15" style="0" width="12"/>
    <col collapsed="false" customWidth="true" hidden="false" outlineLevel="0" max="16" min="16" style="0" width="10"/>
    <col collapsed="false" customWidth="true" hidden="false" outlineLevel="0" max="18" min="18" style="0" width="60"/>
  </cols>
  <sheetData>
    <row r="1" customFormat="false" ht="19.7" hidden="false" customHeight="false" outlineLevel="0" collapsed="false">
      <c r="A1" s="1" t="s">
        <v>65</v>
      </c>
    </row>
    <row r="2" customFormat="false" ht="15" hidden="false" customHeight="false" outlineLevel="0" collapsed="false">
      <c r="A2" s="2" t="s">
        <v>408</v>
      </c>
    </row>
    <row r="4" customFormat="false" ht="31.5" hidden="false" customHeight="true" outlineLevel="0" collapsed="false">
      <c r="A4" s="9" t="s">
        <v>117</v>
      </c>
      <c r="B4" s="9" t="s">
        <v>111</v>
      </c>
      <c r="C4" s="9" t="s">
        <v>409</v>
      </c>
      <c r="D4" s="9" t="s">
        <v>410</v>
      </c>
      <c r="E4" s="9" t="s">
        <v>411</v>
      </c>
      <c r="F4" s="9" t="s">
        <v>119</v>
      </c>
      <c r="G4" s="9" t="s">
        <v>412</v>
      </c>
      <c r="H4" s="9" t="s">
        <v>413</v>
      </c>
      <c r="I4" s="9" t="s">
        <v>414</v>
      </c>
      <c r="J4" s="9" t="s">
        <v>415</v>
      </c>
      <c r="K4" s="9" t="s">
        <v>416</v>
      </c>
      <c r="L4" s="9" t="s">
        <v>417</v>
      </c>
      <c r="M4" s="9" t="s">
        <v>418</v>
      </c>
      <c r="N4" s="9" t="s">
        <v>419</v>
      </c>
      <c r="O4" s="9" t="s">
        <v>120</v>
      </c>
      <c r="P4" s="9" t="s">
        <v>420</v>
      </c>
      <c r="R4" s="2" t="s">
        <v>421</v>
      </c>
    </row>
    <row r="5" customFormat="false" ht="15" hidden="false" customHeight="false" outlineLevel="0" collapsed="false">
      <c r="A5" s="20" t="s">
        <v>422</v>
      </c>
      <c r="B5" s="20" t="s">
        <v>284</v>
      </c>
      <c r="C5" s="20" t="s">
        <v>423</v>
      </c>
      <c r="D5" s="20" t="s">
        <v>424</v>
      </c>
      <c r="E5" s="20" t="s">
        <v>425</v>
      </c>
      <c r="F5" s="24"/>
      <c r="G5" s="20"/>
      <c r="H5" s="20"/>
      <c r="I5" s="20"/>
      <c r="J5" s="20"/>
      <c r="K5" s="20"/>
      <c r="L5" s="20"/>
      <c r="M5" s="25" t="str">
        <f aca="false">IF(COUNT(H5:L5)=5,H5*I5*J5*K5/L5,"")</f>
        <v/>
      </c>
      <c r="N5" s="26" t="str">
        <f aca="false">IF(M5="","",IF(AND(M5&gt;=100,L5&lt;=2),"Quick win",IF(M5&gt;=100,"Strategic priority",IF(M5&gt;=30,"Long-term investment","Low priority / avoid"))))</f>
        <v/>
      </c>
      <c r="O5" s="20"/>
      <c r="P5" s="20"/>
    </row>
    <row r="6" customFormat="false" ht="15" hidden="false" customHeight="false" outlineLevel="0" collapsed="false">
      <c r="A6" s="20" t="s">
        <v>426</v>
      </c>
      <c r="B6" s="20" t="s">
        <v>284</v>
      </c>
      <c r="C6" s="20" t="s">
        <v>423</v>
      </c>
      <c r="D6" s="20" t="s">
        <v>424</v>
      </c>
      <c r="E6" s="20" t="s">
        <v>427</v>
      </c>
      <c r="F6" s="24"/>
      <c r="G6" s="20"/>
      <c r="H6" s="20"/>
      <c r="I6" s="20"/>
      <c r="J6" s="20"/>
      <c r="K6" s="20"/>
      <c r="L6" s="20"/>
      <c r="M6" s="25" t="str">
        <f aca="false">IF(COUNT(H6:L6)=5,H6*I6*J6*K6/L6,"")</f>
        <v/>
      </c>
      <c r="N6" s="26" t="str">
        <f aca="false">IF(M6="","",IF(AND(M6&gt;=100,L6&lt;=2),"Quick win",IF(M6&gt;=100,"Strategic priority",IF(M6&gt;=30,"Long-term investment","Low priority / avoid"))))</f>
        <v/>
      </c>
      <c r="O6" s="20"/>
      <c r="P6" s="20"/>
    </row>
    <row r="7" customFormat="false" ht="15" hidden="false" customHeight="false" outlineLevel="0" collapsed="false">
      <c r="A7" s="20" t="s">
        <v>428</v>
      </c>
      <c r="B7" s="20" t="s">
        <v>429</v>
      </c>
      <c r="C7" s="20" t="s">
        <v>423</v>
      </c>
      <c r="D7" s="20" t="s">
        <v>424</v>
      </c>
      <c r="E7" s="20" t="s">
        <v>430</v>
      </c>
      <c r="F7" s="24"/>
      <c r="G7" s="20"/>
      <c r="H7" s="20"/>
      <c r="I7" s="20"/>
      <c r="J7" s="20"/>
      <c r="K7" s="20"/>
      <c r="L7" s="20"/>
      <c r="M7" s="25" t="str">
        <f aca="false">IF(COUNT(H7:L7)=5,H7*I7*J7*K7/L7,"")</f>
        <v/>
      </c>
      <c r="N7" s="26" t="str">
        <f aca="false">IF(M7="","",IF(AND(M7&gt;=100,L7&lt;=2),"Quick win",IF(M7&gt;=100,"Strategic priority",IF(M7&gt;=30,"Long-term investment","Low priority / avoid"))))</f>
        <v/>
      </c>
      <c r="O7" s="20"/>
      <c r="P7" s="20"/>
    </row>
    <row r="8" customFormat="false" ht="15" hidden="false" customHeight="false" outlineLevel="0" collapsed="false">
      <c r="A8" s="20" t="s">
        <v>431</v>
      </c>
      <c r="B8" s="20" t="s">
        <v>248</v>
      </c>
      <c r="C8" s="20" t="s">
        <v>423</v>
      </c>
      <c r="D8" s="20" t="s">
        <v>424</v>
      </c>
      <c r="E8" s="20" t="s">
        <v>432</v>
      </c>
      <c r="F8" s="24"/>
      <c r="G8" s="20"/>
      <c r="H8" s="20"/>
      <c r="I8" s="20"/>
      <c r="J8" s="20"/>
      <c r="K8" s="20"/>
      <c r="L8" s="20"/>
      <c r="M8" s="25" t="str">
        <f aca="false">IF(COUNT(H8:L8)=5,H8*I8*J8*K8/L8,"")</f>
        <v/>
      </c>
      <c r="N8" s="26" t="str">
        <f aca="false">IF(M8="","",IF(AND(M8&gt;=100,L8&lt;=2),"Quick win",IF(M8&gt;=100,"Strategic priority",IF(M8&gt;=30,"Long-term investment","Low priority / avoid"))))</f>
        <v/>
      </c>
      <c r="O8" s="20"/>
      <c r="P8" s="20"/>
    </row>
    <row r="9" customFormat="false" ht="15" hidden="false" customHeight="false" outlineLevel="0" collapsed="false">
      <c r="A9" s="20" t="s">
        <v>433</v>
      </c>
      <c r="B9" s="20" t="s">
        <v>284</v>
      </c>
      <c r="C9" s="20" t="s">
        <v>434</v>
      </c>
      <c r="D9" s="20" t="s">
        <v>301</v>
      </c>
      <c r="E9" s="20" t="s">
        <v>300</v>
      </c>
      <c r="F9" s="24"/>
      <c r="G9" s="20"/>
      <c r="H9" s="20"/>
      <c r="I9" s="20"/>
      <c r="J9" s="20"/>
      <c r="K9" s="20"/>
      <c r="L9" s="20"/>
      <c r="M9" s="25" t="str">
        <f aca="false">IF(COUNT(H9:L9)=5,H9*I9*J9*K9/L9,"")</f>
        <v/>
      </c>
      <c r="N9" s="26" t="str">
        <f aca="false">IF(M9="","",IF(AND(M9&gt;=100,L9&lt;=2),"Quick win",IF(M9&gt;=100,"Strategic priority",IF(M9&gt;=30,"Long-term investment","Low priority / avoid"))))</f>
        <v/>
      </c>
      <c r="O9" s="20"/>
      <c r="P9" s="20"/>
    </row>
    <row r="10" customFormat="false" ht="23.85" hidden="false" customHeight="false" outlineLevel="0" collapsed="false">
      <c r="A10" s="20" t="s">
        <v>435</v>
      </c>
      <c r="B10" s="20" t="s">
        <v>139</v>
      </c>
      <c r="C10" s="20" t="s">
        <v>436</v>
      </c>
      <c r="D10" s="20" t="s">
        <v>57</v>
      </c>
      <c r="E10" s="20" t="s">
        <v>437</v>
      </c>
      <c r="F10" s="24"/>
      <c r="G10" s="20"/>
      <c r="H10" s="20"/>
      <c r="I10" s="20"/>
      <c r="J10" s="20"/>
      <c r="K10" s="20"/>
      <c r="L10" s="20"/>
      <c r="M10" s="25" t="str">
        <f aca="false">IF(COUNT(H10:L10)=5,H10*I10*J10*K10/L10,"")</f>
        <v/>
      </c>
      <c r="N10" s="26" t="str">
        <f aca="false">IF(M10="","",IF(AND(M10&gt;=100,L10&lt;=2),"Quick win",IF(M10&gt;=100,"Strategic priority",IF(M10&gt;=30,"Long-term investment","Low priority / avoid"))))</f>
        <v/>
      </c>
      <c r="O10" s="20"/>
      <c r="P10" s="20"/>
    </row>
    <row r="11" customFormat="false" ht="15" hidden="false" customHeight="false" outlineLevel="0" collapsed="false">
      <c r="A11" s="20" t="s">
        <v>438</v>
      </c>
      <c r="B11" s="20" t="s">
        <v>139</v>
      </c>
      <c r="C11" s="20" t="s">
        <v>439</v>
      </c>
      <c r="D11" s="20" t="s">
        <v>175</v>
      </c>
      <c r="E11" s="20" t="s">
        <v>440</v>
      </c>
      <c r="F11" s="24"/>
      <c r="G11" s="20"/>
      <c r="H11" s="20"/>
      <c r="I11" s="20"/>
      <c r="J11" s="20"/>
      <c r="K11" s="20"/>
      <c r="L11" s="20"/>
      <c r="M11" s="25" t="str">
        <f aca="false">IF(COUNT(H11:L11)=5,H11*I11*J11*K11/L11,"")</f>
        <v/>
      </c>
      <c r="N11" s="26" t="str">
        <f aca="false">IF(M11="","",IF(AND(M11&gt;=100,L11&lt;=2),"Quick win",IF(M11&gt;=100,"Strategic priority",IF(M11&gt;=30,"Long-term investment","Low priority / avoid"))))</f>
        <v/>
      </c>
      <c r="O11" s="20"/>
      <c r="P11" s="20"/>
    </row>
    <row r="12" customFormat="false" ht="15" hidden="false" customHeight="false" outlineLevel="0" collapsed="false">
      <c r="A12" s="20"/>
      <c r="B12" s="20"/>
      <c r="C12" s="20"/>
      <c r="D12" s="20"/>
      <c r="E12" s="20"/>
      <c r="F12" s="24"/>
      <c r="G12" s="20"/>
      <c r="H12" s="20"/>
      <c r="I12" s="20"/>
      <c r="J12" s="20"/>
      <c r="K12" s="20"/>
      <c r="L12" s="20"/>
      <c r="M12" s="25" t="str">
        <f aca="false">IF(COUNT(H12:L12)=5,H12*I12*J12*K12/L12,"")</f>
        <v/>
      </c>
      <c r="N12" s="26" t="str">
        <f aca="false">IF(M12="","",IF(AND(M12&gt;=100,L12&lt;=2),"Quick win",IF(M12&gt;=100,"Strategic priority",IF(M12&gt;=30,"Long-term investment","Low priority / avoid"))))</f>
        <v/>
      </c>
      <c r="O12" s="20"/>
      <c r="P12" s="20"/>
    </row>
    <row r="13" customFormat="false" ht="15" hidden="false" customHeight="false" outlineLevel="0" collapsed="false">
      <c r="A13" s="20"/>
      <c r="B13" s="20"/>
      <c r="C13" s="20"/>
      <c r="D13" s="20"/>
      <c r="E13" s="20"/>
      <c r="F13" s="24"/>
      <c r="G13" s="20"/>
      <c r="H13" s="20"/>
      <c r="I13" s="20"/>
      <c r="J13" s="20"/>
      <c r="K13" s="20"/>
      <c r="L13" s="20"/>
      <c r="M13" s="25" t="str">
        <f aca="false">IF(COUNT(H13:L13)=5,H13*I13*J13*K13/L13,"")</f>
        <v/>
      </c>
      <c r="N13" s="26" t="str">
        <f aca="false">IF(M13="","",IF(AND(M13&gt;=100,L13&lt;=2),"Quick win",IF(M13&gt;=100,"Strategic priority",IF(M13&gt;=30,"Long-term investment","Low priority / avoid"))))</f>
        <v/>
      </c>
      <c r="O13" s="20"/>
      <c r="P13" s="20"/>
    </row>
    <row r="14" customFormat="false" ht="15" hidden="false" customHeight="false" outlineLevel="0" collapsed="false">
      <c r="A14" s="20"/>
      <c r="B14" s="20"/>
      <c r="C14" s="20"/>
      <c r="D14" s="20"/>
      <c r="E14" s="20"/>
      <c r="F14" s="24"/>
      <c r="G14" s="20"/>
      <c r="H14" s="20"/>
      <c r="I14" s="20"/>
      <c r="J14" s="20"/>
      <c r="K14" s="20"/>
      <c r="L14" s="20"/>
      <c r="M14" s="25" t="str">
        <f aca="false">IF(COUNT(H14:L14)=5,H14*I14*J14*K14/L14,"")</f>
        <v/>
      </c>
      <c r="N14" s="26" t="str">
        <f aca="false">IF(M14="","",IF(AND(M14&gt;=100,L14&lt;=2),"Quick win",IF(M14&gt;=100,"Strategic priority",IF(M14&gt;=30,"Long-term investment","Low priority / avoid"))))</f>
        <v/>
      </c>
      <c r="O14" s="20"/>
      <c r="P14" s="20"/>
    </row>
    <row r="15" customFormat="false" ht="15" hidden="false" customHeight="false" outlineLevel="0" collapsed="false">
      <c r="A15" s="20"/>
      <c r="B15" s="20"/>
      <c r="C15" s="20"/>
      <c r="D15" s="20"/>
      <c r="E15" s="20"/>
      <c r="F15" s="24"/>
      <c r="G15" s="20"/>
      <c r="H15" s="20"/>
      <c r="I15" s="20"/>
      <c r="J15" s="20"/>
      <c r="K15" s="20"/>
      <c r="L15" s="20"/>
      <c r="M15" s="25" t="str">
        <f aca="false">IF(COUNT(H15:L15)=5,H15*I15*J15*K15/L15,"")</f>
        <v/>
      </c>
      <c r="N15" s="26" t="str">
        <f aca="false">IF(M15="","",IF(AND(M15&gt;=100,L15&lt;=2),"Quick win",IF(M15&gt;=100,"Strategic priority",IF(M15&gt;=30,"Long-term investment","Low priority / avoid"))))</f>
        <v/>
      </c>
      <c r="O15" s="20"/>
      <c r="P15" s="20"/>
    </row>
    <row r="16" customFormat="false" ht="15" hidden="false" customHeight="false" outlineLevel="0" collapsed="false">
      <c r="A16" s="20"/>
      <c r="B16" s="20"/>
      <c r="C16" s="20"/>
      <c r="D16" s="20"/>
      <c r="E16" s="20"/>
      <c r="F16" s="24"/>
      <c r="G16" s="20"/>
      <c r="H16" s="20"/>
      <c r="I16" s="20"/>
      <c r="J16" s="20"/>
      <c r="K16" s="20"/>
      <c r="L16" s="20"/>
      <c r="M16" s="25" t="str">
        <f aca="false">IF(COUNT(H16:L16)=5,H16*I16*J16*K16/L16,"")</f>
        <v/>
      </c>
      <c r="N16" s="26" t="str">
        <f aca="false">IF(M16="","",IF(AND(M16&gt;=100,L16&lt;=2),"Quick win",IF(M16&gt;=100,"Strategic priority",IF(M16&gt;=30,"Long-term investment","Low priority / avoid"))))</f>
        <v/>
      </c>
      <c r="O16" s="20"/>
      <c r="P16" s="20"/>
    </row>
    <row r="17" customFormat="false" ht="15" hidden="false" customHeight="false" outlineLevel="0" collapsed="false">
      <c r="A17" s="20"/>
      <c r="B17" s="20"/>
      <c r="C17" s="20"/>
      <c r="D17" s="20"/>
      <c r="E17" s="20"/>
      <c r="F17" s="24"/>
      <c r="G17" s="20"/>
      <c r="H17" s="20"/>
      <c r="I17" s="20"/>
      <c r="J17" s="20"/>
      <c r="K17" s="20"/>
      <c r="L17" s="20"/>
      <c r="M17" s="25" t="str">
        <f aca="false">IF(COUNT(H17:L17)=5,H17*I17*J17*K17/L17,"")</f>
        <v/>
      </c>
      <c r="N17" s="26" t="str">
        <f aca="false">IF(M17="","",IF(AND(M17&gt;=100,L17&lt;=2),"Quick win",IF(M17&gt;=100,"Strategic priority",IF(M17&gt;=30,"Long-term investment","Low priority / avoid"))))</f>
        <v/>
      </c>
      <c r="O17" s="20"/>
      <c r="P17" s="20"/>
    </row>
    <row r="18" customFormat="false" ht="15" hidden="false" customHeight="false" outlineLevel="0" collapsed="false">
      <c r="A18" s="20"/>
      <c r="B18" s="20"/>
      <c r="C18" s="20"/>
      <c r="D18" s="20"/>
      <c r="E18" s="20"/>
      <c r="F18" s="24"/>
      <c r="G18" s="20"/>
      <c r="H18" s="20"/>
      <c r="I18" s="20"/>
      <c r="J18" s="20"/>
      <c r="K18" s="20"/>
      <c r="L18" s="20"/>
      <c r="M18" s="25" t="str">
        <f aca="false">IF(COUNT(H18:L18)=5,H18*I18*J18*K18/L18,"")</f>
        <v/>
      </c>
      <c r="N18" s="26" t="str">
        <f aca="false">IF(M18="","",IF(AND(M18&gt;=100,L18&lt;=2),"Quick win",IF(M18&gt;=100,"Strategic priority",IF(M18&gt;=30,"Long-term investment","Low priority / avoid"))))</f>
        <v/>
      </c>
      <c r="O18" s="20"/>
      <c r="P18" s="20"/>
    </row>
    <row r="19" customFormat="false" ht="15" hidden="false" customHeight="false" outlineLevel="0" collapsed="false">
      <c r="A19" s="20"/>
      <c r="B19" s="20"/>
      <c r="C19" s="20"/>
      <c r="D19" s="20"/>
      <c r="E19" s="20"/>
      <c r="F19" s="24"/>
      <c r="G19" s="20"/>
      <c r="H19" s="20"/>
      <c r="I19" s="20"/>
      <c r="J19" s="20"/>
      <c r="K19" s="20"/>
      <c r="L19" s="20"/>
      <c r="M19" s="25" t="str">
        <f aca="false">IF(COUNT(H19:L19)=5,H19*I19*J19*K19/L19,"")</f>
        <v/>
      </c>
      <c r="N19" s="26" t="str">
        <f aca="false">IF(M19="","",IF(AND(M19&gt;=100,L19&lt;=2),"Quick win",IF(M19&gt;=100,"Strategic priority",IF(M19&gt;=30,"Long-term investment","Low priority / avoid"))))</f>
        <v/>
      </c>
      <c r="O19" s="20"/>
      <c r="P19" s="20"/>
    </row>
    <row r="20" customFormat="false" ht="15" hidden="false" customHeight="false" outlineLevel="0" collapsed="false">
      <c r="A20" s="20"/>
      <c r="B20" s="20"/>
      <c r="C20" s="20"/>
      <c r="D20" s="20"/>
      <c r="E20" s="20"/>
      <c r="F20" s="24"/>
      <c r="G20" s="20"/>
      <c r="H20" s="20"/>
      <c r="I20" s="20"/>
      <c r="J20" s="20"/>
      <c r="K20" s="20"/>
      <c r="L20" s="20"/>
      <c r="M20" s="25" t="str">
        <f aca="false">IF(COUNT(H20:L20)=5,H20*I20*J20*K20/L20,"")</f>
        <v/>
      </c>
      <c r="N20" s="26" t="str">
        <f aca="false">IF(M20="","",IF(AND(M20&gt;=100,L20&lt;=2),"Quick win",IF(M20&gt;=100,"Strategic priority",IF(M20&gt;=30,"Long-term investment","Low priority / avoid"))))</f>
        <v/>
      </c>
      <c r="O20" s="20"/>
      <c r="P20" s="20"/>
    </row>
    <row r="21" customFormat="false" ht="15" hidden="false" customHeight="false" outlineLevel="0" collapsed="false">
      <c r="A21" s="20"/>
      <c r="B21" s="20"/>
      <c r="C21" s="20"/>
      <c r="D21" s="20"/>
      <c r="E21" s="20"/>
      <c r="F21" s="24"/>
      <c r="G21" s="20"/>
      <c r="H21" s="20"/>
      <c r="I21" s="20"/>
      <c r="J21" s="20"/>
      <c r="K21" s="20"/>
      <c r="L21" s="20"/>
      <c r="M21" s="25" t="str">
        <f aca="false">IF(COUNT(H21:L21)=5,H21*I21*J21*K21/L21,"")</f>
        <v/>
      </c>
      <c r="N21" s="26" t="str">
        <f aca="false">IF(M21="","",IF(AND(M21&gt;=100,L21&lt;=2),"Quick win",IF(M21&gt;=100,"Strategic priority",IF(M21&gt;=30,"Long-term investment","Low priority / avoid"))))</f>
        <v/>
      </c>
      <c r="O21" s="20"/>
      <c r="P21" s="20"/>
    </row>
    <row r="22" customFormat="false" ht="15" hidden="false" customHeight="false" outlineLevel="0" collapsed="false">
      <c r="A22" s="20"/>
      <c r="B22" s="20"/>
      <c r="C22" s="20"/>
      <c r="D22" s="20"/>
      <c r="E22" s="20"/>
      <c r="F22" s="24"/>
      <c r="G22" s="20"/>
      <c r="H22" s="20"/>
      <c r="I22" s="20"/>
      <c r="J22" s="20"/>
      <c r="K22" s="20"/>
      <c r="L22" s="20"/>
      <c r="M22" s="25" t="str">
        <f aca="false">IF(COUNT(H22:L22)=5,H22*I22*J22*K22/L22,"")</f>
        <v/>
      </c>
      <c r="N22" s="26" t="str">
        <f aca="false">IF(M22="","",IF(AND(M22&gt;=100,L22&lt;=2),"Quick win",IF(M22&gt;=100,"Strategic priority",IF(M22&gt;=30,"Long-term investment","Low priority / avoid"))))</f>
        <v/>
      </c>
      <c r="O22" s="20"/>
      <c r="P22" s="20"/>
    </row>
    <row r="23" customFormat="false" ht="15" hidden="false" customHeight="false" outlineLevel="0" collapsed="false">
      <c r="A23" s="20"/>
      <c r="B23" s="20"/>
      <c r="C23" s="20"/>
      <c r="D23" s="20"/>
      <c r="E23" s="20"/>
      <c r="F23" s="24"/>
      <c r="G23" s="20"/>
      <c r="H23" s="20"/>
      <c r="I23" s="20"/>
      <c r="J23" s="20"/>
      <c r="K23" s="20"/>
      <c r="L23" s="20"/>
      <c r="M23" s="25" t="str">
        <f aca="false">IF(COUNT(H23:L23)=5,H23*I23*J23*K23/L23,"")</f>
        <v/>
      </c>
      <c r="N23" s="26" t="str">
        <f aca="false">IF(M23="","",IF(AND(M23&gt;=100,L23&lt;=2),"Quick win",IF(M23&gt;=100,"Strategic priority",IF(M23&gt;=30,"Long-term investment","Low priority / avoid"))))</f>
        <v/>
      </c>
      <c r="O23" s="20"/>
      <c r="P23" s="20"/>
    </row>
    <row r="24" customFormat="false" ht="15" hidden="false" customHeight="false" outlineLevel="0" collapsed="false">
      <c r="A24" s="20"/>
      <c r="B24" s="20"/>
      <c r="C24" s="20"/>
      <c r="D24" s="20"/>
      <c r="E24" s="20"/>
      <c r="F24" s="24"/>
      <c r="G24" s="20"/>
      <c r="H24" s="20"/>
      <c r="I24" s="20"/>
      <c r="J24" s="20"/>
      <c r="K24" s="20"/>
      <c r="L24" s="20"/>
      <c r="M24" s="25" t="str">
        <f aca="false">IF(COUNT(H24:L24)=5,H24*I24*J24*K24/L24,"")</f>
        <v/>
      </c>
      <c r="N24" s="26" t="str">
        <f aca="false">IF(M24="","",IF(AND(M24&gt;=100,L24&lt;=2),"Quick win",IF(M24&gt;=100,"Strategic priority",IF(M24&gt;=30,"Long-term investment","Low priority / avoid"))))</f>
        <v/>
      </c>
      <c r="O24" s="20"/>
      <c r="P24" s="20"/>
    </row>
    <row r="25" customFormat="false" ht="15" hidden="false" customHeight="false" outlineLevel="0" collapsed="false">
      <c r="A25" s="20"/>
      <c r="B25" s="20"/>
      <c r="C25" s="20"/>
      <c r="D25" s="20"/>
      <c r="E25" s="20"/>
      <c r="F25" s="24"/>
      <c r="G25" s="20"/>
      <c r="H25" s="20"/>
      <c r="I25" s="20"/>
      <c r="J25" s="20"/>
      <c r="K25" s="20"/>
      <c r="L25" s="20"/>
      <c r="M25" s="25" t="str">
        <f aca="false">IF(COUNT(H25:L25)=5,H25*I25*J25*K25/L25,"")</f>
        <v/>
      </c>
      <c r="N25" s="26" t="str">
        <f aca="false">IF(M25="","",IF(AND(M25&gt;=100,L25&lt;=2),"Quick win",IF(M25&gt;=100,"Strategic priority",IF(M25&gt;=30,"Long-term investment","Low priority / avoid"))))</f>
        <v/>
      </c>
      <c r="O25" s="20"/>
      <c r="P25" s="20"/>
    </row>
    <row r="26" customFormat="false" ht="15" hidden="false" customHeight="false" outlineLevel="0" collapsed="false">
      <c r="A26" s="20"/>
      <c r="B26" s="20"/>
      <c r="C26" s="20"/>
      <c r="D26" s="20"/>
      <c r="E26" s="20"/>
      <c r="F26" s="24"/>
      <c r="G26" s="20"/>
      <c r="H26" s="20"/>
      <c r="I26" s="20"/>
      <c r="J26" s="20"/>
      <c r="K26" s="20"/>
      <c r="L26" s="20"/>
      <c r="M26" s="25" t="str">
        <f aca="false">IF(COUNT(H26:L26)=5,H26*I26*J26*K26/L26,"")</f>
        <v/>
      </c>
      <c r="N26" s="26" t="str">
        <f aca="false">IF(M26="","",IF(AND(M26&gt;=100,L26&lt;=2),"Quick win",IF(M26&gt;=100,"Strategic priority",IF(M26&gt;=30,"Long-term investment","Low priority / avoid"))))</f>
        <v/>
      </c>
      <c r="O26" s="20"/>
      <c r="P26" s="20"/>
    </row>
    <row r="27" customFormat="false" ht="15" hidden="false" customHeight="false" outlineLevel="0" collapsed="false">
      <c r="A27" s="20"/>
      <c r="B27" s="20"/>
      <c r="C27" s="20"/>
      <c r="D27" s="20"/>
      <c r="E27" s="20"/>
      <c r="F27" s="24"/>
      <c r="G27" s="20"/>
      <c r="H27" s="20"/>
      <c r="I27" s="20"/>
      <c r="J27" s="20"/>
      <c r="K27" s="20"/>
      <c r="L27" s="20"/>
      <c r="M27" s="25" t="str">
        <f aca="false">IF(COUNT(H27:L27)=5,H27*I27*J27*K27/L27,"")</f>
        <v/>
      </c>
      <c r="N27" s="26" t="str">
        <f aca="false">IF(M27="","",IF(AND(M27&gt;=100,L27&lt;=2),"Quick win",IF(M27&gt;=100,"Strategic priority",IF(M27&gt;=30,"Long-term investment","Low priority / avoid"))))</f>
        <v/>
      </c>
      <c r="O27" s="20"/>
      <c r="P27" s="20"/>
    </row>
    <row r="28" customFormat="false" ht="15" hidden="false" customHeight="false" outlineLevel="0" collapsed="false">
      <c r="A28" s="20"/>
      <c r="B28" s="20"/>
      <c r="C28" s="20"/>
      <c r="D28" s="20"/>
      <c r="E28" s="20"/>
      <c r="F28" s="24"/>
      <c r="G28" s="20"/>
      <c r="H28" s="20"/>
      <c r="I28" s="20"/>
      <c r="J28" s="20"/>
      <c r="K28" s="20"/>
      <c r="L28" s="20"/>
      <c r="M28" s="25" t="str">
        <f aca="false">IF(COUNT(H28:L28)=5,H28*I28*J28*K28/L28,"")</f>
        <v/>
      </c>
      <c r="N28" s="26" t="str">
        <f aca="false">IF(M28="","",IF(AND(M28&gt;=100,L28&lt;=2),"Quick win",IF(M28&gt;=100,"Strategic priority",IF(M28&gt;=30,"Long-term investment","Low priority / avoid"))))</f>
        <v/>
      </c>
      <c r="O28" s="20"/>
      <c r="P28" s="20"/>
    </row>
    <row r="29" customFormat="false" ht="15" hidden="false" customHeight="false" outlineLevel="0" collapsed="false">
      <c r="A29" s="20"/>
      <c r="B29" s="20"/>
      <c r="C29" s="20"/>
      <c r="D29" s="20"/>
      <c r="E29" s="20"/>
      <c r="F29" s="24"/>
      <c r="G29" s="20"/>
      <c r="H29" s="20"/>
      <c r="I29" s="20"/>
      <c r="J29" s="20"/>
      <c r="K29" s="20"/>
      <c r="L29" s="20"/>
      <c r="M29" s="25" t="str">
        <f aca="false">IF(COUNT(H29:L29)=5,H29*I29*J29*K29/L29,"")</f>
        <v/>
      </c>
      <c r="N29" s="26" t="str">
        <f aca="false">IF(M29="","",IF(AND(M29&gt;=100,L29&lt;=2),"Quick win",IF(M29&gt;=100,"Strategic priority",IF(M29&gt;=30,"Long-term investment","Low priority / avoid"))))</f>
        <v/>
      </c>
      <c r="O29" s="20"/>
      <c r="P29" s="20"/>
    </row>
    <row r="30" customFormat="false" ht="15" hidden="false" customHeight="false" outlineLevel="0" collapsed="false">
      <c r="A30" s="20"/>
      <c r="B30" s="20"/>
      <c r="C30" s="20"/>
      <c r="D30" s="20"/>
      <c r="E30" s="20"/>
      <c r="F30" s="24"/>
      <c r="G30" s="20"/>
      <c r="H30" s="20"/>
      <c r="I30" s="20"/>
      <c r="J30" s="20"/>
      <c r="K30" s="20"/>
      <c r="L30" s="20"/>
      <c r="M30" s="25" t="str">
        <f aca="false">IF(COUNT(H30:L30)=5,H30*I30*J30*K30/L30,"")</f>
        <v/>
      </c>
      <c r="N30" s="26" t="str">
        <f aca="false">IF(M30="","",IF(AND(M30&gt;=100,L30&lt;=2),"Quick win",IF(M30&gt;=100,"Strategic priority",IF(M30&gt;=30,"Long-term investment","Low priority / avoid"))))</f>
        <v/>
      </c>
      <c r="O30" s="20"/>
      <c r="P30" s="20"/>
    </row>
    <row r="31" customFormat="false" ht="15" hidden="false" customHeight="false" outlineLevel="0" collapsed="false">
      <c r="A31" s="20"/>
      <c r="B31" s="20"/>
      <c r="C31" s="20"/>
      <c r="D31" s="20"/>
      <c r="E31" s="20"/>
      <c r="F31" s="24"/>
      <c r="G31" s="20"/>
      <c r="H31" s="20"/>
      <c r="I31" s="20"/>
      <c r="J31" s="20"/>
      <c r="K31" s="20"/>
      <c r="L31" s="20"/>
      <c r="M31" s="25" t="str">
        <f aca="false">IF(COUNT(H31:L31)=5,H31*I31*J31*K31/L31,"")</f>
        <v/>
      </c>
      <c r="N31" s="26" t="str">
        <f aca="false">IF(M31="","",IF(AND(M31&gt;=100,L31&lt;=2),"Quick win",IF(M31&gt;=100,"Strategic priority",IF(M31&gt;=30,"Long-term investment","Low priority / avoid"))))</f>
        <v/>
      </c>
      <c r="O31" s="20"/>
      <c r="P31" s="20"/>
    </row>
    <row r="32" customFormat="false" ht="15" hidden="false" customHeight="false" outlineLevel="0" collapsed="false">
      <c r="A32" s="20"/>
      <c r="B32" s="20"/>
      <c r="C32" s="20"/>
      <c r="D32" s="20"/>
      <c r="E32" s="20"/>
      <c r="F32" s="24"/>
      <c r="G32" s="20"/>
      <c r="H32" s="20"/>
      <c r="I32" s="20"/>
      <c r="J32" s="20"/>
      <c r="K32" s="20"/>
      <c r="L32" s="20"/>
      <c r="M32" s="25" t="str">
        <f aca="false">IF(COUNT(H32:L32)=5,H32*I32*J32*K32/L32,"")</f>
        <v/>
      </c>
      <c r="N32" s="26" t="str">
        <f aca="false">IF(M32="","",IF(AND(M32&gt;=100,L32&lt;=2),"Quick win",IF(M32&gt;=100,"Strategic priority",IF(M32&gt;=30,"Long-term investment","Low priority / avoid"))))</f>
        <v/>
      </c>
      <c r="O32" s="20"/>
      <c r="P32" s="20"/>
    </row>
    <row r="33" customFormat="false" ht="15" hidden="false" customHeight="false" outlineLevel="0" collapsed="false">
      <c r="A33" s="20"/>
      <c r="B33" s="20"/>
      <c r="C33" s="20"/>
      <c r="D33" s="20"/>
      <c r="E33" s="20"/>
      <c r="F33" s="24"/>
      <c r="G33" s="20"/>
      <c r="H33" s="20"/>
      <c r="I33" s="20"/>
      <c r="J33" s="20"/>
      <c r="K33" s="20"/>
      <c r="L33" s="20"/>
      <c r="M33" s="25" t="str">
        <f aca="false">IF(COUNT(H33:L33)=5,H33*I33*J33*K33/L33,"")</f>
        <v/>
      </c>
      <c r="N33" s="26" t="str">
        <f aca="false">IF(M33="","",IF(AND(M33&gt;=100,L33&lt;=2),"Quick win",IF(M33&gt;=100,"Strategic priority",IF(M33&gt;=30,"Long-term investment","Low priority / avoid"))))</f>
        <v/>
      </c>
      <c r="O33" s="20"/>
      <c r="P33" s="20"/>
    </row>
    <row r="34" customFormat="false" ht="15" hidden="false" customHeight="false" outlineLevel="0" collapsed="false">
      <c r="A34" s="20"/>
      <c r="B34" s="20"/>
      <c r="C34" s="20"/>
      <c r="D34" s="20"/>
      <c r="E34" s="20"/>
      <c r="F34" s="24"/>
      <c r="G34" s="20"/>
      <c r="H34" s="20"/>
      <c r="I34" s="20"/>
      <c r="J34" s="20"/>
      <c r="K34" s="20"/>
      <c r="L34" s="20"/>
      <c r="M34" s="25" t="str">
        <f aca="false">IF(COUNT(H34:L34)=5,H34*I34*J34*K34/L34,"")</f>
        <v/>
      </c>
      <c r="N34" s="26" t="str">
        <f aca="false">IF(M34="","",IF(AND(M34&gt;=100,L34&lt;=2),"Quick win",IF(M34&gt;=100,"Strategic priority",IF(M34&gt;=30,"Long-term investment","Low priority / avoid"))))</f>
        <v/>
      </c>
      <c r="O34" s="20"/>
      <c r="P34" s="20"/>
    </row>
    <row r="35" customFormat="false" ht="15" hidden="false" customHeight="false" outlineLevel="0" collapsed="false">
      <c r="A35" s="20"/>
      <c r="B35" s="20"/>
      <c r="C35" s="20"/>
      <c r="D35" s="20"/>
      <c r="E35" s="20"/>
      <c r="F35" s="24"/>
      <c r="G35" s="20"/>
      <c r="H35" s="20"/>
      <c r="I35" s="20"/>
      <c r="J35" s="20"/>
      <c r="K35" s="20"/>
      <c r="L35" s="20"/>
      <c r="M35" s="25" t="str">
        <f aca="false">IF(COUNT(H35:L35)=5,H35*I35*J35*K35/L35,"")</f>
        <v/>
      </c>
      <c r="N35" s="26" t="str">
        <f aca="false">IF(M35="","",IF(AND(M35&gt;=100,L35&lt;=2),"Quick win",IF(M35&gt;=100,"Strategic priority",IF(M35&gt;=30,"Long-term investment","Low priority / avoid"))))</f>
        <v/>
      </c>
      <c r="O35" s="20"/>
      <c r="P35" s="20"/>
    </row>
    <row r="36" customFormat="false" ht="15" hidden="false" customHeight="false" outlineLevel="0" collapsed="false">
      <c r="A36" s="20"/>
      <c r="B36" s="20"/>
      <c r="C36" s="20"/>
      <c r="D36" s="20"/>
      <c r="E36" s="20"/>
      <c r="F36" s="24"/>
      <c r="G36" s="20"/>
      <c r="H36" s="20"/>
      <c r="I36" s="20"/>
      <c r="J36" s="20"/>
      <c r="K36" s="20"/>
      <c r="L36" s="20"/>
      <c r="M36" s="25" t="str">
        <f aca="false">IF(COUNT(H36:L36)=5,H36*I36*J36*K36/L36,"")</f>
        <v/>
      </c>
      <c r="N36" s="26" t="str">
        <f aca="false">IF(M36="","",IF(AND(M36&gt;=100,L36&lt;=2),"Quick win",IF(M36&gt;=100,"Strategic priority",IF(M36&gt;=30,"Long-term investment","Low priority / avoid"))))</f>
        <v/>
      </c>
      <c r="O36" s="20"/>
      <c r="P36" s="20"/>
    </row>
    <row r="37" customFormat="false" ht="15" hidden="false" customHeight="false" outlineLevel="0" collapsed="false">
      <c r="A37" s="20"/>
      <c r="B37" s="20"/>
      <c r="C37" s="20"/>
      <c r="D37" s="20"/>
      <c r="E37" s="20"/>
      <c r="F37" s="24"/>
      <c r="G37" s="20"/>
      <c r="H37" s="20"/>
      <c r="I37" s="20"/>
      <c r="J37" s="20"/>
      <c r="K37" s="20"/>
      <c r="L37" s="20"/>
      <c r="M37" s="25" t="str">
        <f aca="false">IF(COUNT(H37:L37)=5,H37*I37*J37*K37/L37,"")</f>
        <v/>
      </c>
      <c r="N37" s="26" t="str">
        <f aca="false">IF(M37="","",IF(AND(M37&gt;=100,L37&lt;=2),"Quick win",IF(M37&gt;=100,"Strategic priority",IF(M37&gt;=30,"Long-term investment","Low priority / avoid"))))</f>
        <v/>
      </c>
      <c r="O37" s="20"/>
      <c r="P37" s="20"/>
    </row>
    <row r="38" customFormat="false" ht="15" hidden="false" customHeight="false" outlineLevel="0" collapsed="false">
      <c r="A38" s="20"/>
      <c r="B38" s="20"/>
      <c r="C38" s="20"/>
      <c r="D38" s="20"/>
      <c r="E38" s="20"/>
      <c r="F38" s="24"/>
      <c r="G38" s="20"/>
      <c r="H38" s="20"/>
      <c r="I38" s="20"/>
      <c r="J38" s="20"/>
      <c r="K38" s="20"/>
      <c r="L38" s="20"/>
      <c r="M38" s="25" t="str">
        <f aca="false">IF(COUNT(H38:L38)=5,H38*I38*J38*K38/L38,"")</f>
        <v/>
      </c>
      <c r="N38" s="26" t="str">
        <f aca="false">IF(M38="","",IF(AND(M38&gt;=100,L38&lt;=2),"Quick win",IF(M38&gt;=100,"Strategic priority",IF(M38&gt;=30,"Long-term investment","Low priority / avoid"))))</f>
        <v/>
      </c>
      <c r="O38" s="20"/>
      <c r="P38" s="20"/>
    </row>
    <row r="39" customFormat="false" ht="15" hidden="false" customHeight="false" outlineLevel="0" collapsed="false">
      <c r="A39" s="20"/>
      <c r="B39" s="20"/>
      <c r="C39" s="20"/>
      <c r="D39" s="20"/>
      <c r="E39" s="20"/>
      <c r="F39" s="24"/>
      <c r="G39" s="20"/>
      <c r="H39" s="20"/>
      <c r="I39" s="20"/>
      <c r="J39" s="20"/>
      <c r="K39" s="20"/>
      <c r="L39" s="20"/>
      <c r="M39" s="25" t="str">
        <f aca="false">IF(COUNT(H39:L39)=5,H39*I39*J39*K39/L39,"")</f>
        <v/>
      </c>
      <c r="N39" s="26" t="str">
        <f aca="false">IF(M39="","",IF(AND(M39&gt;=100,L39&lt;=2),"Quick win",IF(M39&gt;=100,"Strategic priority",IF(M39&gt;=30,"Long-term investment","Low priority / avoid"))))</f>
        <v/>
      </c>
      <c r="O39" s="20"/>
      <c r="P39" s="20"/>
    </row>
    <row r="40" customFormat="false" ht="15" hidden="false" customHeight="false" outlineLevel="0" collapsed="false">
      <c r="A40" s="20"/>
      <c r="B40" s="20"/>
      <c r="C40" s="20"/>
      <c r="D40" s="20"/>
      <c r="E40" s="20"/>
      <c r="F40" s="24"/>
      <c r="G40" s="20"/>
      <c r="H40" s="20"/>
      <c r="I40" s="20"/>
      <c r="J40" s="20"/>
      <c r="K40" s="20"/>
      <c r="L40" s="20"/>
      <c r="M40" s="25" t="str">
        <f aca="false">IF(COUNT(H40:L40)=5,H40*I40*J40*K40/L40,"")</f>
        <v/>
      </c>
      <c r="N40" s="26" t="str">
        <f aca="false">IF(M40="","",IF(AND(M40&gt;=100,L40&lt;=2),"Quick win",IF(M40&gt;=100,"Strategic priority",IF(M40&gt;=30,"Long-term investment","Low priority / avoid"))))</f>
        <v/>
      </c>
      <c r="O40" s="20"/>
      <c r="P40" s="20"/>
    </row>
    <row r="41" customFormat="false" ht="15" hidden="false" customHeight="false" outlineLevel="0" collapsed="false">
      <c r="A41" s="20"/>
      <c r="B41" s="20"/>
      <c r="C41" s="20"/>
      <c r="D41" s="20"/>
      <c r="E41" s="20"/>
      <c r="F41" s="24"/>
      <c r="G41" s="20"/>
      <c r="H41" s="20"/>
      <c r="I41" s="20"/>
      <c r="J41" s="20"/>
      <c r="K41" s="20"/>
      <c r="L41" s="20"/>
      <c r="M41" s="25" t="str">
        <f aca="false">IF(COUNT(H41:L41)=5,H41*I41*J41*K41/L41,"")</f>
        <v/>
      </c>
      <c r="N41" s="26" t="str">
        <f aca="false">IF(M41="","",IF(AND(M41&gt;=100,L41&lt;=2),"Quick win",IF(M41&gt;=100,"Strategic priority",IF(M41&gt;=30,"Long-term investment","Low priority / avoid"))))</f>
        <v/>
      </c>
      <c r="O41" s="20"/>
      <c r="P41" s="20"/>
    </row>
    <row r="42" customFormat="false" ht="15" hidden="false" customHeight="false" outlineLevel="0" collapsed="false">
      <c r="A42" s="20"/>
      <c r="B42" s="20"/>
      <c r="C42" s="20"/>
      <c r="D42" s="20"/>
      <c r="E42" s="20"/>
      <c r="F42" s="24"/>
      <c r="G42" s="20"/>
      <c r="H42" s="20"/>
      <c r="I42" s="20"/>
      <c r="J42" s="20"/>
      <c r="K42" s="20"/>
      <c r="L42" s="20"/>
      <c r="M42" s="25" t="str">
        <f aca="false">IF(COUNT(H42:L42)=5,H42*I42*J42*K42/L42,"")</f>
        <v/>
      </c>
      <c r="N42" s="26" t="str">
        <f aca="false">IF(M42="","",IF(AND(M42&gt;=100,L42&lt;=2),"Quick win",IF(M42&gt;=100,"Strategic priority",IF(M42&gt;=30,"Long-term investment","Low priority / avoid"))))</f>
        <v/>
      </c>
      <c r="O42" s="20"/>
      <c r="P42" s="20"/>
    </row>
    <row r="43" customFormat="false" ht="15" hidden="false" customHeight="false" outlineLevel="0" collapsed="false">
      <c r="A43" s="20"/>
      <c r="B43" s="20"/>
      <c r="C43" s="20"/>
      <c r="D43" s="20"/>
      <c r="E43" s="20"/>
      <c r="F43" s="24"/>
      <c r="G43" s="20"/>
      <c r="H43" s="20"/>
      <c r="I43" s="20"/>
      <c r="J43" s="20"/>
      <c r="K43" s="20"/>
      <c r="L43" s="20"/>
      <c r="M43" s="25" t="str">
        <f aca="false">IF(COUNT(H43:L43)=5,H43*I43*J43*K43/L43,"")</f>
        <v/>
      </c>
      <c r="N43" s="26" t="str">
        <f aca="false">IF(M43="","",IF(AND(M43&gt;=100,L43&lt;=2),"Quick win",IF(M43&gt;=100,"Strategic priority",IF(M43&gt;=30,"Long-term investment","Low priority / avoid"))))</f>
        <v/>
      </c>
      <c r="O43" s="20"/>
      <c r="P43" s="20"/>
    </row>
    <row r="44" customFormat="false" ht="15" hidden="false" customHeight="false" outlineLevel="0" collapsed="false">
      <c r="A44" s="20"/>
      <c r="B44" s="20"/>
      <c r="C44" s="20"/>
      <c r="D44" s="20"/>
      <c r="E44" s="20"/>
      <c r="F44" s="24"/>
      <c r="G44" s="20"/>
      <c r="H44" s="20"/>
      <c r="I44" s="20"/>
      <c r="J44" s="20"/>
      <c r="K44" s="20"/>
      <c r="L44" s="20"/>
      <c r="M44" s="25" t="str">
        <f aca="false">IF(COUNT(H44:L44)=5,H44*I44*J44*K44/L44,"")</f>
        <v/>
      </c>
      <c r="N44" s="26" t="str">
        <f aca="false">IF(M44="","",IF(AND(M44&gt;=100,L44&lt;=2),"Quick win",IF(M44&gt;=100,"Strategic priority",IF(M44&gt;=30,"Long-term investment","Low priority / avoid"))))</f>
        <v/>
      </c>
      <c r="O44" s="20"/>
      <c r="P44" s="20"/>
    </row>
    <row r="45" customFormat="false" ht="15" hidden="false" customHeight="false" outlineLevel="0" collapsed="false">
      <c r="A45" s="20"/>
      <c r="B45" s="20"/>
      <c r="C45" s="20"/>
      <c r="D45" s="20"/>
      <c r="E45" s="20"/>
      <c r="F45" s="24"/>
      <c r="G45" s="20"/>
      <c r="H45" s="20"/>
      <c r="I45" s="20"/>
      <c r="J45" s="20"/>
      <c r="K45" s="20"/>
      <c r="L45" s="20"/>
      <c r="M45" s="25" t="str">
        <f aca="false">IF(COUNT(H45:L45)=5,H45*I45*J45*K45/L45,"")</f>
        <v/>
      </c>
      <c r="N45" s="26" t="str">
        <f aca="false">IF(M45="","",IF(AND(M45&gt;=100,L45&lt;=2),"Quick win",IF(M45&gt;=100,"Strategic priority",IF(M45&gt;=30,"Long-term investment","Low priority / avoid"))))</f>
        <v/>
      </c>
      <c r="O45" s="20"/>
      <c r="P45" s="20"/>
    </row>
    <row r="46" customFormat="false" ht="15" hidden="false" customHeight="false" outlineLevel="0" collapsed="false">
      <c r="A46" s="20"/>
      <c r="B46" s="20"/>
      <c r="C46" s="20"/>
      <c r="D46" s="20"/>
      <c r="E46" s="20"/>
      <c r="F46" s="24"/>
      <c r="G46" s="20"/>
      <c r="H46" s="20"/>
      <c r="I46" s="20"/>
      <c r="J46" s="20"/>
      <c r="K46" s="20"/>
      <c r="L46" s="20"/>
      <c r="M46" s="25" t="str">
        <f aca="false">IF(COUNT(H46:L46)=5,H46*I46*J46*K46/L46,"")</f>
        <v/>
      </c>
      <c r="N46" s="26" t="str">
        <f aca="false">IF(M46="","",IF(AND(M46&gt;=100,L46&lt;=2),"Quick win",IF(M46&gt;=100,"Strategic priority",IF(M46&gt;=30,"Long-term investment","Low priority / avoid"))))</f>
        <v/>
      </c>
      <c r="O46" s="20"/>
      <c r="P46" s="20"/>
    </row>
    <row r="47" customFormat="false" ht="15" hidden="false" customHeight="false" outlineLevel="0" collapsed="false">
      <c r="A47" s="20"/>
      <c r="B47" s="20"/>
      <c r="C47" s="20"/>
      <c r="D47" s="20"/>
      <c r="E47" s="20"/>
      <c r="F47" s="24"/>
      <c r="G47" s="20"/>
      <c r="H47" s="20"/>
      <c r="I47" s="20"/>
      <c r="J47" s="20"/>
      <c r="K47" s="20"/>
      <c r="L47" s="20"/>
      <c r="M47" s="25" t="str">
        <f aca="false">IF(COUNT(H47:L47)=5,H47*I47*J47*K47/L47,"")</f>
        <v/>
      </c>
      <c r="N47" s="26" t="str">
        <f aca="false">IF(M47="","",IF(AND(M47&gt;=100,L47&lt;=2),"Quick win",IF(M47&gt;=100,"Strategic priority",IF(M47&gt;=30,"Long-term investment","Low priority / avoid"))))</f>
        <v/>
      </c>
      <c r="O47" s="20"/>
      <c r="P47" s="20"/>
    </row>
    <row r="48" customFormat="false" ht="15" hidden="false" customHeight="false" outlineLevel="0" collapsed="false">
      <c r="A48" s="20"/>
      <c r="B48" s="20"/>
      <c r="C48" s="20"/>
      <c r="D48" s="20"/>
      <c r="E48" s="20"/>
      <c r="F48" s="24"/>
      <c r="G48" s="20"/>
      <c r="H48" s="20"/>
      <c r="I48" s="20"/>
      <c r="J48" s="20"/>
      <c r="K48" s="20"/>
      <c r="L48" s="20"/>
      <c r="M48" s="25" t="str">
        <f aca="false">IF(COUNT(H48:L48)=5,H48*I48*J48*K48/L48,"")</f>
        <v/>
      </c>
      <c r="N48" s="26" t="str">
        <f aca="false">IF(M48="","",IF(AND(M48&gt;=100,L48&lt;=2),"Quick win",IF(M48&gt;=100,"Strategic priority",IF(M48&gt;=30,"Long-term investment","Low priority / avoid"))))</f>
        <v/>
      </c>
      <c r="O48" s="20"/>
      <c r="P48" s="20"/>
    </row>
    <row r="49" customFormat="false" ht="15" hidden="false" customHeight="false" outlineLevel="0" collapsed="false">
      <c r="A49" s="20"/>
      <c r="B49" s="20"/>
      <c r="C49" s="20"/>
      <c r="D49" s="20"/>
      <c r="E49" s="20"/>
      <c r="F49" s="24"/>
      <c r="G49" s="20"/>
      <c r="H49" s="20"/>
      <c r="I49" s="20"/>
      <c r="J49" s="20"/>
      <c r="K49" s="20"/>
      <c r="L49" s="20"/>
      <c r="M49" s="25" t="str">
        <f aca="false">IF(COUNT(H49:L49)=5,H49*I49*J49*K49/L49,"")</f>
        <v/>
      </c>
      <c r="N49" s="26" t="str">
        <f aca="false">IF(M49="","",IF(AND(M49&gt;=100,L49&lt;=2),"Quick win",IF(M49&gt;=100,"Strategic priority",IF(M49&gt;=30,"Long-term investment","Low priority / avoid"))))</f>
        <v/>
      </c>
      <c r="O49" s="20"/>
      <c r="P49" s="20"/>
    </row>
    <row r="50" customFormat="false" ht="15" hidden="false" customHeight="false" outlineLevel="0" collapsed="false">
      <c r="A50" s="20"/>
      <c r="B50" s="20"/>
      <c r="C50" s="20"/>
      <c r="D50" s="20"/>
      <c r="E50" s="20"/>
      <c r="F50" s="24"/>
      <c r="G50" s="20"/>
      <c r="H50" s="20"/>
      <c r="I50" s="20"/>
      <c r="J50" s="20"/>
      <c r="K50" s="20"/>
      <c r="L50" s="20"/>
      <c r="M50" s="25" t="str">
        <f aca="false">IF(COUNT(H50:L50)=5,H50*I50*J50*K50/L50,"")</f>
        <v/>
      </c>
      <c r="N50" s="26" t="str">
        <f aca="false">IF(M50="","",IF(AND(M50&gt;=100,L50&lt;=2),"Quick win",IF(M50&gt;=100,"Strategic priority",IF(M50&gt;=30,"Long-term investment","Low priority / avoid"))))</f>
        <v/>
      </c>
      <c r="O50" s="20"/>
      <c r="P50" s="20"/>
    </row>
    <row r="51" customFormat="false" ht="15" hidden="false" customHeight="false" outlineLevel="0" collapsed="false">
      <c r="A51" s="20"/>
      <c r="B51" s="20"/>
      <c r="C51" s="20"/>
      <c r="D51" s="20"/>
      <c r="E51" s="20"/>
      <c r="F51" s="24"/>
      <c r="G51" s="20"/>
      <c r="H51" s="20"/>
      <c r="I51" s="20"/>
      <c r="J51" s="20"/>
      <c r="K51" s="20"/>
      <c r="L51" s="20"/>
      <c r="M51" s="25" t="str">
        <f aca="false">IF(COUNT(H51:L51)=5,H51*I51*J51*K51/L51,"")</f>
        <v/>
      </c>
      <c r="N51" s="26" t="str">
        <f aca="false">IF(M51="","",IF(AND(M51&gt;=100,L51&lt;=2),"Quick win",IF(M51&gt;=100,"Strategic priority",IF(M51&gt;=30,"Long-term investment","Low priority / avoid"))))</f>
        <v/>
      </c>
      <c r="O51" s="20"/>
      <c r="P51" s="20"/>
    </row>
    <row r="52" customFormat="false" ht="15" hidden="false" customHeight="false" outlineLevel="0" collapsed="false">
      <c r="A52" s="20"/>
      <c r="B52" s="20"/>
      <c r="C52" s="20"/>
      <c r="D52" s="20"/>
      <c r="E52" s="20"/>
      <c r="F52" s="24"/>
      <c r="G52" s="20"/>
      <c r="H52" s="20"/>
      <c r="I52" s="20"/>
      <c r="J52" s="20"/>
      <c r="K52" s="20"/>
      <c r="L52" s="20"/>
      <c r="M52" s="25" t="str">
        <f aca="false">IF(COUNT(H52:L52)=5,H52*I52*J52*K52/L52,"")</f>
        <v/>
      </c>
      <c r="N52" s="26" t="str">
        <f aca="false">IF(M52="","",IF(AND(M52&gt;=100,L52&lt;=2),"Quick win",IF(M52&gt;=100,"Strategic priority",IF(M52&gt;=30,"Long-term investment","Low priority / avoid"))))</f>
        <v/>
      </c>
      <c r="O52" s="20"/>
      <c r="P52" s="20"/>
    </row>
    <row r="53" customFormat="false" ht="15" hidden="false" customHeight="false" outlineLevel="0" collapsed="false">
      <c r="A53" s="20"/>
      <c r="B53" s="20"/>
      <c r="C53" s="20"/>
      <c r="D53" s="20"/>
      <c r="E53" s="20"/>
      <c r="F53" s="24"/>
      <c r="G53" s="20"/>
      <c r="H53" s="20"/>
      <c r="I53" s="20"/>
      <c r="J53" s="20"/>
      <c r="K53" s="20"/>
      <c r="L53" s="20"/>
      <c r="M53" s="25" t="str">
        <f aca="false">IF(COUNT(H53:L53)=5,H53*I53*J53*K53/L53,"")</f>
        <v/>
      </c>
      <c r="N53" s="26" t="str">
        <f aca="false">IF(M53="","",IF(AND(M53&gt;=100,L53&lt;=2),"Quick win",IF(M53&gt;=100,"Strategic priority",IF(M53&gt;=30,"Long-term investment","Low priority / avoid"))))</f>
        <v/>
      </c>
      <c r="O53" s="20"/>
      <c r="P53" s="20"/>
    </row>
    <row r="54" customFormat="false" ht="15" hidden="false" customHeight="false" outlineLevel="0" collapsed="false">
      <c r="A54" s="20"/>
      <c r="B54" s="20"/>
      <c r="C54" s="20"/>
      <c r="D54" s="20"/>
      <c r="E54" s="20"/>
      <c r="F54" s="24"/>
      <c r="G54" s="20"/>
      <c r="H54" s="20"/>
      <c r="I54" s="20"/>
      <c r="J54" s="20"/>
      <c r="K54" s="20"/>
      <c r="L54" s="20"/>
      <c r="M54" s="25" t="str">
        <f aca="false">IF(COUNT(H54:L54)=5,H54*I54*J54*K54/L54,"")</f>
        <v/>
      </c>
      <c r="N54" s="26" t="str">
        <f aca="false">IF(M54="","",IF(AND(M54&gt;=100,L54&lt;=2),"Quick win",IF(M54&gt;=100,"Strategic priority",IF(M54&gt;=30,"Long-term investment","Low priority / avoid"))))</f>
        <v/>
      </c>
      <c r="O54" s="20"/>
      <c r="P54" s="20"/>
    </row>
    <row r="55" customFormat="false" ht="15" hidden="false" customHeight="false" outlineLevel="0" collapsed="false">
      <c r="A55" s="20"/>
      <c r="B55" s="20"/>
      <c r="C55" s="20"/>
      <c r="D55" s="20"/>
      <c r="E55" s="20"/>
      <c r="F55" s="24"/>
      <c r="G55" s="20"/>
      <c r="H55" s="20"/>
      <c r="I55" s="20"/>
      <c r="J55" s="20"/>
      <c r="K55" s="20"/>
      <c r="L55" s="20"/>
      <c r="M55" s="25" t="str">
        <f aca="false">IF(COUNT(H55:L55)=5,H55*I55*J55*K55/L55,"")</f>
        <v/>
      </c>
      <c r="N55" s="26" t="str">
        <f aca="false">IF(M55="","",IF(AND(M55&gt;=100,L55&lt;=2),"Quick win",IF(M55&gt;=100,"Strategic priority",IF(M55&gt;=30,"Long-term investment","Low priority / avoid"))))</f>
        <v/>
      </c>
      <c r="O55" s="20"/>
      <c r="P55" s="20"/>
    </row>
    <row r="56" customFormat="false" ht="15" hidden="false" customHeight="false" outlineLevel="0" collapsed="false">
      <c r="A56" s="20"/>
      <c r="B56" s="20"/>
      <c r="C56" s="20"/>
      <c r="D56" s="20"/>
      <c r="E56" s="20"/>
      <c r="F56" s="24"/>
      <c r="G56" s="20"/>
      <c r="H56" s="20"/>
      <c r="I56" s="20"/>
      <c r="J56" s="20"/>
      <c r="K56" s="20"/>
      <c r="L56" s="20"/>
      <c r="M56" s="25" t="str">
        <f aca="false">IF(COUNT(H56:L56)=5,H56*I56*J56*K56/L56,"")</f>
        <v/>
      </c>
      <c r="N56" s="26" t="str">
        <f aca="false">IF(M56="","",IF(AND(M56&gt;=100,L56&lt;=2),"Quick win",IF(M56&gt;=100,"Strategic priority",IF(M56&gt;=30,"Long-term investment","Low priority / avoid"))))</f>
        <v/>
      </c>
      <c r="O56" s="20"/>
      <c r="P56" s="20"/>
    </row>
    <row r="57" customFormat="false" ht="15" hidden="false" customHeight="false" outlineLevel="0" collapsed="false">
      <c r="A57" s="20"/>
      <c r="B57" s="20"/>
      <c r="C57" s="20"/>
      <c r="D57" s="20"/>
      <c r="E57" s="20"/>
      <c r="F57" s="24"/>
      <c r="G57" s="20"/>
      <c r="H57" s="20"/>
      <c r="I57" s="20"/>
      <c r="J57" s="20"/>
      <c r="K57" s="20"/>
      <c r="L57" s="20"/>
      <c r="M57" s="25" t="str">
        <f aca="false">IF(COUNT(H57:L57)=5,H57*I57*J57*K57/L57,"")</f>
        <v/>
      </c>
      <c r="N57" s="26" t="str">
        <f aca="false">IF(M57="","",IF(AND(M57&gt;=100,L57&lt;=2),"Quick win",IF(M57&gt;=100,"Strategic priority",IF(M57&gt;=30,"Long-term investment","Low priority / avoid"))))</f>
        <v/>
      </c>
      <c r="O57" s="20"/>
      <c r="P57" s="20"/>
    </row>
    <row r="58" customFormat="false" ht="15" hidden="false" customHeight="false" outlineLevel="0" collapsed="false">
      <c r="A58" s="20"/>
      <c r="B58" s="20"/>
      <c r="C58" s="20"/>
      <c r="D58" s="20"/>
      <c r="E58" s="20"/>
      <c r="F58" s="24"/>
      <c r="G58" s="20"/>
      <c r="H58" s="20"/>
      <c r="I58" s="20"/>
      <c r="J58" s="20"/>
      <c r="K58" s="20"/>
      <c r="L58" s="20"/>
      <c r="M58" s="25" t="str">
        <f aca="false">IF(COUNT(H58:L58)=5,H58*I58*J58*K58/L58,"")</f>
        <v/>
      </c>
      <c r="N58" s="26" t="str">
        <f aca="false">IF(M58="","",IF(AND(M58&gt;=100,L58&lt;=2),"Quick win",IF(M58&gt;=100,"Strategic priority",IF(M58&gt;=30,"Long-term investment","Low priority / avoid"))))</f>
        <v/>
      </c>
      <c r="O58" s="20"/>
      <c r="P58" s="20"/>
    </row>
    <row r="59" customFormat="false" ht="15" hidden="false" customHeight="false" outlineLevel="0" collapsed="false">
      <c r="A59" s="20"/>
      <c r="B59" s="20"/>
      <c r="C59" s="20"/>
      <c r="D59" s="20"/>
      <c r="E59" s="20"/>
      <c r="F59" s="24"/>
      <c r="G59" s="20"/>
      <c r="H59" s="20"/>
      <c r="I59" s="20"/>
      <c r="J59" s="20"/>
      <c r="K59" s="20"/>
      <c r="L59" s="20"/>
      <c r="M59" s="25" t="str">
        <f aca="false">IF(COUNT(H59:L59)=5,H59*I59*J59*K59/L59,"")</f>
        <v/>
      </c>
      <c r="N59" s="26" t="str">
        <f aca="false">IF(M59="","",IF(AND(M59&gt;=100,L59&lt;=2),"Quick win",IF(M59&gt;=100,"Strategic priority",IF(M59&gt;=30,"Long-term investment","Low priority / avoid"))))</f>
        <v/>
      </c>
      <c r="O59" s="20"/>
      <c r="P59" s="20"/>
    </row>
    <row r="60" customFormat="false" ht="15" hidden="false" customHeight="false" outlineLevel="0" collapsed="false">
      <c r="A60" s="20"/>
      <c r="B60" s="20"/>
      <c r="C60" s="20"/>
      <c r="D60" s="20"/>
      <c r="E60" s="20"/>
      <c r="F60" s="24"/>
      <c r="G60" s="20"/>
      <c r="H60" s="20"/>
      <c r="I60" s="20"/>
      <c r="J60" s="20"/>
      <c r="K60" s="20"/>
      <c r="L60" s="20"/>
      <c r="M60" s="25" t="str">
        <f aca="false">IF(COUNT(H60:L60)=5,H60*I60*J60*K60/L60,"")</f>
        <v/>
      </c>
      <c r="N60" s="26" t="str">
        <f aca="false">IF(M60="","",IF(AND(M60&gt;=100,L60&lt;=2),"Quick win",IF(M60&gt;=100,"Strategic priority",IF(M60&gt;=30,"Long-term investment","Low priority / avoid"))))</f>
        <v/>
      </c>
      <c r="O60" s="20"/>
      <c r="P60" s="20"/>
    </row>
    <row r="61" customFormat="false" ht="15" hidden="false" customHeight="false" outlineLevel="0" collapsed="false">
      <c r="A61" s="20"/>
      <c r="B61" s="20"/>
      <c r="C61" s="20"/>
      <c r="D61" s="20"/>
      <c r="E61" s="20"/>
      <c r="F61" s="24"/>
      <c r="G61" s="20"/>
      <c r="H61" s="20"/>
      <c r="I61" s="20"/>
      <c r="J61" s="20"/>
      <c r="K61" s="20"/>
      <c r="L61" s="20"/>
      <c r="M61" s="25" t="str">
        <f aca="false">IF(COUNT(H61:L61)=5,H61*I61*J61*K61/L61,"")</f>
        <v/>
      </c>
      <c r="N61" s="26" t="str">
        <f aca="false">IF(M61="","",IF(AND(M61&gt;=100,L61&lt;=2),"Quick win",IF(M61&gt;=100,"Strategic priority",IF(M61&gt;=30,"Long-term investment","Low priority / avoid"))))</f>
        <v/>
      </c>
      <c r="O61" s="20"/>
      <c r="P61" s="20"/>
    </row>
    <row r="62" customFormat="false" ht="15" hidden="false" customHeight="false" outlineLevel="0" collapsed="false">
      <c r="A62" s="20"/>
      <c r="B62" s="20"/>
      <c r="C62" s="20"/>
      <c r="D62" s="20"/>
      <c r="E62" s="20"/>
      <c r="F62" s="24"/>
      <c r="G62" s="20"/>
      <c r="H62" s="20"/>
      <c r="I62" s="20"/>
      <c r="J62" s="20"/>
      <c r="K62" s="20"/>
      <c r="L62" s="20"/>
      <c r="M62" s="25" t="str">
        <f aca="false">IF(COUNT(H62:L62)=5,H62*I62*J62*K62/L62,"")</f>
        <v/>
      </c>
      <c r="N62" s="26" t="str">
        <f aca="false">IF(M62="","",IF(AND(M62&gt;=100,L62&lt;=2),"Quick win",IF(M62&gt;=100,"Strategic priority",IF(M62&gt;=30,"Long-term investment","Low priority / avoid"))))</f>
        <v/>
      </c>
      <c r="O62" s="20"/>
      <c r="P62" s="20"/>
    </row>
    <row r="63" customFormat="false" ht="15" hidden="false" customHeight="false" outlineLevel="0" collapsed="false">
      <c r="A63" s="20"/>
      <c r="B63" s="20"/>
      <c r="C63" s="20"/>
      <c r="D63" s="20"/>
      <c r="E63" s="20"/>
      <c r="F63" s="24"/>
      <c r="G63" s="20"/>
      <c r="H63" s="20"/>
      <c r="I63" s="20"/>
      <c r="J63" s="20"/>
      <c r="K63" s="20"/>
      <c r="L63" s="20"/>
      <c r="M63" s="25" t="str">
        <f aca="false">IF(COUNT(H63:L63)=5,H63*I63*J63*K63/L63,"")</f>
        <v/>
      </c>
      <c r="N63" s="26" t="str">
        <f aca="false">IF(M63="","",IF(AND(M63&gt;=100,L63&lt;=2),"Quick win",IF(M63&gt;=100,"Strategic priority",IF(M63&gt;=30,"Long-term investment","Low priority / avoid"))))</f>
        <v/>
      </c>
      <c r="O63" s="20"/>
      <c r="P63" s="20"/>
    </row>
    <row r="64" customFormat="false" ht="15" hidden="false" customHeight="false" outlineLevel="0" collapsed="false">
      <c r="A64" s="20"/>
      <c r="B64" s="20"/>
      <c r="C64" s="20"/>
      <c r="D64" s="20"/>
      <c r="E64" s="20"/>
      <c r="F64" s="24"/>
      <c r="G64" s="20"/>
      <c r="H64" s="20"/>
      <c r="I64" s="20"/>
      <c r="J64" s="20"/>
      <c r="K64" s="20"/>
      <c r="L64" s="20"/>
      <c r="M64" s="25" t="str">
        <f aca="false">IF(COUNT(H64:L64)=5,H64*I64*J64*K64/L64,"")</f>
        <v/>
      </c>
      <c r="N64" s="26" t="str">
        <f aca="false">IF(M64="","",IF(AND(M64&gt;=100,L64&lt;=2),"Quick win",IF(M64&gt;=100,"Strategic priority",IF(M64&gt;=30,"Long-term investment","Low priority / avoid"))))</f>
        <v/>
      </c>
      <c r="O64" s="20"/>
      <c r="P64" s="20"/>
    </row>
    <row r="65" customFormat="false" ht="15" hidden="false" customHeight="false" outlineLevel="0" collapsed="false">
      <c r="A65" s="20"/>
      <c r="B65" s="20"/>
      <c r="C65" s="20"/>
      <c r="D65" s="20"/>
      <c r="E65" s="20"/>
      <c r="F65" s="24"/>
      <c r="G65" s="20"/>
      <c r="H65" s="20"/>
      <c r="I65" s="20"/>
      <c r="J65" s="20"/>
      <c r="K65" s="20"/>
      <c r="L65" s="20"/>
      <c r="M65" s="25" t="str">
        <f aca="false">IF(COUNT(H65:L65)=5,H65*I65*J65*K65/L65,"")</f>
        <v/>
      </c>
      <c r="N65" s="26" t="str">
        <f aca="false">IF(M65="","",IF(AND(M65&gt;=100,L65&lt;=2),"Quick win",IF(M65&gt;=100,"Strategic priority",IF(M65&gt;=30,"Long-term investment","Low priority / avoid"))))</f>
        <v/>
      </c>
      <c r="O65" s="20"/>
      <c r="P65" s="20"/>
    </row>
    <row r="66" customFormat="false" ht="15" hidden="false" customHeight="false" outlineLevel="0" collapsed="false">
      <c r="A66" s="20"/>
      <c r="B66" s="20"/>
      <c r="C66" s="20"/>
      <c r="D66" s="20"/>
      <c r="E66" s="20"/>
      <c r="F66" s="24"/>
      <c r="G66" s="20"/>
      <c r="H66" s="20"/>
      <c r="I66" s="20"/>
      <c r="J66" s="20"/>
      <c r="K66" s="20"/>
      <c r="L66" s="20"/>
      <c r="M66" s="25" t="str">
        <f aca="false">IF(COUNT(H66:L66)=5,H66*I66*J66*K66/L66,"")</f>
        <v/>
      </c>
      <c r="N66" s="26" t="str">
        <f aca="false">IF(M66="","",IF(AND(M66&gt;=100,L66&lt;=2),"Quick win",IF(M66&gt;=100,"Strategic priority",IF(M66&gt;=30,"Long-term investment","Low priority / avoid"))))</f>
        <v/>
      </c>
      <c r="O66" s="20"/>
      <c r="P66" s="20"/>
    </row>
    <row r="67" customFormat="false" ht="15" hidden="false" customHeight="false" outlineLevel="0" collapsed="false">
      <c r="A67" s="20"/>
      <c r="B67" s="20"/>
      <c r="C67" s="20"/>
      <c r="D67" s="20"/>
      <c r="E67" s="20"/>
      <c r="F67" s="24"/>
      <c r="G67" s="20"/>
      <c r="H67" s="20"/>
      <c r="I67" s="20"/>
      <c r="J67" s="20"/>
      <c r="K67" s="20"/>
      <c r="L67" s="20"/>
      <c r="M67" s="25" t="str">
        <f aca="false">IF(COUNT(H67:L67)=5,H67*I67*J67*K67/L67,"")</f>
        <v/>
      </c>
      <c r="N67" s="26" t="str">
        <f aca="false">IF(M67="","",IF(AND(M67&gt;=100,L67&lt;=2),"Quick win",IF(M67&gt;=100,"Strategic priority",IF(M67&gt;=30,"Long-term investment","Low priority / avoid"))))</f>
        <v/>
      </c>
      <c r="O67" s="20"/>
      <c r="P67" s="20"/>
    </row>
    <row r="68" customFormat="false" ht="15" hidden="false" customHeight="false" outlineLevel="0" collapsed="false">
      <c r="A68" s="20"/>
      <c r="B68" s="20"/>
      <c r="C68" s="20"/>
      <c r="D68" s="20"/>
      <c r="E68" s="20"/>
      <c r="F68" s="24"/>
      <c r="G68" s="20"/>
      <c r="H68" s="20"/>
      <c r="I68" s="20"/>
      <c r="J68" s="20"/>
      <c r="K68" s="20"/>
      <c r="L68" s="20"/>
      <c r="M68" s="25" t="str">
        <f aca="false">IF(COUNT(H68:L68)=5,H68*I68*J68*K68/L68,"")</f>
        <v/>
      </c>
      <c r="N68" s="26" t="str">
        <f aca="false">IF(M68="","",IF(AND(M68&gt;=100,L68&lt;=2),"Quick win",IF(M68&gt;=100,"Strategic priority",IF(M68&gt;=30,"Long-term investment","Low priority / avoid"))))</f>
        <v/>
      </c>
      <c r="O68" s="20"/>
      <c r="P68" s="20"/>
    </row>
    <row r="69" customFormat="false" ht="15" hidden="false" customHeight="false" outlineLevel="0" collapsed="false">
      <c r="A69" s="20"/>
      <c r="B69" s="20"/>
      <c r="C69" s="20"/>
      <c r="D69" s="20"/>
      <c r="E69" s="20"/>
      <c r="F69" s="24"/>
      <c r="G69" s="20"/>
      <c r="H69" s="20"/>
      <c r="I69" s="20"/>
      <c r="J69" s="20"/>
      <c r="K69" s="20"/>
      <c r="L69" s="20"/>
      <c r="M69" s="25" t="str">
        <f aca="false">IF(COUNT(H69:L69)=5,H69*I69*J69*K69/L69,"")</f>
        <v/>
      </c>
      <c r="N69" s="26" t="str">
        <f aca="false">IF(M69="","",IF(AND(M69&gt;=100,L69&lt;=2),"Quick win",IF(M69&gt;=100,"Strategic priority",IF(M69&gt;=30,"Long-term investment","Low priority / avoid"))))</f>
        <v/>
      </c>
      <c r="O69" s="20"/>
      <c r="P69" s="20"/>
    </row>
    <row r="70" customFormat="false" ht="15" hidden="false" customHeight="false" outlineLevel="0" collapsed="false">
      <c r="A70" s="20"/>
      <c r="B70" s="20"/>
      <c r="C70" s="20"/>
      <c r="D70" s="20"/>
      <c r="E70" s="20"/>
      <c r="F70" s="24"/>
      <c r="G70" s="20"/>
      <c r="H70" s="20"/>
      <c r="I70" s="20"/>
      <c r="J70" s="20"/>
      <c r="K70" s="20"/>
      <c r="L70" s="20"/>
      <c r="M70" s="25" t="str">
        <f aca="false">IF(COUNT(H70:L70)=5,H70*I70*J70*K70/L70,"")</f>
        <v/>
      </c>
      <c r="N70" s="26" t="str">
        <f aca="false">IF(M70="","",IF(AND(M70&gt;=100,L70&lt;=2),"Quick win",IF(M70&gt;=100,"Strategic priority",IF(M70&gt;=30,"Long-term investment","Low priority / avoid"))))</f>
        <v/>
      </c>
      <c r="O70" s="20"/>
      <c r="P70" s="20"/>
    </row>
    <row r="71" customFormat="false" ht="15" hidden="false" customHeight="false" outlineLevel="0" collapsed="false">
      <c r="A71" s="20"/>
      <c r="B71" s="20"/>
      <c r="C71" s="20"/>
      <c r="D71" s="20"/>
      <c r="E71" s="20"/>
      <c r="F71" s="24"/>
      <c r="G71" s="20"/>
      <c r="H71" s="20"/>
      <c r="I71" s="20"/>
      <c r="J71" s="20"/>
      <c r="K71" s="20"/>
      <c r="L71" s="20"/>
      <c r="M71" s="25" t="str">
        <f aca="false">IF(COUNT(H71:L71)=5,H71*I71*J71*K71/L71,"")</f>
        <v/>
      </c>
      <c r="N71" s="26" t="str">
        <f aca="false">IF(M71="","",IF(AND(M71&gt;=100,L71&lt;=2),"Quick win",IF(M71&gt;=100,"Strategic priority",IF(M71&gt;=30,"Long-term investment","Low priority / avoid"))))</f>
        <v/>
      </c>
      <c r="O71" s="20"/>
      <c r="P71" s="20"/>
    </row>
    <row r="72" customFormat="false" ht="15" hidden="false" customHeight="false" outlineLevel="0" collapsed="false">
      <c r="A72" s="20"/>
      <c r="B72" s="20"/>
      <c r="C72" s="20"/>
      <c r="D72" s="20"/>
      <c r="E72" s="20"/>
      <c r="F72" s="24"/>
      <c r="G72" s="20"/>
      <c r="H72" s="20"/>
      <c r="I72" s="20"/>
      <c r="J72" s="20"/>
      <c r="K72" s="20"/>
      <c r="L72" s="20"/>
      <c r="M72" s="25" t="str">
        <f aca="false">IF(COUNT(H72:L72)=5,H72*I72*J72*K72/L72,"")</f>
        <v/>
      </c>
      <c r="N72" s="26" t="str">
        <f aca="false">IF(M72="","",IF(AND(M72&gt;=100,L72&lt;=2),"Quick win",IF(M72&gt;=100,"Strategic priority",IF(M72&gt;=30,"Long-term investment","Low priority / avoid"))))</f>
        <v/>
      </c>
      <c r="O72" s="20"/>
      <c r="P72" s="20"/>
    </row>
    <row r="73" customFormat="false" ht="15" hidden="false" customHeight="false" outlineLevel="0" collapsed="false">
      <c r="A73" s="20"/>
      <c r="B73" s="20"/>
      <c r="C73" s="20"/>
      <c r="D73" s="20"/>
      <c r="E73" s="20"/>
      <c r="F73" s="24"/>
      <c r="G73" s="20"/>
      <c r="H73" s="20"/>
      <c r="I73" s="20"/>
      <c r="J73" s="20"/>
      <c r="K73" s="20"/>
      <c r="L73" s="20"/>
      <c r="M73" s="25" t="str">
        <f aca="false">IF(COUNT(H73:L73)=5,H73*I73*J73*K73/L73,"")</f>
        <v/>
      </c>
      <c r="N73" s="26" t="str">
        <f aca="false">IF(M73="","",IF(AND(M73&gt;=100,L73&lt;=2),"Quick win",IF(M73&gt;=100,"Strategic priority",IF(M73&gt;=30,"Long-term investment","Low priority / avoid"))))</f>
        <v/>
      </c>
      <c r="O73" s="20"/>
      <c r="P73" s="20"/>
    </row>
    <row r="74" customFormat="false" ht="15" hidden="false" customHeight="false" outlineLevel="0" collapsed="false">
      <c r="A74" s="20"/>
      <c r="B74" s="20"/>
      <c r="C74" s="20"/>
      <c r="D74" s="20"/>
      <c r="E74" s="20"/>
      <c r="F74" s="24"/>
      <c r="G74" s="20"/>
      <c r="H74" s="20"/>
      <c r="I74" s="20"/>
      <c r="J74" s="20"/>
      <c r="K74" s="20"/>
      <c r="L74" s="20"/>
      <c r="M74" s="25" t="str">
        <f aca="false">IF(COUNT(H74:L74)=5,H74*I74*J74*K74/L74,"")</f>
        <v/>
      </c>
      <c r="N74" s="26" t="str">
        <f aca="false">IF(M74="","",IF(AND(M74&gt;=100,L74&lt;=2),"Quick win",IF(M74&gt;=100,"Strategic priority",IF(M74&gt;=30,"Long-term investment","Low priority / avoid"))))</f>
        <v/>
      </c>
      <c r="O74" s="20"/>
      <c r="P74" s="20"/>
    </row>
    <row r="75" customFormat="false" ht="15" hidden="false" customHeight="false" outlineLevel="0" collapsed="false">
      <c r="A75" s="20"/>
      <c r="B75" s="20"/>
      <c r="C75" s="20"/>
      <c r="D75" s="20"/>
      <c r="E75" s="20"/>
      <c r="F75" s="24"/>
      <c r="G75" s="20"/>
      <c r="H75" s="20"/>
      <c r="I75" s="20"/>
      <c r="J75" s="20"/>
      <c r="K75" s="20"/>
      <c r="L75" s="20"/>
      <c r="M75" s="25" t="str">
        <f aca="false">IF(COUNT(H75:L75)=5,H75*I75*J75*K75/L75,"")</f>
        <v/>
      </c>
      <c r="N75" s="26" t="str">
        <f aca="false">IF(M75="","",IF(AND(M75&gt;=100,L75&lt;=2),"Quick win",IF(M75&gt;=100,"Strategic priority",IF(M75&gt;=30,"Long-term investment","Low priority / avoid"))))</f>
        <v/>
      </c>
      <c r="O75" s="20"/>
      <c r="P75" s="20"/>
    </row>
    <row r="76" customFormat="false" ht="15" hidden="false" customHeight="false" outlineLevel="0" collapsed="false">
      <c r="A76" s="20"/>
      <c r="B76" s="20"/>
      <c r="C76" s="20"/>
      <c r="D76" s="20"/>
      <c r="E76" s="20"/>
      <c r="F76" s="24"/>
      <c r="G76" s="20"/>
      <c r="H76" s="20"/>
      <c r="I76" s="20"/>
      <c r="J76" s="20"/>
      <c r="K76" s="20"/>
      <c r="L76" s="20"/>
      <c r="M76" s="25" t="str">
        <f aca="false">IF(COUNT(H76:L76)=5,H76*I76*J76*K76/L76,"")</f>
        <v/>
      </c>
      <c r="N76" s="26" t="str">
        <f aca="false">IF(M76="","",IF(AND(M76&gt;=100,L76&lt;=2),"Quick win",IF(M76&gt;=100,"Strategic priority",IF(M76&gt;=30,"Long-term investment","Low priority / avoid"))))</f>
        <v/>
      </c>
      <c r="O76" s="20"/>
      <c r="P76" s="20"/>
    </row>
    <row r="77" customFormat="false" ht="15" hidden="false" customHeight="false" outlineLevel="0" collapsed="false">
      <c r="A77" s="20"/>
      <c r="B77" s="20"/>
      <c r="C77" s="20"/>
      <c r="D77" s="20"/>
      <c r="E77" s="20"/>
      <c r="F77" s="24"/>
      <c r="G77" s="20"/>
      <c r="H77" s="20"/>
      <c r="I77" s="20"/>
      <c r="J77" s="20"/>
      <c r="K77" s="20"/>
      <c r="L77" s="20"/>
      <c r="M77" s="25" t="str">
        <f aca="false">IF(COUNT(H77:L77)=5,H77*I77*J77*K77/L77,"")</f>
        <v/>
      </c>
      <c r="N77" s="26" t="str">
        <f aca="false">IF(M77="","",IF(AND(M77&gt;=100,L77&lt;=2),"Quick win",IF(M77&gt;=100,"Strategic priority",IF(M77&gt;=30,"Long-term investment","Low priority / avoid"))))</f>
        <v/>
      </c>
      <c r="O77" s="20"/>
      <c r="P77" s="20"/>
    </row>
    <row r="78" customFormat="false" ht="15" hidden="false" customHeight="false" outlineLevel="0" collapsed="false">
      <c r="A78" s="20"/>
      <c r="B78" s="20"/>
      <c r="C78" s="20"/>
      <c r="D78" s="20"/>
      <c r="E78" s="20"/>
      <c r="F78" s="24"/>
      <c r="G78" s="20"/>
      <c r="H78" s="20"/>
      <c r="I78" s="20"/>
      <c r="J78" s="20"/>
      <c r="K78" s="20"/>
      <c r="L78" s="20"/>
      <c r="M78" s="25" t="str">
        <f aca="false">IF(COUNT(H78:L78)=5,H78*I78*J78*K78/L78,"")</f>
        <v/>
      </c>
      <c r="N78" s="26" t="str">
        <f aca="false">IF(M78="","",IF(AND(M78&gt;=100,L78&lt;=2),"Quick win",IF(M78&gt;=100,"Strategic priority",IF(M78&gt;=30,"Long-term investment","Low priority / avoid"))))</f>
        <v/>
      </c>
      <c r="O78" s="20"/>
      <c r="P78" s="20"/>
    </row>
    <row r="79" customFormat="false" ht="15" hidden="false" customHeight="false" outlineLevel="0" collapsed="false">
      <c r="A79" s="20"/>
      <c r="B79" s="20"/>
      <c r="C79" s="20"/>
      <c r="D79" s="20"/>
      <c r="E79" s="20"/>
      <c r="F79" s="24"/>
      <c r="G79" s="20"/>
      <c r="H79" s="20"/>
      <c r="I79" s="20"/>
      <c r="J79" s="20"/>
      <c r="K79" s="20"/>
      <c r="L79" s="20"/>
      <c r="M79" s="25" t="str">
        <f aca="false">IF(COUNT(H79:L79)=5,H79*I79*J79*K79/L79,"")</f>
        <v/>
      </c>
      <c r="N79" s="26" t="str">
        <f aca="false">IF(M79="","",IF(AND(M79&gt;=100,L79&lt;=2),"Quick win",IF(M79&gt;=100,"Strategic priority",IF(M79&gt;=30,"Long-term investment","Low priority / avoid"))))</f>
        <v/>
      </c>
      <c r="O79" s="20"/>
      <c r="P79" s="20"/>
    </row>
    <row r="80" customFormat="false" ht="15" hidden="false" customHeight="false" outlineLevel="0" collapsed="false">
      <c r="A80" s="20"/>
      <c r="B80" s="20"/>
      <c r="C80" s="20"/>
      <c r="D80" s="20"/>
      <c r="E80" s="20"/>
      <c r="F80" s="24"/>
      <c r="G80" s="20"/>
      <c r="H80" s="20"/>
      <c r="I80" s="20"/>
      <c r="J80" s="20"/>
      <c r="K80" s="20"/>
      <c r="L80" s="20"/>
      <c r="M80" s="25" t="str">
        <f aca="false">IF(COUNT(H80:L80)=5,H80*I80*J80*K80/L80,"")</f>
        <v/>
      </c>
      <c r="N80" s="26" t="str">
        <f aca="false">IF(M80="","",IF(AND(M80&gt;=100,L80&lt;=2),"Quick win",IF(M80&gt;=100,"Strategic priority",IF(M80&gt;=30,"Long-term investment","Low priority / avoid"))))</f>
        <v/>
      </c>
      <c r="O80" s="20"/>
      <c r="P80" s="20"/>
    </row>
    <row r="81" customFormat="false" ht="15" hidden="false" customHeight="false" outlineLevel="0" collapsed="false">
      <c r="A81" s="20"/>
      <c r="B81" s="20"/>
      <c r="C81" s="20"/>
      <c r="D81" s="20"/>
      <c r="E81" s="20"/>
      <c r="F81" s="24"/>
      <c r="G81" s="20"/>
      <c r="H81" s="20"/>
      <c r="I81" s="20"/>
      <c r="J81" s="20"/>
      <c r="K81" s="20"/>
      <c r="L81" s="20"/>
      <c r="M81" s="25" t="str">
        <f aca="false">IF(COUNT(H81:L81)=5,H81*I81*J81*K81/L81,"")</f>
        <v/>
      </c>
      <c r="N81" s="26" t="str">
        <f aca="false">IF(M81="","",IF(AND(M81&gt;=100,L81&lt;=2),"Quick win",IF(M81&gt;=100,"Strategic priority",IF(M81&gt;=30,"Long-term investment","Low priority / avoid"))))</f>
        <v/>
      </c>
      <c r="O81" s="20"/>
      <c r="P81" s="20"/>
    </row>
    <row r="82" customFormat="false" ht="15" hidden="false" customHeight="false" outlineLevel="0" collapsed="false">
      <c r="A82" s="20"/>
      <c r="B82" s="20"/>
      <c r="C82" s="20"/>
      <c r="D82" s="20"/>
      <c r="E82" s="20"/>
      <c r="F82" s="24"/>
      <c r="G82" s="20"/>
      <c r="H82" s="20"/>
      <c r="I82" s="20"/>
      <c r="J82" s="20"/>
      <c r="K82" s="20"/>
      <c r="L82" s="20"/>
      <c r="M82" s="25" t="str">
        <f aca="false">IF(COUNT(H82:L82)=5,H82*I82*J82*K82/L82,"")</f>
        <v/>
      </c>
      <c r="N82" s="26" t="str">
        <f aca="false">IF(M82="","",IF(AND(M82&gt;=100,L82&lt;=2),"Quick win",IF(M82&gt;=100,"Strategic priority",IF(M82&gt;=30,"Long-term investment","Low priority / avoid"))))</f>
        <v/>
      </c>
      <c r="O82" s="20"/>
      <c r="P82" s="20"/>
    </row>
    <row r="83" customFormat="false" ht="15" hidden="false" customHeight="false" outlineLevel="0" collapsed="false">
      <c r="A83" s="20"/>
      <c r="B83" s="20"/>
      <c r="C83" s="20"/>
      <c r="D83" s="20"/>
      <c r="E83" s="20"/>
      <c r="F83" s="24"/>
      <c r="G83" s="20"/>
      <c r="H83" s="20"/>
      <c r="I83" s="20"/>
      <c r="J83" s="20"/>
      <c r="K83" s="20"/>
      <c r="L83" s="20"/>
      <c r="M83" s="25" t="str">
        <f aca="false">IF(COUNT(H83:L83)=5,H83*I83*J83*K83/L83,"")</f>
        <v/>
      </c>
      <c r="N83" s="26" t="str">
        <f aca="false">IF(M83="","",IF(AND(M83&gt;=100,L83&lt;=2),"Quick win",IF(M83&gt;=100,"Strategic priority",IF(M83&gt;=30,"Long-term investment","Low priority / avoid"))))</f>
        <v/>
      </c>
      <c r="O83" s="20"/>
      <c r="P83" s="20"/>
    </row>
    <row r="84" customFormat="false" ht="15" hidden="false" customHeight="false" outlineLevel="0" collapsed="false">
      <c r="A84" s="20"/>
      <c r="B84" s="20"/>
      <c r="C84" s="20"/>
      <c r="D84" s="20"/>
      <c r="E84" s="20"/>
      <c r="F84" s="24"/>
      <c r="G84" s="20"/>
      <c r="H84" s="20"/>
      <c r="I84" s="20"/>
      <c r="J84" s="20"/>
      <c r="K84" s="20"/>
      <c r="L84" s="20"/>
      <c r="M84" s="25" t="str">
        <f aca="false">IF(COUNT(H84:L84)=5,H84*I84*J84*K84/L84,"")</f>
        <v/>
      </c>
      <c r="N84" s="26" t="str">
        <f aca="false">IF(M84="","",IF(AND(M84&gt;=100,L84&lt;=2),"Quick win",IF(M84&gt;=100,"Strategic priority",IF(M84&gt;=30,"Long-term investment","Low priority / avoid"))))</f>
        <v/>
      </c>
      <c r="O84" s="20"/>
      <c r="P84" s="20"/>
    </row>
    <row r="85" customFormat="false" ht="15" hidden="false" customHeight="false" outlineLevel="0" collapsed="false">
      <c r="A85" s="20"/>
      <c r="B85" s="20"/>
      <c r="C85" s="20"/>
      <c r="D85" s="20"/>
      <c r="E85" s="20"/>
      <c r="F85" s="24"/>
      <c r="G85" s="20"/>
      <c r="H85" s="20"/>
      <c r="I85" s="20"/>
      <c r="J85" s="20"/>
      <c r="K85" s="20"/>
      <c r="L85" s="20"/>
      <c r="M85" s="25" t="str">
        <f aca="false">IF(COUNT(H85:L85)=5,H85*I85*J85*K85/L85,"")</f>
        <v/>
      </c>
      <c r="N85" s="26" t="str">
        <f aca="false">IF(M85="","",IF(AND(M85&gt;=100,L85&lt;=2),"Quick win",IF(M85&gt;=100,"Strategic priority",IF(M85&gt;=30,"Long-term investment","Low priority / avoid"))))</f>
        <v/>
      </c>
      <c r="O85" s="20"/>
      <c r="P85" s="20"/>
    </row>
    <row r="86" customFormat="false" ht="15" hidden="false" customHeight="false" outlineLevel="0" collapsed="false">
      <c r="A86" s="20"/>
      <c r="B86" s="20"/>
      <c r="C86" s="20"/>
      <c r="D86" s="20"/>
      <c r="E86" s="20"/>
      <c r="F86" s="24"/>
      <c r="G86" s="20"/>
      <c r="H86" s="20"/>
      <c r="I86" s="20"/>
      <c r="J86" s="20"/>
      <c r="K86" s="20"/>
      <c r="L86" s="20"/>
      <c r="M86" s="25" t="str">
        <f aca="false">IF(COUNT(H86:L86)=5,H86*I86*J86*K86/L86,"")</f>
        <v/>
      </c>
      <c r="N86" s="26" t="str">
        <f aca="false">IF(M86="","",IF(AND(M86&gt;=100,L86&lt;=2),"Quick win",IF(M86&gt;=100,"Strategic priority",IF(M86&gt;=30,"Long-term investment","Low priority / avoid"))))</f>
        <v/>
      </c>
      <c r="O86" s="20"/>
      <c r="P86" s="20"/>
    </row>
    <row r="87" customFormat="false" ht="15" hidden="false" customHeight="false" outlineLevel="0" collapsed="false">
      <c r="A87" s="20"/>
      <c r="B87" s="20"/>
      <c r="C87" s="20"/>
      <c r="D87" s="20"/>
      <c r="E87" s="20"/>
      <c r="F87" s="24"/>
      <c r="G87" s="20"/>
      <c r="H87" s="20"/>
      <c r="I87" s="20"/>
      <c r="J87" s="20"/>
      <c r="K87" s="20"/>
      <c r="L87" s="20"/>
      <c r="M87" s="25" t="str">
        <f aca="false">IF(COUNT(H87:L87)=5,H87*I87*J87*K87/L87,"")</f>
        <v/>
      </c>
      <c r="N87" s="26" t="str">
        <f aca="false">IF(M87="","",IF(AND(M87&gt;=100,L87&lt;=2),"Quick win",IF(M87&gt;=100,"Strategic priority",IF(M87&gt;=30,"Long-term investment","Low priority / avoid"))))</f>
        <v/>
      </c>
      <c r="O87" s="20"/>
      <c r="P87" s="20"/>
    </row>
    <row r="88" customFormat="false" ht="15" hidden="false" customHeight="false" outlineLevel="0" collapsed="false">
      <c r="A88" s="20"/>
      <c r="B88" s="20"/>
      <c r="C88" s="20"/>
      <c r="D88" s="20"/>
      <c r="E88" s="20"/>
      <c r="F88" s="24"/>
      <c r="G88" s="20"/>
      <c r="H88" s="20"/>
      <c r="I88" s="20"/>
      <c r="J88" s="20"/>
      <c r="K88" s="20"/>
      <c r="L88" s="20"/>
      <c r="M88" s="25" t="str">
        <f aca="false">IF(COUNT(H88:L88)=5,H88*I88*J88*K88/L88,"")</f>
        <v/>
      </c>
      <c r="N88" s="26" t="str">
        <f aca="false">IF(M88="","",IF(AND(M88&gt;=100,L88&lt;=2),"Quick win",IF(M88&gt;=100,"Strategic priority",IF(M88&gt;=30,"Long-term investment","Low priority / avoid"))))</f>
        <v/>
      </c>
      <c r="O88" s="20"/>
      <c r="P88" s="20"/>
    </row>
    <row r="89" customFormat="false" ht="15" hidden="false" customHeight="false" outlineLevel="0" collapsed="false">
      <c r="A89" s="20"/>
      <c r="B89" s="20"/>
      <c r="C89" s="20"/>
      <c r="D89" s="20"/>
      <c r="E89" s="20"/>
      <c r="F89" s="24"/>
      <c r="G89" s="20"/>
      <c r="H89" s="20"/>
      <c r="I89" s="20"/>
      <c r="J89" s="20"/>
      <c r="K89" s="20"/>
      <c r="L89" s="20"/>
      <c r="M89" s="25" t="str">
        <f aca="false">IF(COUNT(H89:L89)=5,H89*I89*J89*K89/L89,"")</f>
        <v/>
      </c>
      <c r="N89" s="26" t="str">
        <f aca="false">IF(M89="","",IF(AND(M89&gt;=100,L89&lt;=2),"Quick win",IF(M89&gt;=100,"Strategic priority",IF(M89&gt;=30,"Long-term investment","Low priority / avoid"))))</f>
        <v/>
      </c>
      <c r="O89" s="20"/>
      <c r="P89" s="20"/>
    </row>
    <row r="90" customFormat="false" ht="15" hidden="false" customHeight="false" outlineLevel="0" collapsed="false">
      <c r="A90" s="20"/>
      <c r="B90" s="20"/>
      <c r="C90" s="20"/>
      <c r="D90" s="20"/>
      <c r="E90" s="20"/>
      <c r="F90" s="24"/>
      <c r="G90" s="20"/>
      <c r="H90" s="20"/>
      <c r="I90" s="20"/>
      <c r="J90" s="20"/>
      <c r="K90" s="20"/>
      <c r="L90" s="20"/>
      <c r="M90" s="25" t="str">
        <f aca="false">IF(COUNT(H90:L90)=5,H90*I90*J90*K90/L90,"")</f>
        <v/>
      </c>
      <c r="N90" s="26" t="str">
        <f aca="false">IF(M90="","",IF(AND(M90&gt;=100,L90&lt;=2),"Quick win",IF(M90&gt;=100,"Strategic priority",IF(M90&gt;=30,"Long-term investment","Low priority / avoid"))))</f>
        <v/>
      </c>
      <c r="O90" s="20"/>
      <c r="P90" s="20"/>
    </row>
    <row r="91" customFormat="false" ht="15" hidden="false" customHeight="false" outlineLevel="0" collapsed="false">
      <c r="A91" s="20"/>
      <c r="B91" s="20"/>
      <c r="C91" s="20"/>
      <c r="D91" s="20"/>
      <c r="E91" s="20"/>
      <c r="F91" s="24"/>
      <c r="G91" s="20"/>
      <c r="H91" s="20"/>
      <c r="I91" s="20"/>
      <c r="J91" s="20"/>
      <c r="K91" s="20"/>
      <c r="L91" s="20"/>
      <c r="M91" s="25" t="str">
        <f aca="false">IF(COUNT(H91:L91)=5,H91*I91*J91*K91/L91,"")</f>
        <v/>
      </c>
      <c r="N91" s="26" t="str">
        <f aca="false">IF(M91="","",IF(AND(M91&gt;=100,L91&lt;=2),"Quick win",IF(M91&gt;=100,"Strategic priority",IF(M91&gt;=30,"Long-term investment","Low priority / avoid"))))</f>
        <v/>
      </c>
      <c r="O91" s="20"/>
      <c r="P91" s="20"/>
    </row>
    <row r="92" customFormat="false" ht="15" hidden="false" customHeight="false" outlineLevel="0" collapsed="false">
      <c r="A92" s="20"/>
      <c r="B92" s="20"/>
      <c r="C92" s="20"/>
      <c r="D92" s="20"/>
      <c r="E92" s="20"/>
      <c r="F92" s="24"/>
      <c r="G92" s="20"/>
      <c r="H92" s="20"/>
      <c r="I92" s="20"/>
      <c r="J92" s="20"/>
      <c r="K92" s="20"/>
      <c r="L92" s="20"/>
      <c r="M92" s="25" t="str">
        <f aca="false">IF(COUNT(H92:L92)=5,H92*I92*J92*K92/L92,"")</f>
        <v/>
      </c>
      <c r="N92" s="26" t="str">
        <f aca="false">IF(M92="","",IF(AND(M92&gt;=100,L92&lt;=2),"Quick win",IF(M92&gt;=100,"Strategic priority",IF(M92&gt;=30,"Long-term investment","Low priority / avoid"))))</f>
        <v/>
      </c>
      <c r="O92" s="20"/>
      <c r="P92" s="20"/>
    </row>
    <row r="93" customFormat="false" ht="15" hidden="false" customHeight="false" outlineLevel="0" collapsed="false">
      <c r="A93" s="20"/>
      <c r="B93" s="20"/>
      <c r="C93" s="20"/>
      <c r="D93" s="20"/>
      <c r="E93" s="20"/>
      <c r="F93" s="24"/>
      <c r="G93" s="20"/>
      <c r="H93" s="20"/>
      <c r="I93" s="20"/>
      <c r="J93" s="20"/>
      <c r="K93" s="20"/>
      <c r="L93" s="20"/>
      <c r="M93" s="25" t="str">
        <f aca="false">IF(COUNT(H93:L93)=5,H93*I93*J93*K93/L93,"")</f>
        <v/>
      </c>
      <c r="N93" s="26" t="str">
        <f aca="false">IF(M93="","",IF(AND(M93&gt;=100,L93&lt;=2),"Quick win",IF(M93&gt;=100,"Strategic priority",IF(M93&gt;=30,"Long-term investment","Low priority / avoid"))))</f>
        <v/>
      </c>
      <c r="O93" s="20"/>
      <c r="P93" s="20"/>
    </row>
    <row r="94" customFormat="false" ht="15" hidden="false" customHeight="false" outlineLevel="0" collapsed="false">
      <c r="A94" s="20"/>
      <c r="B94" s="20"/>
      <c r="C94" s="20"/>
      <c r="D94" s="20"/>
      <c r="E94" s="20"/>
      <c r="F94" s="24"/>
      <c r="G94" s="20"/>
      <c r="H94" s="20"/>
      <c r="I94" s="20"/>
      <c r="J94" s="20"/>
      <c r="K94" s="20"/>
      <c r="L94" s="20"/>
      <c r="M94" s="25" t="str">
        <f aca="false">IF(COUNT(H94:L94)=5,H94*I94*J94*K94/L94,"")</f>
        <v/>
      </c>
      <c r="N94" s="26" t="str">
        <f aca="false">IF(M94="","",IF(AND(M94&gt;=100,L94&lt;=2),"Quick win",IF(M94&gt;=100,"Strategic priority",IF(M94&gt;=30,"Long-term investment","Low priority / avoid"))))</f>
        <v/>
      </c>
      <c r="O94" s="20"/>
      <c r="P94" s="20"/>
    </row>
    <row r="95" customFormat="false" ht="15" hidden="false" customHeight="false" outlineLevel="0" collapsed="false">
      <c r="A95" s="20"/>
      <c r="B95" s="20"/>
      <c r="C95" s="20"/>
      <c r="D95" s="20"/>
      <c r="E95" s="20"/>
      <c r="F95" s="24"/>
      <c r="G95" s="20"/>
      <c r="H95" s="20"/>
      <c r="I95" s="20"/>
      <c r="J95" s="20"/>
      <c r="K95" s="20"/>
      <c r="L95" s="20"/>
      <c r="M95" s="25" t="str">
        <f aca="false">IF(COUNT(H95:L95)=5,H95*I95*J95*K95/L95,"")</f>
        <v/>
      </c>
      <c r="N95" s="26" t="str">
        <f aca="false">IF(M95="","",IF(AND(M95&gt;=100,L95&lt;=2),"Quick win",IF(M95&gt;=100,"Strategic priority",IF(M95&gt;=30,"Long-term investment","Low priority / avoid"))))</f>
        <v/>
      </c>
      <c r="O95" s="20"/>
      <c r="P95" s="20"/>
    </row>
    <row r="96" customFormat="false" ht="15" hidden="false" customHeight="false" outlineLevel="0" collapsed="false">
      <c r="A96" s="20"/>
      <c r="B96" s="20"/>
      <c r="C96" s="20"/>
      <c r="D96" s="20"/>
      <c r="E96" s="20"/>
      <c r="F96" s="24"/>
      <c r="G96" s="20"/>
      <c r="H96" s="20"/>
      <c r="I96" s="20"/>
      <c r="J96" s="20"/>
      <c r="K96" s="20"/>
      <c r="L96" s="20"/>
      <c r="M96" s="25" t="str">
        <f aca="false">IF(COUNT(H96:L96)=5,H96*I96*J96*K96/L96,"")</f>
        <v/>
      </c>
      <c r="N96" s="26" t="str">
        <f aca="false">IF(M96="","",IF(AND(M96&gt;=100,L96&lt;=2),"Quick win",IF(M96&gt;=100,"Strategic priority",IF(M96&gt;=30,"Long-term investment","Low priority / avoid"))))</f>
        <v/>
      </c>
      <c r="O96" s="20"/>
      <c r="P96" s="20"/>
    </row>
    <row r="97" customFormat="false" ht="15" hidden="false" customHeight="false" outlineLevel="0" collapsed="false">
      <c r="A97" s="20"/>
      <c r="B97" s="20"/>
      <c r="C97" s="20"/>
      <c r="D97" s="20"/>
      <c r="E97" s="20"/>
      <c r="F97" s="24"/>
      <c r="G97" s="20"/>
      <c r="H97" s="20"/>
      <c r="I97" s="20"/>
      <c r="J97" s="20"/>
      <c r="K97" s="20"/>
      <c r="L97" s="20"/>
      <c r="M97" s="25" t="str">
        <f aca="false">IF(COUNT(H97:L97)=5,H97*I97*J97*K97/L97,"")</f>
        <v/>
      </c>
      <c r="N97" s="26" t="str">
        <f aca="false">IF(M97="","",IF(AND(M97&gt;=100,L97&lt;=2),"Quick win",IF(M97&gt;=100,"Strategic priority",IF(M97&gt;=30,"Long-term investment","Low priority / avoid"))))</f>
        <v/>
      </c>
      <c r="O97" s="20"/>
      <c r="P97" s="20"/>
    </row>
    <row r="98" customFormat="false" ht="15" hidden="false" customHeight="false" outlineLevel="0" collapsed="false">
      <c r="A98" s="20"/>
      <c r="B98" s="20"/>
      <c r="C98" s="20"/>
      <c r="D98" s="20"/>
      <c r="E98" s="20"/>
      <c r="F98" s="24"/>
      <c r="G98" s="20"/>
      <c r="H98" s="20"/>
      <c r="I98" s="20"/>
      <c r="J98" s="20"/>
      <c r="K98" s="20"/>
      <c r="L98" s="20"/>
      <c r="M98" s="25" t="str">
        <f aca="false">IF(COUNT(H98:L98)=5,H98*I98*J98*K98/L98,"")</f>
        <v/>
      </c>
      <c r="N98" s="26" t="str">
        <f aca="false">IF(M98="","",IF(AND(M98&gt;=100,L98&lt;=2),"Quick win",IF(M98&gt;=100,"Strategic priority",IF(M98&gt;=30,"Long-term investment","Low priority / avoid"))))</f>
        <v/>
      </c>
      <c r="O98" s="20"/>
      <c r="P98" s="20"/>
    </row>
    <row r="99" customFormat="false" ht="15" hidden="false" customHeight="false" outlineLevel="0" collapsed="false">
      <c r="A99" s="20"/>
      <c r="B99" s="20"/>
      <c r="C99" s="20"/>
      <c r="D99" s="20"/>
      <c r="E99" s="20"/>
      <c r="F99" s="24"/>
      <c r="G99" s="20"/>
      <c r="H99" s="20"/>
      <c r="I99" s="20"/>
      <c r="J99" s="20"/>
      <c r="K99" s="20"/>
      <c r="L99" s="20"/>
      <c r="M99" s="25" t="str">
        <f aca="false">IF(COUNT(H99:L99)=5,H99*I99*J99*K99/L99,"")</f>
        <v/>
      </c>
      <c r="N99" s="26" t="str">
        <f aca="false">IF(M99="","",IF(AND(M99&gt;=100,L99&lt;=2),"Quick win",IF(M99&gt;=100,"Strategic priority",IF(M99&gt;=30,"Long-term investment","Low priority / avoid"))))</f>
        <v/>
      </c>
      <c r="O99" s="20"/>
      <c r="P99" s="20"/>
    </row>
    <row r="100" customFormat="false" ht="15" hidden="false" customHeight="false" outlineLevel="0" collapsed="false">
      <c r="A100" s="20"/>
      <c r="B100" s="20"/>
      <c r="C100" s="20"/>
      <c r="D100" s="20"/>
      <c r="E100" s="20"/>
      <c r="F100" s="24"/>
      <c r="G100" s="20"/>
      <c r="H100" s="20"/>
      <c r="I100" s="20"/>
      <c r="J100" s="20"/>
      <c r="K100" s="20"/>
      <c r="L100" s="20"/>
      <c r="M100" s="25" t="str">
        <f aca="false">IF(COUNT(H100:L100)=5,H100*I100*J100*K100/L100,"")</f>
        <v/>
      </c>
      <c r="N100" s="26" t="str">
        <f aca="false">IF(M100="","",IF(AND(M100&gt;=100,L100&lt;=2),"Quick win",IF(M100&gt;=100,"Strategic priority",IF(M100&gt;=30,"Long-term investment","Low priority / avoid"))))</f>
        <v/>
      </c>
      <c r="O100" s="20"/>
      <c r="P100" s="20"/>
    </row>
    <row r="101" customFormat="false" ht="15" hidden="false" customHeight="false" outlineLevel="0" collapsed="false">
      <c r="A101" s="20"/>
      <c r="B101" s="20"/>
      <c r="C101" s="20"/>
      <c r="D101" s="20"/>
      <c r="E101" s="20"/>
      <c r="F101" s="24"/>
      <c r="G101" s="20"/>
      <c r="H101" s="20"/>
      <c r="I101" s="20"/>
      <c r="J101" s="20"/>
      <c r="K101" s="20"/>
      <c r="L101" s="20"/>
      <c r="M101" s="25" t="str">
        <f aca="false">IF(COUNT(H101:L101)=5,H101*I101*J101*K101/L101,"")</f>
        <v/>
      </c>
      <c r="N101" s="26" t="str">
        <f aca="false">IF(M101="","",IF(AND(M101&gt;=100,L101&lt;=2),"Quick win",IF(M101&gt;=100,"Strategic priority",IF(M101&gt;=30,"Long-term investment","Low priority / avoid"))))</f>
        <v/>
      </c>
      <c r="O101" s="20"/>
      <c r="P101" s="20"/>
    </row>
    <row r="102" customFormat="false" ht="15" hidden="false" customHeight="false" outlineLevel="0" collapsed="false">
      <c r="A102" s="20"/>
      <c r="B102" s="20"/>
      <c r="C102" s="20"/>
      <c r="D102" s="20"/>
      <c r="E102" s="20"/>
      <c r="F102" s="24"/>
      <c r="G102" s="20"/>
      <c r="H102" s="20"/>
      <c r="I102" s="20"/>
      <c r="J102" s="20"/>
      <c r="K102" s="20"/>
      <c r="L102" s="20"/>
      <c r="M102" s="25" t="str">
        <f aca="false">IF(COUNT(H102:L102)=5,H102*I102*J102*K102/L102,"")</f>
        <v/>
      </c>
      <c r="N102" s="26" t="str">
        <f aca="false">IF(M102="","",IF(AND(M102&gt;=100,L102&lt;=2),"Quick win",IF(M102&gt;=100,"Strategic priority",IF(M102&gt;=30,"Long-term investment","Low priority / avoid"))))</f>
        <v/>
      </c>
      <c r="O102" s="20"/>
      <c r="P102" s="20"/>
    </row>
    <row r="103" customFormat="false" ht="15" hidden="false" customHeight="false" outlineLevel="0" collapsed="false">
      <c r="A103" s="20"/>
      <c r="B103" s="20"/>
      <c r="C103" s="20"/>
      <c r="D103" s="20"/>
      <c r="E103" s="20"/>
      <c r="F103" s="24"/>
      <c r="G103" s="20"/>
      <c r="H103" s="20"/>
      <c r="I103" s="20"/>
      <c r="J103" s="20"/>
      <c r="K103" s="20"/>
      <c r="L103" s="20"/>
      <c r="M103" s="25" t="str">
        <f aca="false">IF(COUNT(H103:L103)=5,H103*I103*J103*K103/L103,"")</f>
        <v/>
      </c>
      <c r="N103" s="26" t="str">
        <f aca="false">IF(M103="","",IF(AND(M103&gt;=100,L103&lt;=2),"Quick win",IF(M103&gt;=100,"Strategic priority",IF(M103&gt;=30,"Long-term investment","Low priority / avoid"))))</f>
        <v/>
      </c>
      <c r="O103" s="20"/>
      <c r="P103" s="20"/>
    </row>
    <row r="104" customFormat="false" ht="15" hidden="false" customHeight="false" outlineLevel="0" collapsed="false">
      <c r="A104" s="20"/>
      <c r="B104" s="20"/>
      <c r="C104" s="20"/>
      <c r="D104" s="20"/>
      <c r="E104" s="20"/>
      <c r="F104" s="24"/>
      <c r="G104" s="20"/>
      <c r="H104" s="20"/>
      <c r="I104" s="20"/>
      <c r="J104" s="20"/>
      <c r="K104" s="20"/>
      <c r="L104" s="20"/>
      <c r="M104" s="25" t="str">
        <f aca="false">IF(COUNT(H104:L104)=5,H104*I104*J104*K104/L104,"")</f>
        <v/>
      </c>
      <c r="N104" s="26" t="str">
        <f aca="false">IF(M104="","",IF(AND(M104&gt;=100,L104&lt;=2),"Quick win",IF(M104&gt;=100,"Strategic priority",IF(M104&gt;=30,"Long-term investment","Low priority / avoid"))))</f>
        <v/>
      </c>
      <c r="O104" s="20"/>
      <c r="P104" s="20"/>
    </row>
    <row r="105" customFormat="false" ht="15" hidden="false" customHeight="false" outlineLevel="0" collapsed="false">
      <c r="A105" s="20"/>
      <c r="B105" s="20"/>
      <c r="C105" s="20"/>
      <c r="D105" s="20"/>
      <c r="E105" s="20"/>
      <c r="F105" s="24"/>
      <c r="G105" s="20"/>
      <c r="H105" s="20"/>
      <c r="I105" s="20"/>
      <c r="J105" s="20"/>
      <c r="K105" s="20"/>
      <c r="L105" s="20"/>
      <c r="M105" s="25" t="str">
        <f aca="false">IF(COUNT(H105:L105)=5,H105*I105*J105*K105/L105,"")</f>
        <v/>
      </c>
      <c r="N105" s="26" t="str">
        <f aca="false">IF(M105="","",IF(AND(M105&gt;=100,L105&lt;=2),"Quick win",IF(M105&gt;=100,"Strategic priority",IF(M105&gt;=30,"Long-term investment","Low priority / avoid"))))</f>
        <v/>
      </c>
      <c r="O105" s="20"/>
      <c r="P105" s="20"/>
    </row>
    <row r="106" customFormat="false" ht="15" hidden="false" customHeight="false" outlineLevel="0" collapsed="false">
      <c r="A106" s="20"/>
      <c r="B106" s="20"/>
      <c r="C106" s="20"/>
      <c r="D106" s="20"/>
      <c r="E106" s="20"/>
      <c r="F106" s="24"/>
      <c r="G106" s="20"/>
      <c r="H106" s="20"/>
      <c r="I106" s="20"/>
      <c r="J106" s="20"/>
      <c r="K106" s="20"/>
      <c r="L106" s="20"/>
      <c r="M106" s="25" t="str">
        <f aca="false">IF(COUNT(H106:L106)=5,H106*I106*J106*K106/L106,"")</f>
        <v/>
      </c>
      <c r="N106" s="26" t="str">
        <f aca="false">IF(M106="","",IF(AND(M106&gt;=100,L106&lt;=2),"Quick win",IF(M106&gt;=100,"Strategic priority",IF(M106&gt;=30,"Long-term investment","Low priority / avoid"))))</f>
        <v/>
      </c>
      <c r="O106" s="20"/>
      <c r="P106" s="20"/>
    </row>
    <row r="107" customFormat="false" ht="15" hidden="false" customHeight="false" outlineLevel="0" collapsed="false">
      <c r="A107" s="20"/>
      <c r="B107" s="20"/>
      <c r="C107" s="20"/>
      <c r="D107" s="20"/>
      <c r="E107" s="20"/>
      <c r="F107" s="24"/>
      <c r="G107" s="20"/>
      <c r="H107" s="20"/>
      <c r="I107" s="20"/>
      <c r="J107" s="20"/>
      <c r="K107" s="20"/>
      <c r="L107" s="20"/>
      <c r="M107" s="25" t="str">
        <f aca="false">IF(COUNT(H107:L107)=5,H107*I107*J107*K107/L107,"")</f>
        <v/>
      </c>
      <c r="N107" s="26" t="str">
        <f aca="false">IF(M107="","",IF(AND(M107&gt;=100,L107&lt;=2),"Quick win",IF(M107&gt;=100,"Strategic priority",IF(M107&gt;=30,"Long-term investment","Low priority / avoid"))))</f>
        <v/>
      </c>
      <c r="O107" s="20"/>
      <c r="P107" s="20"/>
    </row>
    <row r="108" customFormat="false" ht="15" hidden="false" customHeight="false" outlineLevel="0" collapsed="false">
      <c r="A108" s="20"/>
      <c r="B108" s="20"/>
      <c r="C108" s="20"/>
      <c r="D108" s="20"/>
      <c r="E108" s="20"/>
      <c r="F108" s="24"/>
      <c r="G108" s="20"/>
      <c r="H108" s="20"/>
      <c r="I108" s="20"/>
      <c r="J108" s="20"/>
      <c r="K108" s="20"/>
      <c r="L108" s="20"/>
      <c r="M108" s="25" t="str">
        <f aca="false">IF(COUNT(H108:L108)=5,H108*I108*J108*K108/L108,"")</f>
        <v/>
      </c>
      <c r="N108" s="26" t="str">
        <f aca="false">IF(M108="","",IF(AND(M108&gt;=100,L108&lt;=2),"Quick win",IF(M108&gt;=100,"Strategic priority",IF(M108&gt;=30,"Long-term investment","Low priority / avoid"))))</f>
        <v/>
      </c>
      <c r="O108" s="20"/>
      <c r="P108" s="20"/>
    </row>
    <row r="109" customFormat="false" ht="15" hidden="false" customHeight="false" outlineLevel="0" collapsed="false">
      <c r="A109" s="20"/>
      <c r="B109" s="20"/>
      <c r="C109" s="20"/>
      <c r="D109" s="20"/>
      <c r="E109" s="20"/>
      <c r="F109" s="24"/>
      <c r="G109" s="20"/>
      <c r="H109" s="20"/>
      <c r="I109" s="20"/>
      <c r="J109" s="20"/>
      <c r="K109" s="20"/>
      <c r="L109" s="20"/>
      <c r="M109" s="25" t="str">
        <f aca="false">IF(COUNT(H109:L109)=5,H109*I109*J109*K109/L109,"")</f>
        <v/>
      </c>
      <c r="N109" s="26" t="str">
        <f aca="false">IF(M109="","",IF(AND(M109&gt;=100,L109&lt;=2),"Quick win",IF(M109&gt;=100,"Strategic priority",IF(M109&gt;=30,"Long-term investment","Low priority / avoid"))))</f>
        <v/>
      </c>
      <c r="O109" s="20"/>
      <c r="P109" s="20"/>
    </row>
    <row r="110" customFormat="false" ht="15" hidden="false" customHeight="false" outlineLevel="0" collapsed="false">
      <c r="A110" s="20"/>
      <c r="B110" s="20"/>
      <c r="C110" s="20"/>
      <c r="D110" s="20"/>
      <c r="E110" s="20"/>
      <c r="F110" s="24"/>
      <c r="G110" s="20"/>
      <c r="H110" s="20"/>
      <c r="I110" s="20"/>
      <c r="J110" s="20"/>
      <c r="K110" s="20"/>
      <c r="L110" s="20"/>
      <c r="M110" s="25" t="str">
        <f aca="false">IF(COUNT(H110:L110)=5,H110*I110*J110*K110/L110,"")</f>
        <v/>
      </c>
      <c r="N110" s="26" t="str">
        <f aca="false">IF(M110="","",IF(AND(M110&gt;=100,L110&lt;=2),"Quick win",IF(M110&gt;=100,"Strategic priority",IF(M110&gt;=30,"Long-term investment","Low priority / avoid"))))</f>
        <v/>
      </c>
      <c r="O110" s="20"/>
      <c r="P110" s="20"/>
    </row>
    <row r="111" customFormat="false" ht="15" hidden="false" customHeight="false" outlineLevel="0" collapsed="false">
      <c r="A111" s="20"/>
      <c r="B111" s="20"/>
      <c r="C111" s="20"/>
      <c r="D111" s="20"/>
      <c r="E111" s="20"/>
      <c r="F111" s="24"/>
      <c r="G111" s="20"/>
      <c r="H111" s="20"/>
      <c r="I111" s="20"/>
      <c r="J111" s="20"/>
      <c r="K111" s="20"/>
      <c r="L111" s="20"/>
      <c r="M111" s="25" t="str">
        <f aca="false">IF(COUNT(H111:L111)=5,H111*I111*J111*K111/L111,"")</f>
        <v/>
      </c>
      <c r="N111" s="26" t="str">
        <f aca="false">IF(M111="","",IF(AND(M111&gt;=100,L111&lt;=2),"Quick win",IF(M111&gt;=100,"Strategic priority",IF(M111&gt;=30,"Long-term investment","Low priority / avoid"))))</f>
        <v/>
      </c>
      <c r="O111" s="20"/>
      <c r="P111" s="20"/>
    </row>
    <row r="112" customFormat="false" ht="15" hidden="false" customHeight="false" outlineLevel="0" collapsed="false">
      <c r="A112" s="20"/>
      <c r="B112" s="20"/>
      <c r="C112" s="20"/>
      <c r="D112" s="20"/>
      <c r="E112" s="20"/>
      <c r="F112" s="24"/>
      <c r="G112" s="20"/>
      <c r="H112" s="20"/>
      <c r="I112" s="20"/>
      <c r="J112" s="20"/>
      <c r="K112" s="20"/>
      <c r="L112" s="20"/>
      <c r="M112" s="25" t="str">
        <f aca="false">IF(COUNT(H112:L112)=5,H112*I112*J112*K112/L112,"")</f>
        <v/>
      </c>
      <c r="N112" s="26" t="str">
        <f aca="false">IF(M112="","",IF(AND(M112&gt;=100,L112&lt;=2),"Quick win",IF(M112&gt;=100,"Strategic priority",IF(M112&gt;=30,"Long-term investment","Low priority / avoid"))))</f>
        <v/>
      </c>
      <c r="O112" s="20"/>
      <c r="P112" s="20"/>
    </row>
    <row r="113" customFormat="false" ht="15" hidden="false" customHeight="false" outlineLevel="0" collapsed="false">
      <c r="A113" s="20"/>
      <c r="B113" s="20"/>
      <c r="C113" s="20"/>
      <c r="D113" s="20"/>
      <c r="E113" s="20"/>
      <c r="F113" s="24"/>
      <c r="G113" s="20"/>
      <c r="H113" s="20"/>
      <c r="I113" s="20"/>
      <c r="J113" s="20"/>
      <c r="K113" s="20"/>
      <c r="L113" s="20"/>
      <c r="M113" s="25" t="str">
        <f aca="false">IF(COUNT(H113:L113)=5,H113*I113*J113*K113/L113,"")</f>
        <v/>
      </c>
      <c r="N113" s="26" t="str">
        <f aca="false">IF(M113="","",IF(AND(M113&gt;=100,L113&lt;=2),"Quick win",IF(M113&gt;=100,"Strategic priority",IF(M113&gt;=30,"Long-term investment","Low priority / avoid"))))</f>
        <v/>
      </c>
      <c r="O113" s="20"/>
      <c r="P113" s="20"/>
    </row>
    <row r="114" customFormat="false" ht="15" hidden="false" customHeight="false" outlineLevel="0" collapsed="false">
      <c r="A114" s="20"/>
      <c r="B114" s="20"/>
      <c r="C114" s="20"/>
      <c r="D114" s="20"/>
      <c r="E114" s="20"/>
      <c r="F114" s="24"/>
      <c r="G114" s="20"/>
      <c r="H114" s="20"/>
      <c r="I114" s="20"/>
      <c r="J114" s="20"/>
      <c r="K114" s="20"/>
      <c r="L114" s="20"/>
      <c r="M114" s="25" t="str">
        <f aca="false">IF(COUNT(H114:L114)=5,H114*I114*J114*K114/L114,"")</f>
        <v/>
      </c>
      <c r="N114" s="26" t="str">
        <f aca="false">IF(M114="","",IF(AND(M114&gt;=100,L114&lt;=2),"Quick win",IF(M114&gt;=100,"Strategic priority",IF(M114&gt;=30,"Long-term investment","Low priority / avoid"))))</f>
        <v/>
      </c>
      <c r="O114" s="20"/>
      <c r="P114" s="20"/>
    </row>
    <row r="115" customFormat="false" ht="15" hidden="false" customHeight="false" outlineLevel="0" collapsed="false">
      <c r="A115" s="20"/>
      <c r="B115" s="20"/>
      <c r="C115" s="20"/>
      <c r="D115" s="20"/>
      <c r="E115" s="20"/>
      <c r="F115" s="24"/>
      <c r="G115" s="20"/>
      <c r="H115" s="20"/>
      <c r="I115" s="20"/>
      <c r="J115" s="20"/>
      <c r="K115" s="20"/>
      <c r="L115" s="20"/>
      <c r="M115" s="25" t="str">
        <f aca="false">IF(COUNT(H115:L115)=5,H115*I115*J115*K115/L115,"")</f>
        <v/>
      </c>
      <c r="N115" s="26" t="str">
        <f aca="false">IF(M115="","",IF(AND(M115&gt;=100,L115&lt;=2),"Quick win",IF(M115&gt;=100,"Strategic priority",IF(M115&gt;=30,"Long-term investment","Low priority / avoid"))))</f>
        <v/>
      </c>
      <c r="O115" s="20"/>
      <c r="P115" s="20"/>
    </row>
    <row r="116" customFormat="false" ht="15" hidden="false" customHeight="false" outlineLevel="0" collapsed="false">
      <c r="A116" s="20"/>
      <c r="B116" s="20"/>
      <c r="C116" s="20"/>
      <c r="D116" s="20"/>
      <c r="E116" s="20"/>
      <c r="F116" s="24"/>
      <c r="G116" s="20"/>
      <c r="H116" s="20"/>
      <c r="I116" s="20"/>
      <c r="J116" s="20"/>
      <c r="K116" s="20"/>
      <c r="L116" s="20"/>
      <c r="M116" s="25" t="str">
        <f aca="false">IF(COUNT(H116:L116)=5,H116*I116*J116*K116/L116,"")</f>
        <v/>
      </c>
      <c r="N116" s="26" t="str">
        <f aca="false">IF(M116="","",IF(AND(M116&gt;=100,L116&lt;=2),"Quick win",IF(M116&gt;=100,"Strategic priority",IF(M116&gt;=30,"Long-term investment","Low priority / avoid"))))</f>
        <v/>
      </c>
      <c r="O116" s="20"/>
      <c r="P116" s="20"/>
    </row>
    <row r="117" customFormat="false" ht="15" hidden="false" customHeight="false" outlineLevel="0" collapsed="false">
      <c r="A117" s="20"/>
      <c r="B117" s="20"/>
      <c r="C117" s="20"/>
      <c r="D117" s="20"/>
      <c r="E117" s="20"/>
      <c r="F117" s="24"/>
      <c r="G117" s="20"/>
      <c r="H117" s="20"/>
      <c r="I117" s="20"/>
      <c r="J117" s="20"/>
      <c r="K117" s="20"/>
      <c r="L117" s="20"/>
      <c r="M117" s="25" t="str">
        <f aca="false">IF(COUNT(H117:L117)=5,H117*I117*J117*K117/L117,"")</f>
        <v/>
      </c>
      <c r="N117" s="26" t="str">
        <f aca="false">IF(M117="","",IF(AND(M117&gt;=100,L117&lt;=2),"Quick win",IF(M117&gt;=100,"Strategic priority",IF(M117&gt;=30,"Long-term investment","Low priority / avoid"))))</f>
        <v/>
      </c>
      <c r="O117" s="20"/>
      <c r="P117" s="20"/>
    </row>
    <row r="118" customFormat="false" ht="15" hidden="false" customHeight="false" outlineLevel="0" collapsed="false">
      <c r="A118" s="20"/>
      <c r="B118" s="20"/>
      <c r="C118" s="20"/>
      <c r="D118" s="20"/>
      <c r="E118" s="20"/>
      <c r="F118" s="24"/>
      <c r="G118" s="20"/>
      <c r="H118" s="20"/>
      <c r="I118" s="20"/>
      <c r="J118" s="20"/>
      <c r="K118" s="20"/>
      <c r="L118" s="20"/>
      <c r="M118" s="25" t="str">
        <f aca="false">IF(COUNT(H118:L118)=5,H118*I118*J118*K118/L118,"")</f>
        <v/>
      </c>
      <c r="N118" s="26" t="str">
        <f aca="false">IF(M118="","",IF(AND(M118&gt;=100,L118&lt;=2),"Quick win",IF(M118&gt;=100,"Strategic priority",IF(M118&gt;=30,"Long-term investment","Low priority / avoid"))))</f>
        <v/>
      </c>
      <c r="O118" s="20"/>
      <c r="P118" s="20"/>
    </row>
    <row r="119" customFormat="false" ht="15" hidden="false" customHeight="false" outlineLevel="0" collapsed="false">
      <c r="A119" s="20"/>
      <c r="B119" s="20"/>
      <c r="C119" s="20"/>
      <c r="D119" s="20"/>
      <c r="E119" s="20"/>
      <c r="F119" s="24"/>
      <c r="G119" s="20"/>
      <c r="H119" s="20"/>
      <c r="I119" s="20"/>
      <c r="J119" s="20"/>
      <c r="K119" s="20"/>
      <c r="L119" s="20"/>
      <c r="M119" s="25" t="str">
        <f aca="false">IF(COUNT(H119:L119)=5,H119*I119*J119*K119/L119,"")</f>
        <v/>
      </c>
      <c r="N119" s="26" t="str">
        <f aca="false">IF(M119="","",IF(AND(M119&gt;=100,L119&lt;=2),"Quick win",IF(M119&gt;=100,"Strategic priority",IF(M119&gt;=30,"Long-term investment","Low priority / avoid"))))</f>
        <v/>
      </c>
      <c r="O119" s="20"/>
      <c r="P119" s="20"/>
    </row>
    <row r="120" customFormat="false" ht="15" hidden="false" customHeight="false" outlineLevel="0" collapsed="false">
      <c r="A120" s="20"/>
      <c r="B120" s="20"/>
      <c r="C120" s="20"/>
      <c r="D120" s="20"/>
      <c r="E120" s="20"/>
      <c r="F120" s="24"/>
      <c r="G120" s="20"/>
      <c r="H120" s="20"/>
      <c r="I120" s="20"/>
      <c r="J120" s="20"/>
      <c r="K120" s="20"/>
      <c r="L120" s="20"/>
      <c r="M120" s="25" t="str">
        <f aca="false">IF(COUNT(H120:L120)=5,H120*I120*J120*K120/L120,"")</f>
        <v/>
      </c>
      <c r="N120" s="26" t="str">
        <f aca="false">IF(M120="","",IF(AND(M120&gt;=100,L120&lt;=2),"Quick win",IF(M120&gt;=100,"Strategic priority",IF(M120&gt;=30,"Long-term investment","Low priority / avoid"))))</f>
        <v/>
      </c>
      <c r="O120" s="20"/>
      <c r="P120" s="20"/>
    </row>
    <row r="121" customFormat="false" ht="15" hidden="false" customHeight="false" outlineLevel="0" collapsed="false">
      <c r="A121" s="20"/>
      <c r="B121" s="20"/>
      <c r="C121" s="20"/>
      <c r="D121" s="20"/>
      <c r="E121" s="20"/>
      <c r="F121" s="24"/>
      <c r="G121" s="20"/>
      <c r="H121" s="20"/>
      <c r="I121" s="20"/>
      <c r="J121" s="20"/>
      <c r="K121" s="20"/>
      <c r="L121" s="20"/>
      <c r="M121" s="25" t="str">
        <f aca="false">IF(COUNT(H121:L121)=5,H121*I121*J121*K121/L121,"")</f>
        <v/>
      </c>
      <c r="N121" s="26" t="str">
        <f aca="false">IF(M121="","",IF(AND(M121&gt;=100,L121&lt;=2),"Quick win",IF(M121&gt;=100,"Strategic priority",IF(M121&gt;=30,"Long-term investment","Low priority / avoid"))))</f>
        <v/>
      </c>
      <c r="O121" s="20"/>
      <c r="P121" s="20"/>
    </row>
    <row r="122" customFormat="false" ht="15" hidden="false" customHeight="false" outlineLevel="0" collapsed="false">
      <c r="A122" s="20"/>
      <c r="B122" s="20"/>
      <c r="C122" s="20"/>
      <c r="D122" s="20"/>
      <c r="E122" s="20"/>
      <c r="F122" s="24"/>
      <c r="G122" s="20"/>
      <c r="H122" s="20"/>
      <c r="I122" s="20"/>
      <c r="J122" s="20"/>
      <c r="K122" s="20"/>
      <c r="L122" s="20"/>
      <c r="M122" s="25" t="str">
        <f aca="false">IF(COUNT(H122:L122)=5,H122*I122*J122*K122/L122,"")</f>
        <v/>
      </c>
      <c r="N122" s="26" t="str">
        <f aca="false">IF(M122="","",IF(AND(M122&gt;=100,L122&lt;=2),"Quick win",IF(M122&gt;=100,"Strategic priority",IF(M122&gt;=30,"Long-term investment","Low priority / avoid"))))</f>
        <v/>
      </c>
      <c r="O122" s="20"/>
      <c r="P122" s="20"/>
    </row>
    <row r="123" customFormat="false" ht="15" hidden="false" customHeight="false" outlineLevel="0" collapsed="false">
      <c r="A123" s="20"/>
      <c r="B123" s="20"/>
      <c r="C123" s="20"/>
      <c r="D123" s="20"/>
      <c r="E123" s="20"/>
      <c r="F123" s="24"/>
      <c r="G123" s="20"/>
      <c r="H123" s="20"/>
      <c r="I123" s="20"/>
      <c r="J123" s="20"/>
      <c r="K123" s="20"/>
      <c r="L123" s="20"/>
      <c r="M123" s="25" t="str">
        <f aca="false">IF(COUNT(H123:L123)=5,H123*I123*J123*K123/L123,"")</f>
        <v/>
      </c>
      <c r="N123" s="26" t="str">
        <f aca="false">IF(M123="","",IF(AND(M123&gt;=100,L123&lt;=2),"Quick win",IF(M123&gt;=100,"Strategic priority",IF(M123&gt;=30,"Long-term investment","Low priority / avoid"))))</f>
        <v/>
      </c>
      <c r="O123" s="20"/>
      <c r="P123" s="20"/>
    </row>
    <row r="124" customFormat="false" ht="15" hidden="false" customHeight="false" outlineLevel="0" collapsed="false">
      <c r="A124" s="20"/>
      <c r="B124" s="20"/>
      <c r="C124" s="20"/>
      <c r="D124" s="20"/>
      <c r="E124" s="20"/>
      <c r="F124" s="24"/>
      <c r="G124" s="20"/>
      <c r="H124" s="20"/>
      <c r="I124" s="20"/>
      <c r="J124" s="20"/>
      <c r="K124" s="20"/>
      <c r="L124" s="20"/>
      <c r="M124" s="25" t="str">
        <f aca="false">IF(COUNT(H124:L124)=5,H124*I124*J124*K124/L124,"")</f>
        <v/>
      </c>
      <c r="N124" s="26" t="str">
        <f aca="false">IF(M124="","",IF(AND(M124&gt;=100,L124&lt;=2),"Quick win",IF(M124&gt;=100,"Strategic priority",IF(M124&gt;=30,"Long-term investment","Low priority / avoid"))))</f>
        <v/>
      </c>
      <c r="O124" s="20"/>
      <c r="P124" s="20"/>
    </row>
    <row r="125" customFormat="false" ht="15" hidden="false" customHeight="false" outlineLevel="0" collapsed="false">
      <c r="A125" s="20"/>
      <c r="B125" s="20"/>
      <c r="C125" s="20"/>
      <c r="D125" s="20"/>
      <c r="E125" s="20"/>
      <c r="F125" s="24"/>
      <c r="G125" s="20"/>
      <c r="H125" s="20"/>
      <c r="I125" s="20"/>
      <c r="J125" s="20"/>
      <c r="K125" s="20"/>
      <c r="L125" s="20"/>
      <c r="M125" s="25" t="str">
        <f aca="false">IF(COUNT(H125:L125)=5,H125*I125*J125*K125/L125,"")</f>
        <v/>
      </c>
      <c r="N125" s="26" t="str">
        <f aca="false">IF(M125="","",IF(AND(M125&gt;=100,L125&lt;=2),"Quick win",IF(M125&gt;=100,"Strategic priority",IF(M125&gt;=30,"Long-term investment","Low priority / avoid"))))</f>
        <v/>
      </c>
      <c r="O125" s="20"/>
      <c r="P125" s="20"/>
    </row>
    <row r="126" customFormat="false" ht="15" hidden="false" customHeight="false" outlineLevel="0" collapsed="false">
      <c r="A126" s="20"/>
      <c r="B126" s="20"/>
      <c r="C126" s="20"/>
      <c r="D126" s="20"/>
      <c r="E126" s="20"/>
      <c r="F126" s="24"/>
      <c r="G126" s="20"/>
      <c r="H126" s="20"/>
      <c r="I126" s="20"/>
      <c r="J126" s="20"/>
      <c r="K126" s="20"/>
      <c r="L126" s="20"/>
      <c r="M126" s="25" t="str">
        <f aca="false">IF(COUNT(H126:L126)=5,H126*I126*J126*K126/L126,"")</f>
        <v/>
      </c>
      <c r="N126" s="26" t="str">
        <f aca="false">IF(M126="","",IF(AND(M126&gt;=100,L126&lt;=2),"Quick win",IF(M126&gt;=100,"Strategic priority",IF(M126&gt;=30,"Long-term investment","Low priority / avoid"))))</f>
        <v/>
      </c>
      <c r="O126" s="20"/>
      <c r="P126" s="20"/>
    </row>
    <row r="127" customFormat="false" ht="15" hidden="false" customHeight="false" outlineLevel="0" collapsed="false">
      <c r="A127" s="20"/>
      <c r="B127" s="20"/>
      <c r="C127" s="20"/>
      <c r="D127" s="20"/>
      <c r="E127" s="20"/>
      <c r="F127" s="24"/>
      <c r="G127" s="20"/>
      <c r="H127" s="20"/>
      <c r="I127" s="20"/>
      <c r="J127" s="20"/>
      <c r="K127" s="20"/>
      <c r="L127" s="20"/>
      <c r="M127" s="25" t="str">
        <f aca="false">IF(COUNT(H127:L127)=5,H127*I127*J127*K127/L127,"")</f>
        <v/>
      </c>
      <c r="N127" s="26" t="str">
        <f aca="false">IF(M127="","",IF(AND(M127&gt;=100,L127&lt;=2),"Quick win",IF(M127&gt;=100,"Strategic priority",IF(M127&gt;=30,"Long-term investment","Low priority / avoid"))))</f>
        <v/>
      </c>
      <c r="O127" s="20"/>
      <c r="P127" s="20"/>
    </row>
    <row r="128" customFormat="false" ht="15" hidden="false" customHeight="false" outlineLevel="0" collapsed="false">
      <c r="A128" s="20"/>
      <c r="B128" s="20"/>
      <c r="C128" s="20"/>
      <c r="D128" s="20"/>
      <c r="E128" s="20"/>
      <c r="F128" s="24"/>
      <c r="G128" s="20"/>
      <c r="H128" s="20"/>
      <c r="I128" s="20"/>
      <c r="J128" s="20"/>
      <c r="K128" s="20"/>
      <c r="L128" s="20"/>
      <c r="M128" s="25" t="str">
        <f aca="false">IF(COUNT(H128:L128)=5,H128*I128*J128*K128/L128,"")</f>
        <v/>
      </c>
      <c r="N128" s="26" t="str">
        <f aca="false">IF(M128="","",IF(AND(M128&gt;=100,L128&lt;=2),"Quick win",IF(M128&gt;=100,"Strategic priority",IF(M128&gt;=30,"Long-term investment","Low priority / avoid"))))</f>
        <v/>
      </c>
      <c r="O128" s="20"/>
      <c r="P128" s="20"/>
    </row>
    <row r="129" customFormat="false" ht="15" hidden="false" customHeight="false" outlineLevel="0" collapsed="false">
      <c r="A129" s="20"/>
      <c r="B129" s="20"/>
      <c r="C129" s="20"/>
      <c r="D129" s="20"/>
      <c r="E129" s="20"/>
      <c r="F129" s="24"/>
      <c r="G129" s="20"/>
      <c r="H129" s="20"/>
      <c r="I129" s="20"/>
      <c r="J129" s="20"/>
      <c r="K129" s="20"/>
      <c r="L129" s="20"/>
      <c r="M129" s="25" t="str">
        <f aca="false">IF(COUNT(H129:L129)=5,H129*I129*J129*K129/L129,"")</f>
        <v/>
      </c>
      <c r="N129" s="26" t="str">
        <f aca="false">IF(M129="","",IF(AND(M129&gt;=100,L129&lt;=2),"Quick win",IF(M129&gt;=100,"Strategic priority",IF(M129&gt;=30,"Long-term investment","Low priority / avoid"))))</f>
        <v/>
      </c>
      <c r="O129" s="20"/>
      <c r="P129" s="20"/>
    </row>
    <row r="130" customFormat="false" ht="15" hidden="false" customHeight="false" outlineLevel="0" collapsed="false">
      <c r="A130" s="20"/>
      <c r="B130" s="20"/>
      <c r="C130" s="20"/>
      <c r="D130" s="20"/>
      <c r="E130" s="20"/>
      <c r="F130" s="24"/>
      <c r="G130" s="20"/>
      <c r="H130" s="20"/>
      <c r="I130" s="20"/>
      <c r="J130" s="20"/>
      <c r="K130" s="20"/>
      <c r="L130" s="20"/>
      <c r="M130" s="25" t="str">
        <f aca="false">IF(COUNT(H130:L130)=5,H130*I130*J130*K130/L130,"")</f>
        <v/>
      </c>
      <c r="N130" s="26" t="str">
        <f aca="false">IF(M130="","",IF(AND(M130&gt;=100,L130&lt;=2),"Quick win",IF(M130&gt;=100,"Strategic priority",IF(M130&gt;=30,"Long-term investment","Low priority / avoid"))))</f>
        <v/>
      </c>
      <c r="O130" s="20"/>
      <c r="P130" s="20"/>
    </row>
    <row r="131" customFormat="false" ht="15" hidden="false" customHeight="false" outlineLevel="0" collapsed="false">
      <c r="A131" s="20"/>
      <c r="B131" s="20"/>
      <c r="C131" s="20"/>
      <c r="D131" s="20"/>
      <c r="E131" s="20"/>
      <c r="F131" s="24"/>
      <c r="G131" s="20"/>
      <c r="H131" s="20"/>
      <c r="I131" s="20"/>
      <c r="J131" s="20"/>
      <c r="K131" s="20"/>
      <c r="L131" s="20"/>
      <c r="M131" s="25" t="str">
        <f aca="false">IF(COUNT(H131:L131)=5,H131*I131*J131*K131/L131,"")</f>
        <v/>
      </c>
      <c r="N131" s="26" t="str">
        <f aca="false">IF(M131="","",IF(AND(M131&gt;=100,L131&lt;=2),"Quick win",IF(M131&gt;=100,"Strategic priority",IF(M131&gt;=30,"Long-term investment","Low priority / avoid"))))</f>
        <v/>
      </c>
      <c r="O131" s="20"/>
      <c r="P131" s="20"/>
    </row>
    <row r="132" customFormat="false" ht="15" hidden="false" customHeight="false" outlineLevel="0" collapsed="false">
      <c r="A132" s="20"/>
      <c r="B132" s="20"/>
      <c r="C132" s="20"/>
      <c r="D132" s="20"/>
      <c r="E132" s="20"/>
      <c r="F132" s="24"/>
      <c r="G132" s="20"/>
      <c r="H132" s="20"/>
      <c r="I132" s="20"/>
      <c r="J132" s="20"/>
      <c r="K132" s="20"/>
      <c r="L132" s="20"/>
      <c r="M132" s="25" t="str">
        <f aca="false">IF(COUNT(H132:L132)=5,H132*I132*J132*K132/L132,"")</f>
        <v/>
      </c>
      <c r="N132" s="26" t="str">
        <f aca="false">IF(M132="","",IF(AND(M132&gt;=100,L132&lt;=2),"Quick win",IF(M132&gt;=100,"Strategic priority",IF(M132&gt;=30,"Long-term investment","Low priority / avoid"))))</f>
        <v/>
      </c>
      <c r="O132" s="20"/>
      <c r="P132" s="20"/>
    </row>
    <row r="133" customFormat="false" ht="15" hidden="false" customHeight="false" outlineLevel="0" collapsed="false">
      <c r="A133" s="20"/>
      <c r="B133" s="20"/>
      <c r="C133" s="20"/>
      <c r="D133" s="20"/>
      <c r="E133" s="20"/>
      <c r="F133" s="24"/>
      <c r="G133" s="20"/>
      <c r="H133" s="20"/>
      <c r="I133" s="20"/>
      <c r="J133" s="20"/>
      <c r="K133" s="20"/>
      <c r="L133" s="20"/>
      <c r="M133" s="25" t="str">
        <f aca="false">IF(COUNT(H133:L133)=5,H133*I133*J133*K133/L133,"")</f>
        <v/>
      </c>
      <c r="N133" s="26" t="str">
        <f aca="false">IF(M133="","",IF(AND(M133&gt;=100,L133&lt;=2),"Quick win",IF(M133&gt;=100,"Strategic priority",IF(M133&gt;=30,"Long-term investment","Low priority / avoid"))))</f>
        <v/>
      </c>
      <c r="O133" s="20"/>
      <c r="P133" s="20"/>
    </row>
    <row r="134" customFormat="false" ht="15" hidden="false" customHeight="false" outlineLevel="0" collapsed="false">
      <c r="A134" s="20"/>
      <c r="B134" s="20"/>
      <c r="C134" s="20"/>
      <c r="D134" s="20"/>
      <c r="E134" s="20"/>
      <c r="F134" s="24"/>
      <c r="G134" s="20"/>
      <c r="H134" s="20"/>
      <c r="I134" s="20"/>
      <c r="J134" s="20"/>
      <c r="K134" s="20"/>
      <c r="L134" s="20"/>
      <c r="M134" s="25" t="str">
        <f aca="false">IF(COUNT(H134:L134)=5,H134*I134*J134*K134/L134,"")</f>
        <v/>
      </c>
      <c r="N134" s="26" t="str">
        <f aca="false">IF(M134="","",IF(AND(M134&gt;=100,L134&lt;=2),"Quick win",IF(M134&gt;=100,"Strategic priority",IF(M134&gt;=30,"Long-term investment","Low priority / avoid"))))</f>
        <v/>
      </c>
      <c r="O134" s="20"/>
      <c r="P134" s="20"/>
    </row>
    <row r="135" customFormat="false" ht="15" hidden="false" customHeight="false" outlineLevel="0" collapsed="false">
      <c r="A135" s="20"/>
      <c r="B135" s="20"/>
      <c r="C135" s="20"/>
      <c r="D135" s="20"/>
      <c r="E135" s="20"/>
      <c r="F135" s="24"/>
      <c r="G135" s="20"/>
      <c r="H135" s="20"/>
      <c r="I135" s="20"/>
      <c r="J135" s="20"/>
      <c r="K135" s="20"/>
      <c r="L135" s="20"/>
      <c r="M135" s="25" t="str">
        <f aca="false">IF(COUNT(H135:L135)=5,H135*I135*J135*K135/L135,"")</f>
        <v/>
      </c>
      <c r="N135" s="26" t="str">
        <f aca="false">IF(M135="","",IF(AND(M135&gt;=100,L135&lt;=2),"Quick win",IF(M135&gt;=100,"Strategic priority",IF(M135&gt;=30,"Long-term investment","Low priority / avoid"))))</f>
        <v/>
      </c>
      <c r="O135" s="20"/>
      <c r="P135" s="20"/>
    </row>
    <row r="136" customFormat="false" ht="15" hidden="false" customHeight="false" outlineLevel="0" collapsed="false">
      <c r="A136" s="20"/>
      <c r="B136" s="20"/>
      <c r="C136" s="20"/>
      <c r="D136" s="20"/>
      <c r="E136" s="20"/>
      <c r="F136" s="24"/>
      <c r="G136" s="20"/>
      <c r="H136" s="20"/>
      <c r="I136" s="20"/>
      <c r="J136" s="20"/>
      <c r="K136" s="20"/>
      <c r="L136" s="20"/>
      <c r="M136" s="25" t="str">
        <f aca="false">IF(COUNT(H136:L136)=5,H136*I136*J136*K136/L136,"")</f>
        <v/>
      </c>
      <c r="N136" s="26" t="str">
        <f aca="false">IF(M136="","",IF(AND(M136&gt;=100,L136&lt;=2),"Quick win",IF(M136&gt;=100,"Strategic priority",IF(M136&gt;=30,"Long-term investment","Low priority / avoid"))))</f>
        <v/>
      </c>
      <c r="O136" s="20"/>
      <c r="P136" s="20"/>
    </row>
    <row r="137" customFormat="false" ht="15" hidden="false" customHeight="false" outlineLevel="0" collapsed="false">
      <c r="A137" s="20"/>
      <c r="B137" s="20"/>
      <c r="C137" s="20"/>
      <c r="D137" s="20"/>
      <c r="E137" s="20"/>
      <c r="F137" s="24"/>
      <c r="G137" s="20"/>
      <c r="H137" s="20"/>
      <c r="I137" s="20"/>
      <c r="J137" s="20"/>
      <c r="K137" s="20"/>
      <c r="L137" s="20"/>
      <c r="M137" s="25" t="str">
        <f aca="false">IF(COUNT(H137:L137)=5,H137*I137*J137*K137/L137,"")</f>
        <v/>
      </c>
      <c r="N137" s="26" t="str">
        <f aca="false">IF(M137="","",IF(AND(M137&gt;=100,L137&lt;=2),"Quick win",IF(M137&gt;=100,"Strategic priority",IF(M137&gt;=30,"Long-term investment","Low priority / avoid"))))</f>
        <v/>
      </c>
      <c r="O137" s="20"/>
      <c r="P137" s="20"/>
    </row>
    <row r="138" customFormat="false" ht="15" hidden="false" customHeight="false" outlineLevel="0" collapsed="false">
      <c r="A138" s="20"/>
      <c r="B138" s="20"/>
      <c r="C138" s="20"/>
      <c r="D138" s="20"/>
      <c r="E138" s="20"/>
      <c r="F138" s="24"/>
      <c r="G138" s="20"/>
      <c r="H138" s="20"/>
      <c r="I138" s="20"/>
      <c r="J138" s="20"/>
      <c r="K138" s="20"/>
      <c r="L138" s="20"/>
      <c r="M138" s="25" t="str">
        <f aca="false">IF(COUNT(H138:L138)=5,H138*I138*J138*K138/L138,"")</f>
        <v/>
      </c>
      <c r="N138" s="26" t="str">
        <f aca="false">IF(M138="","",IF(AND(M138&gt;=100,L138&lt;=2),"Quick win",IF(M138&gt;=100,"Strategic priority",IF(M138&gt;=30,"Long-term investment","Low priority / avoid"))))</f>
        <v/>
      </c>
      <c r="O138" s="20"/>
      <c r="P138" s="20"/>
    </row>
    <row r="139" customFormat="false" ht="15" hidden="false" customHeight="false" outlineLevel="0" collapsed="false">
      <c r="A139" s="20"/>
      <c r="B139" s="20"/>
      <c r="C139" s="20"/>
      <c r="D139" s="20"/>
      <c r="E139" s="20"/>
      <c r="F139" s="24"/>
      <c r="G139" s="20"/>
      <c r="H139" s="20"/>
      <c r="I139" s="20"/>
      <c r="J139" s="20"/>
      <c r="K139" s="20"/>
      <c r="L139" s="20"/>
      <c r="M139" s="25" t="str">
        <f aca="false">IF(COUNT(H139:L139)=5,H139*I139*J139*K139/L139,"")</f>
        <v/>
      </c>
      <c r="N139" s="26" t="str">
        <f aca="false">IF(M139="","",IF(AND(M139&gt;=100,L139&lt;=2),"Quick win",IF(M139&gt;=100,"Strategic priority",IF(M139&gt;=30,"Long-term investment","Low priority / avoid"))))</f>
        <v/>
      </c>
      <c r="O139" s="20"/>
      <c r="P139" s="20"/>
    </row>
    <row r="140" customFormat="false" ht="15" hidden="false" customHeight="false" outlineLevel="0" collapsed="false">
      <c r="A140" s="20"/>
      <c r="B140" s="20"/>
      <c r="C140" s="20"/>
      <c r="D140" s="20"/>
      <c r="E140" s="20"/>
      <c r="F140" s="24"/>
      <c r="G140" s="20"/>
      <c r="H140" s="20"/>
      <c r="I140" s="20"/>
      <c r="J140" s="20"/>
      <c r="K140" s="20"/>
      <c r="L140" s="20"/>
      <c r="M140" s="25" t="str">
        <f aca="false">IF(COUNT(H140:L140)=5,H140*I140*J140*K140/L140,"")</f>
        <v/>
      </c>
      <c r="N140" s="26" t="str">
        <f aca="false">IF(M140="","",IF(AND(M140&gt;=100,L140&lt;=2),"Quick win",IF(M140&gt;=100,"Strategic priority",IF(M140&gt;=30,"Long-term investment","Low priority / avoid"))))</f>
        <v/>
      </c>
      <c r="O140" s="20"/>
      <c r="P140" s="20"/>
    </row>
    <row r="141" customFormat="false" ht="15" hidden="false" customHeight="false" outlineLevel="0" collapsed="false">
      <c r="A141" s="20"/>
      <c r="B141" s="20"/>
      <c r="C141" s="20"/>
      <c r="D141" s="20"/>
      <c r="E141" s="20"/>
      <c r="F141" s="24"/>
      <c r="G141" s="20"/>
      <c r="H141" s="20"/>
      <c r="I141" s="20"/>
      <c r="J141" s="20"/>
      <c r="K141" s="20"/>
      <c r="L141" s="20"/>
      <c r="M141" s="25" t="str">
        <f aca="false">IF(COUNT(H141:L141)=5,H141*I141*J141*K141/L141,"")</f>
        <v/>
      </c>
      <c r="N141" s="26" t="str">
        <f aca="false">IF(M141="","",IF(AND(M141&gt;=100,L141&lt;=2),"Quick win",IF(M141&gt;=100,"Strategic priority",IF(M141&gt;=30,"Long-term investment","Low priority / avoid"))))</f>
        <v/>
      </c>
      <c r="O141" s="20"/>
      <c r="P141" s="20"/>
    </row>
    <row r="142" customFormat="false" ht="15" hidden="false" customHeight="false" outlineLevel="0" collapsed="false">
      <c r="A142" s="20"/>
      <c r="B142" s="20"/>
      <c r="C142" s="20"/>
      <c r="D142" s="20"/>
      <c r="E142" s="20"/>
      <c r="F142" s="24"/>
      <c r="G142" s="20"/>
      <c r="H142" s="20"/>
      <c r="I142" s="20"/>
      <c r="J142" s="20"/>
      <c r="K142" s="20"/>
      <c r="L142" s="20"/>
      <c r="M142" s="25" t="str">
        <f aca="false">IF(COUNT(H142:L142)=5,H142*I142*J142*K142/L142,"")</f>
        <v/>
      </c>
      <c r="N142" s="26" t="str">
        <f aca="false">IF(M142="","",IF(AND(M142&gt;=100,L142&lt;=2),"Quick win",IF(M142&gt;=100,"Strategic priority",IF(M142&gt;=30,"Long-term investment","Low priority / avoid"))))</f>
        <v/>
      </c>
      <c r="O142" s="20"/>
      <c r="P142" s="20"/>
    </row>
    <row r="143" customFormat="false" ht="15" hidden="false" customHeight="false" outlineLevel="0" collapsed="false">
      <c r="A143" s="20"/>
      <c r="B143" s="20"/>
      <c r="C143" s="20"/>
      <c r="D143" s="20"/>
      <c r="E143" s="20"/>
      <c r="F143" s="24"/>
      <c r="G143" s="20"/>
      <c r="H143" s="20"/>
      <c r="I143" s="20"/>
      <c r="J143" s="20"/>
      <c r="K143" s="20"/>
      <c r="L143" s="20"/>
      <c r="M143" s="25" t="str">
        <f aca="false">IF(COUNT(H143:L143)=5,H143*I143*J143*K143/L143,"")</f>
        <v/>
      </c>
      <c r="N143" s="26" t="str">
        <f aca="false">IF(M143="","",IF(AND(M143&gt;=100,L143&lt;=2),"Quick win",IF(M143&gt;=100,"Strategic priority",IF(M143&gt;=30,"Long-term investment","Low priority / avoid"))))</f>
        <v/>
      </c>
      <c r="O143" s="20"/>
      <c r="P143" s="20"/>
    </row>
    <row r="144" customFormat="false" ht="15" hidden="false" customHeight="false" outlineLevel="0" collapsed="false">
      <c r="A144" s="20"/>
      <c r="B144" s="20"/>
      <c r="C144" s="20"/>
      <c r="D144" s="20"/>
      <c r="E144" s="20"/>
      <c r="F144" s="24"/>
      <c r="G144" s="20"/>
      <c r="H144" s="20"/>
      <c r="I144" s="20"/>
      <c r="J144" s="20"/>
      <c r="K144" s="20"/>
      <c r="L144" s="20"/>
      <c r="M144" s="25" t="str">
        <f aca="false">IF(COUNT(H144:L144)=5,H144*I144*J144*K144/L144,"")</f>
        <v/>
      </c>
      <c r="N144" s="26" t="str">
        <f aca="false">IF(M144="","",IF(AND(M144&gt;=100,L144&lt;=2),"Quick win",IF(M144&gt;=100,"Strategic priority",IF(M144&gt;=30,"Long-term investment","Low priority / avoid"))))</f>
        <v/>
      </c>
      <c r="O144" s="20"/>
      <c r="P144" s="20"/>
    </row>
    <row r="145" customFormat="false" ht="15" hidden="false" customHeight="false" outlineLevel="0" collapsed="false">
      <c r="A145" s="20"/>
      <c r="B145" s="20"/>
      <c r="C145" s="20"/>
      <c r="D145" s="20"/>
      <c r="E145" s="20"/>
      <c r="F145" s="24"/>
      <c r="G145" s="20"/>
      <c r="H145" s="20"/>
      <c r="I145" s="20"/>
      <c r="J145" s="20"/>
      <c r="K145" s="20"/>
      <c r="L145" s="20"/>
      <c r="M145" s="25" t="str">
        <f aca="false">IF(COUNT(H145:L145)=5,H145*I145*J145*K145/L145,"")</f>
        <v/>
      </c>
      <c r="N145" s="26" t="str">
        <f aca="false">IF(M145="","",IF(AND(M145&gt;=100,L145&lt;=2),"Quick win",IF(M145&gt;=100,"Strategic priority",IF(M145&gt;=30,"Long-term investment","Low priority / avoid"))))</f>
        <v/>
      </c>
      <c r="O145" s="20"/>
      <c r="P145" s="20"/>
    </row>
    <row r="146" customFormat="false" ht="15" hidden="false" customHeight="false" outlineLevel="0" collapsed="false">
      <c r="A146" s="20"/>
      <c r="B146" s="20"/>
      <c r="C146" s="20"/>
      <c r="D146" s="20"/>
      <c r="E146" s="20"/>
      <c r="F146" s="24"/>
      <c r="G146" s="20"/>
      <c r="H146" s="20"/>
      <c r="I146" s="20"/>
      <c r="J146" s="20"/>
      <c r="K146" s="20"/>
      <c r="L146" s="20"/>
      <c r="M146" s="25" t="str">
        <f aca="false">IF(COUNT(H146:L146)=5,H146*I146*J146*K146/L146,"")</f>
        <v/>
      </c>
      <c r="N146" s="26" t="str">
        <f aca="false">IF(M146="","",IF(AND(M146&gt;=100,L146&lt;=2),"Quick win",IF(M146&gt;=100,"Strategic priority",IF(M146&gt;=30,"Long-term investment","Low priority / avoid"))))</f>
        <v/>
      </c>
      <c r="O146" s="20"/>
      <c r="P146" s="20"/>
    </row>
    <row r="147" customFormat="false" ht="15" hidden="false" customHeight="false" outlineLevel="0" collapsed="false">
      <c r="A147" s="20"/>
      <c r="B147" s="20"/>
      <c r="C147" s="20"/>
      <c r="D147" s="20"/>
      <c r="E147" s="20"/>
      <c r="F147" s="24"/>
      <c r="G147" s="20"/>
      <c r="H147" s="20"/>
      <c r="I147" s="20"/>
      <c r="J147" s="20"/>
      <c r="K147" s="20"/>
      <c r="L147" s="20"/>
      <c r="M147" s="25" t="str">
        <f aca="false">IF(COUNT(H147:L147)=5,H147*I147*J147*K147/L147,"")</f>
        <v/>
      </c>
      <c r="N147" s="26" t="str">
        <f aca="false">IF(M147="","",IF(AND(M147&gt;=100,L147&lt;=2),"Quick win",IF(M147&gt;=100,"Strategic priority",IF(M147&gt;=30,"Long-term investment","Low priority / avoid"))))</f>
        <v/>
      </c>
      <c r="O147" s="20"/>
      <c r="P147" s="20"/>
    </row>
    <row r="148" customFormat="false" ht="15" hidden="false" customHeight="false" outlineLevel="0" collapsed="false">
      <c r="A148" s="20"/>
      <c r="B148" s="20"/>
      <c r="C148" s="20"/>
      <c r="D148" s="20"/>
      <c r="E148" s="20"/>
      <c r="F148" s="24"/>
      <c r="G148" s="20"/>
      <c r="H148" s="20"/>
      <c r="I148" s="20"/>
      <c r="J148" s="20"/>
      <c r="K148" s="20"/>
      <c r="L148" s="20"/>
      <c r="M148" s="25" t="str">
        <f aca="false">IF(COUNT(H148:L148)=5,H148*I148*J148*K148/L148,"")</f>
        <v/>
      </c>
      <c r="N148" s="26" t="str">
        <f aca="false">IF(M148="","",IF(AND(M148&gt;=100,L148&lt;=2),"Quick win",IF(M148&gt;=100,"Strategic priority",IF(M148&gt;=30,"Long-term investment","Low priority / avoid"))))</f>
        <v/>
      </c>
      <c r="O148" s="20"/>
      <c r="P148" s="20"/>
    </row>
    <row r="149" customFormat="false" ht="15" hidden="false" customHeight="false" outlineLevel="0" collapsed="false">
      <c r="A149" s="20"/>
      <c r="B149" s="20"/>
      <c r="C149" s="20"/>
      <c r="D149" s="20"/>
      <c r="E149" s="20"/>
      <c r="F149" s="24"/>
      <c r="G149" s="20"/>
      <c r="H149" s="20"/>
      <c r="I149" s="20"/>
      <c r="J149" s="20"/>
      <c r="K149" s="20"/>
      <c r="L149" s="20"/>
      <c r="M149" s="25" t="str">
        <f aca="false">IF(COUNT(H149:L149)=5,H149*I149*J149*K149/L149,"")</f>
        <v/>
      </c>
      <c r="N149" s="26" t="str">
        <f aca="false">IF(M149="","",IF(AND(M149&gt;=100,L149&lt;=2),"Quick win",IF(M149&gt;=100,"Strategic priority",IF(M149&gt;=30,"Long-term investment","Low priority / avoid"))))</f>
        <v/>
      </c>
      <c r="O149" s="20"/>
      <c r="P149" s="20"/>
    </row>
    <row r="150" customFormat="false" ht="15" hidden="false" customHeight="false" outlineLevel="0" collapsed="false">
      <c r="A150" s="20"/>
      <c r="B150" s="20"/>
      <c r="C150" s="20"/>
      <c r="D150" s="20"/>
      <c r="E150" s="20"/>
      <c r="F150" s="24"/>
      <c r="G150" s="20"/>
      <c r="H150" s="20"/>
      <c r="I150" s="20"/>
      <c r="J150" s="20"/>
      <c r="K150" s="20"/>
      <c r="L150" s="20"/>
      <c r="M150" s="25" t="str">
        <f aca="false">IF(COUNT(H150:L150)=5,H150*I150*J150*K150/L150,"")</f>
        <v/>
      </c>
      <c r="N150" s="26" t="str">
        <f aca="false">IF(M150="","",IF(AND(M150&gt;=100,L150&lt;=2),"Quick win",IF(M150&gt;=100,"Strategic priority",IF(M150&gt;=30,"Long-term investment","Low priority / avoid"))))</f>
        <v/>
      </c>
      <c r="O150" s="20"/>
      <c r="P150" s="20"/>
    </row>
    <row r="151" customFormat="false" ht="15" hidden="false" customHeight="false" outlineLevel="0" collapsed="false">
      <c r="A151" s="20"/>
      <c r="B151" s="20"/>
      <c r="C151" s="20"/>
      <c r="D151" s="20"/>
      <c r="E151" s="20"/>
      <c r="F151" s="24"/>
      <c r="G151" s="20"/>
      <c r="H151" s="20"/>
      <c r="I151" s="20"/>
      <c r="J151" s="20"/>
      <c r="K151" s="20"/>
      <c r="L151" s="20"/>
      <c r="M151" s="25" t="str">
        <f aca="false">IF(COUNT(H151:L151)=5,H151*I151*J151*K151/L151,"")</f>
        <v/>
      </c>
      <c r="N151" s="26" t="str">
        <f aca="false">IF(M151="","",IF(AND(M151&gt;=100,L151&lt;=2),"Quick win",IF(M151&gt;=100,"Strategic priority",IF(M151&gt;=30,"Long-term investment","Low priority / avoid"))))</f>
        <v/>
      </c>
      <c r="O151" s="20"/>
      <c r="P151" s="20"/>
    </row>
    <row r="152" customFormat="false" ht="15" hidden="false" customHeight="false" outlineLevel="0" collapsed="false">
      <c r="A152" s="20"/>
      <c r="B152" s="20"/>
      <c r="C152" s="20"/>
      <c r="D152" s="20"/>
      <c r="E152" s="20"/>
      <c r="F152" s="24"/>
      <c r="G152" s="20"/>
      <c r="H152" s="20"/>
      <c r="I152" s="20"/>
      <c r="J152" s="20"/>
      <c r="K152" s="20"/>
      <c r="L152" s="20"/>
      <c r="M152" s="25" t="str">
        <f aca="false">IF(COUNT(H152:L152)=5,H152*I152*J152*K152/L152,"")</f>
        <v/>
      </c>
      <c r="N152" s="26" t="str">
        <f aca="false">IF(M152="","",IF(AND(M152&gt;=100,L152&lt;=2),"Quick win",IF(M152&gt;=100,"Strategic priority",IF(M152&gt;=30,"Long-term investment","Low priority / avoid"))))</f>
        <v/>
      </c>
      <c r="O152" s="20"/>
      <c r="P152" s="20"/>
    </row>
    <row r="153" customFormat="false" ht="15" hidden="false" customHeight="false" outlineLevel="0" collapsed="false">
      <c r="A153" s="20"/>
      <c r="B153" s="20"/>
      <c r="C153" s="20"/>
      <c r="D153" s="20"/>
      <c r="E153" s="20"/>
      <c r="F153" s="24"/>
      <c r="G153" s="20"/>
      <c r="H153" s="20"/>
      <c r="I153" s="20"/>
      <c r="J153" s="20"/>
      <c r="K153" s="20"/>
      <c r="L153" s="20"/>
      <c r="M153" s="25" t="str">
        <f aca="false">IF(COUNT(H153:L153)=5,H153*I153*J153*K153/L153,"")</f>
        <v/>
      </c>
      <c r="N153" s="26" t="str">
        <f aca="false">IF(M153="","",IF(AND(M153&gt;=100,L153&lt;=2),"Quick win",IF(M153&gt;=100,"Strategic priority",IF(M153&gt;=30,"Long-term investment","Low priority / avoid"))))</f>
        <v/>
      </c>
      <c r="O153" s="20"/>
      <c r="P153" s="20"/>
    </row>
    <row r="154" customFormat="false" ht="15" hidden="false" customHeight="false" outlineLevel="0" collapsed="false">
      <c r="A154" s="20"/>
      <c r="B154" s="20"/>
      <c r="C154" s="20"/>
      <c r="D154" s="20"/>
      <c r="E154" s="20"/>
      <c r="F154" s="24"/>
      <c r="G154" s="20"/>
      <c r="H154" s="20"/>
      <c r="I154" s="20"/>
      <c r="J154" s="20"/>
      <c r="K154" s="20"/>
      <c r="L154" s="20"/>
      <c r="M154" s="25" t="str">
        <f aca="false">IF(COUNT(H154:L154)=5,H154*I154*J154*K154/L154,"")</f>
        <v/>
      </c>
      <c r="N154" s="26" t="str">
        <f aca="false">IF(M154="","",IF(AND(M154&gt;=100,L154&lt;=2),"Quick win",IF(M154&gt;=100,"Strategic priority",IF(M154&gt;=30,"Long-term investment","Low priority / avoid"))))</f>
        <v/>
      </c>
      <c r="O154" s="20"/>
      <c r="P154" s="20"/>
    </row>
    <row r="155" customFormat="false" ht="15" hidden="false" customHeight="false" outlineLevel="0" collapsed="false">
      <c r="A155" s="20"/>
      <c r="B155" s="20"/>
      <c r="C155" s="20"/>
      <c r="D155" s="20"/>
      <c r="E155" s="20"/>
      <c r="F155" s="24"/>
      <c r="G155" s="20"/>
      <c r="H155" s="20"/>
      <c r="I155" s="20"/>
      <c r="J155" s="20"/>
      <c r="K155" s="20"/>
      <c r="L155" s="20"/>
      <c r="M155" s="25" t="str">
        <f aca="false">IF(COUNT(H155:L155)=5,H155*I155*J155*K155/L155,"")</f>
        <v/>
      </c>
      <c r="N155" s="26" t="str">
        <f aca="false">IF(M155="","",IF(AND(M155&gt;=100,L155&lt;=2),"Quick win",IF(M155&gt;=100,"Strategic priority",IF(M155&gt;=30,"Long-term investment","Low priority / avoid"))))</f>
        <v/>
      </c>
      <c r="O155" s="20"/>
      <c r="P155" s="20"/>
    </row>
    <row r="156" customFormat="false" ht="15" hidden="false" customHeight="false" outlineLevel="0" collapsed="false">
      <c r="A156" s="20"/>
      <c r="B156" s="20"/>
      <c r="C156" s="20"/>
      <c r="D156" s="20"/>
      <c r="E156" s="20"/>
      <c r="F156" s="24"/>
      <c r="G156" s="20"/>
      <c r="H156" s="20"/>
      <c r="I156" s="20"/>
      <c r="J156" s="20"/>
      <c r="K156" s="20"/>
      <c r="L156" s="20"/>
      <c r="M156" s="25" t="str">
        <f aca="false">IF(COUNT(H156:L156)=5,H156*I156*J156*K156/L156,"")</f>
        <v/>
      </c>
      <c r="N156" s="26" t="str">
        <f aca="false">IF(M156="","",IF(AND(M156&gt;=100,L156&lt;=2),"Quick win",IF(M156&gt;=100,"Strategic priority",IF(M156&gt;=30,"Long-term investment","Low priority / avoid"))))</f>
        <v/>
      </c>
      <c r="O156" s="20"/>
      <c r="P156" s="20"/>
    </row>
    <row r="157" customFormat="false" ht="15" hidden="false" customHeight="false" outlineLevel="0" collapsed="false">
      <c r="A157" s="20"/>
      <c r="B157" s="20"/>
      <c r="C157" s="20"/>
      <c r="D157" s="20"/>
      <c r="E157" s="20"/>
      <c r="F157" s="24"/>
      <c r="G157" s="20"/>
      <c r="H157" s="20"/>
      <c r="I157" s="20"/>
      <c r="J157" s="20"/>
      <c r="K157" s="20"/>
      <c r="L157" s="20"/>
      <c r="M157" s="25" t="str">
        <f aca="false">IF(COUNT(H157:L157)=5,H157*I157*J157*K157/L157,"")</f>
        <v/>
      </c>
      <c r="N157" s="26" t="str">
        <f aca="false">IF(M157="","",IF(AND(M157&gt;=100,L157&lt;=2),"Quick win",IF(M157&gt;=100,"Strategic priority",IF(M157&gt;=30,"Long-term investment","Low priority / avoid"))))</f>
        <v/>
      </c>
      <c r="O157" s="20"/>
      <c r="P157" s="20"/>
    </row>
    <row r="158" customFormat="false" ht="15" hidden="false" customHeight="false" outlineLevel="0" collapsed="false">
      <c r="A158" s="20"/>
      <c r="B158" s="20"/>
      <c r="C158" s="20"/>
      <c r="D158" s="20"/>
      <c r="E158" s="20"/>
      <c r="F158" s="24"/>
      <c r="G158" s="20"/>
      <c r="H158" s="20"/>
      <c r="I158" s="20"/>
      <c r="J158" s="20"/>
      <c r="K158" s="20"/>
      <c r="L158" s="20"/>
      <c r="M158" s="25" t="str">
        <f aca="false">IF(COUNT(H158:L158)=5,H158*I158*J158*K158/L158,"")</f>
        <v/>
      </c>
      <c r="N158" s="26" t="str">
        <f aca="false">IF(M158="","",IF(AND(M158&gt;=100,L158&lt;=2),"Quick win",IF(M158&gt;=100,"Strategic priority",IF(M158&gt;=30,"Long-term investment","Low priority / avoid"))))</f>
        <v/>
      </c>
      <c r="O158" s="20"/>
      <c r="P158" s="20"/>
    </row>
    <row r="159" customFormat="false" ht="15" hidden="false" customHeight="false" outlineLevel="0" collapsed="false">
      <c r="A159" s="20"/>
      <c r="B159" s="20"/>
      <c r="C159" s="20"/>
      <c r="D159" s="20"/>
      <c r="E159" s="20"/>
      <c r="F159" s="24"/>
      <c r="G159" s="20"/>
      <c r="H159" s="20"/>
      <c r="I159" s="20"/>
      <c r="J159" s="20"/>
      <c r="K159" s="20"/>
      <c r="L159" s="20"/>
      <c r="M159" s="25" t="str">
        <f aca="false">IF(COUNT(H159:L159)=5,H159*I159*J159*K159/L159,"")</f>
        <v/>
      </c>
      <c r="N159" s="26" t="str">
        <f aca="false">IF(M159="","",IF(AND(M159&gt;=100,L159&lt;=2),"Quick win",IF(M159&gt;=100,"Strategic priority",IF(M159&gt;=30,"Long-term investment","Low priority / avoid"))))</f>
        <v/>
      </c>
      <c r="O159" s="20"/>
      <c r="P159" s="20"/>
    </row>
    <row r="160" customFormat="false" ht="15" hidden="false" customHeight="false" outlineLevel="0" collapsed="false">
      <c r="A160" s="20"/>
      <c r="B160" s="20"/>
      <c r="C160" s="20"/>
      <c r="D160" s="20"/>
      <c r="E160" s="20"/>
      <c r="F160" s="24"/>
      <c r="G160" s="20"/>
      <c r="H160" s="20"/>
      <c r="I160" s="20"/>
      <c r="J160" s="20"/>
      <c r="K160" s="20"/>
      <c r="L160" s="20"/>
      <c r="M160" s="25" t="str">
        <f aca="false">IF(COUNT(H160:L160)=5,H160*I160*J160*K160/L160,"")</f>
        <v/>
      </c>
      <c r="N160" s="26" t="str">
        <f aca="false">IF(M160="","",IF(AND(M160&gt;=100,L160&lt;=2),"Quick win",IF(M160&gt;=100,"Strategic priority",IF(M160&gt;=30,"Long-term investment","Low priority / avoid"))))</f>
        <v/>
      </c>
      <c r="O160" s="20"/>
      <c r="P160" s="20"/>
    </row>
    <row r="161" customFormat="false" ht="15" hidden="false" customHeight="false" outlineLevel="0" collapsed="false">
      <c r="A161" s="20"/>
      <c r="B161" s="20"/>
      <c r="C161" s="20"/>
      <c r="D161" s="20"/>
      <c r="E161" s="20"/>
      <c r="F161" s="24"/>
      <c r="G161" s="20"/>
      <c r="H161" s="20"/>
      <c r="I161" s="20"/>
      <c r="J161" s="20"/>
      <c r="K161" s="20"/>
      <c r="L161" s="20"/>
      <c r="M161" s="25" t="str">
        <f aca="false">IF(COUNT(H161:L161)=5,H161*I161*J161*K161/L161,"")</f>
        <v/>
      </c>
      <c r="N161" s="26" t="str">
        <f aca="false">IF(M161="","",IF(AND(M161&gt;=100,L161&lt;=2),"Quick win",IF(M161&gt;=100,"Strategic priority",IF(M161&gt;=30,"Long-term investment","Low priority / avoid"))))</f>
        <v/>
      </c>
      <c r="O161" s="20"/>
      <c r="P161" s="20"/>
    </row>
    <row r="162" customFormat="false" ht="15" hidden="false" customHeight="false" outlineLevel="0" collapsed="false">
      <c r="A162" s="20"/>
      <c r="B162" s="20"/>
      <c r="C162" s="20"/>
      <c r="D162" s="20"/>
      <c r="E162" s="20"/>
      <c r="F162" s="24"/>
      <c r="G162" s="20"/>
      <c r="H162" s="20"/>
      <c r="I162" s="20"/>
      <c r="J162" s="20"/>
      <c r="K162" s="20"/>
      <c r="L162" s="20"/>
      <c r="M162" s="25" t="str">
        <f aca="false">IF(COUNT(H162:L162)=5,H162*I162*J162*K162/L162,"")</f>
        <v/>
      </c>
      <c r="N162" s="26" t="str">
        <f aca="false">IF(M162="","",IF(AND(M162&gt;=100,L162&lt;=2),"Quick win",IF(M162&gt;=100,"Strategic priority",IF(M162&gt;=30,"Long-term investment","Low priority / avoid"))))</f>
        <v/>
      </c>
      <c r="O162" s="20"/>
      <c r="P162" s="20"/>
    </row>
    <row r="163" customFormat="false" ht="15" hidden="false" customHeight="false" outlineLevel="0" collapsed="false">
      <c r="A163" s="20"/>
      <c r="B163" s="20"/>
      <c r="C163" s="20"/>
      <c r="D163" s="20"/>
      <c r="E163" s="20"/>
      <c r="F163" s="24"/>
      <c r="G163" s="20"/>
      <c r="H163" s="20"/>
      <c r="I163" s="20"/>
      <c r="J163" s="20"/>
      <c r="K163" s="20"/>
      <c r="L163" s="20"/>
      <c r="M163" s="25" t="str">
        <f aca="false">IF(COUNT(H163:L163)=5,H163*I163*J163*K163/L163,"")</f>
        <v/>
      </c>
      <c r="N163" s="26" t="str">
        <f aca="false">IF(M163="","",IF(AND(M163&gt;=100,L163&lt;=2),"Quick win",IF(M163&gt;=100,"Strategic priority",IF(M163&gt;=30,"Long-term investment","Low priority / avoid"))))</f>
        <v/>
      </c>
      <c r="O163" s="20"/>
      <c r="P163" s="20"/>
    </row>
    <row r="164" customFormat="false" ht="15" hidden="false" customHeight="false" outlineLevel="0" collapsed="false">
      <c r="A164" s="20"/>
      <c r="B164" s="20"/>
      <c r="C164" s="20"/>
      <c r="D164" s="20"/>
      <c r="E164" s="20"/>
      <c r="F164" s="24"/>
      <c r="G164" s="20"/>
      <c r="H164" s="20"/>
      <c r="I164" s="20"/>
      <c r="J164" s="20"/>
      <c r="K164" s="20"/>
      <c r="L164" s="20"/>
      <c r="M164" s="25" t="str">
        <f aca="false">IF(COUNT(H164:L164)=5,H164*I164*J164*K164/L164,"")</f>
        <v/>
      </c>
      <c r="N164" s="26" t="str">
        <f aca="false">IF(M164="","",IF(AND(M164&gt;=100,L164&lt;=2),"Quick win",IF(M164&gt;=100,"Strategic priority",IF(M164&gt;=30,"Long-term investment","Low priority / avoid"))))</f>
        <v/>
      </c>
      <c r="O164" s="20"/>
      <c r="P164" s="20"/>
    </row>
    <row r="165" customFormat="false" ht="15" hidden="false" customHeight="false" outlineLevel="0" collapsed="false">
      <c r="A165" s="20"/>
      <c r="B165" s="20"/>
      <c r="C165" s="20"/>
      <c r="D165" s="20"/>
      <c r="E165" s="20"/>
      <c r="F165" s="24"/>
      <c r="G165" s="20"/>
      <c r="H165" s="20"/>
      <c r="I165" s="20"/>
      <c r="J165" s="20"/>
      <c r="K165" s="20"/>
      <c r="L165" s="20"/>
      <c r="M165" s="25" t="str">
        <f aca="false">IF(COUNT(H165:L165)=5,H165*I165*J165*K165/L165,"")</f>
        <v/>
      </c>
      <c r="N165" s="26" t="str">
        <f aca="false">IF(M165="","",IF(AND(M165&gt;=100,L165&lt;=2),"Quick win",IF(M165&gt;=100,"Strategic priority",IF(M165&gt;=30,"Long-term investment","Low priority / avoid"))))</f>
        <v/>
      </c>
      <c r="O165" s="20"/>
      <c r="P165" s="20"/>
    </row>
    <row r="166" customFormat="false" ht="15" hidden="false" customHeight="false" outlineLevel="0" collapsed="false">
      <c r="A166" s="20"/>
      <c r="B166" s="20"/>
      <c r="C166" s="20"/>
      <c r="D166" s="20"/>
      <c r="E166" s="20"/>
      <c r="F166" s="24"/>
      <c r="G166" s="20"/>
      <c r="H166" s="20"/>
      <c r="I166" s="20"/>
      <c r="J166" s="20"/>
      <c r="K166" s="20"/>
      <c r="L166" s="20"/>
      <c r="M166" s="25" t="str">
        <f aca="false">IF(COUNT(H166:L166)=5,H166*I166*J166*K166/L166,"")</f>
        <v/>
      </c>
      <c r="N166" s="26" t="str">
        <f aca="false">IF(M166="","",IF(AND(M166&gt;=100,L166&lt;=2),"Quick win",IF(M166&gt;=100,"Strategic priority",IF(M166&gt;=30,"Long-term investment","Low priority / avoid"))))</f>
        <v/>
      </c>
      <c r="O166" s="20"/>
      <c r="P166" s="20"/>
    </row>
    <row r="167" customFormat="false" ht="15" hidden="false" customHeight="false" outlineLevel="0" collapsed="false">
      <c r="A167" s="20"/>
      <c r="B167" s="20"/>
      <c r="C167" s="20"/>
      <c r="D167" s="20"/>
      <c r="E167" s="20"/>
      <c r="F167" s="24"/>
      <c r="G167" s="20"/>
      <c r="H167" s="20"/>
      <c r="I167" s="20"/>
      <c r="J167" s="20"/>
      <c r="K167" s="20"/>
      <c r="L167" s="20"/>
      <c r="M167" s="25" t="str">
        <f aca="false">IF(COUNT(H167:L167)=5,H167*I167*J167*K167/L167,"")</f>
        <v/>
      </c>
      <c r="N167" s="26" t="str">
        <f aca="false">IF(M167="","",IF(AND(M167&gt;=100,L167&lt;=2),"Quick win",IF(M167&gt;=100,"Strategic priority",IF(M167&gt;=30,"Long-term investment","Low priority / avoid"))))</f>
        <v/>
      </c>
      <c r="O167" s="20"/>
      <c r="P167" s="20"/>
    </row>
    <row r="168" customFormat="false" ht="15" hidden="false" customHeight="false" outlineLevel="0" collapsed="false">
      <c r="A168" s="20"/>
      <c r="B168" s="20"/>
      <c r="C168" s="20"/>
      <c r="D168" s="20"/>
      <c r="E168" s="20"/>
      <c r="F168" s="24"/>
      <c r="G168" s="20"/>
      <c r="H168" s="20"/>
      <c r="I168" s="20"/>
      <c r="J168" s="20"/>
      <c r="K168" s="20"/>
      <c r="L168" s="20"/>
      <c r="M168" s="25" t="str">
        <f aca="false">IF(COUNT(H168:L168)=5,H168*I168*J168*K168/L168,"")</f>
        <v/>
      </c>
      <c r="N168" s="26" t="str">
        <f aca="false">IF(M168="","",IF(AND(M168&gt;=100,L168&lt;=2),"Quick win",IF(M168&gt;=100,"Strategic priority",IF(M168&gt;=30,"Long-term investment","Low priority / avoid"))))</f>
        <v/>
      </c>
      <c r="O168" s="20"/>
      <c r="P168" s="20"/>
    </row>
    <row r="169" customFormat="false" ht="15" hidden="false" customHeight="false" outlineLevel="0" collapsed="false">
      <c r="A169" s="20"/>
      <c r="B169" s="20"/>
      <c r="C169" s="20"/>
      <c r="D169" s="20"/>
      <c r="E169" s="20"/>
      <c r="F169" s="24"/>
      <c r="G169" s="20"/>
      <c r="H169" s="20"/>
      <c r="I169" s="20"/>
      <c r="J169" s="20"/>
      <c r="K169" s="20"/>
      <c r="L169" s="20"/>
      <c r="M169" s="25" t="str">
        <f aca="false">IF(COUNT(H169:L169)=5,H169*I169*J169*K169/L169,"")</f>
        <v/>
      </c>
      <c r="N169" s="26" t="str">
        <f aca="false">IF(M169="","",IF(AND(M169&gt;=100,L169&lt;=2),"Quick win",IF(M169&gt;=100,"Strategic priority",IF(M169&gt;=30,"Long-term investment","Low priority / avoid"))))</f>
        <v/>
      </c>
      <c r="O169" s="20"/>
      <c r="P169" s="20"/>
    </row>
    <row r="170" customFormat="false" ht="15" hidden="false" customHeight="false" outlineLevel="0" collapsed="false">
      <c r="A170" s="20"/>
      <c r="B170" s="20"/>
      <c r="C170" s="20"/>
      <c r="D170" s="20"/>
      <c r="E170" s="20"/>
      <c r="F170" s="24"/>
      <c r="G170" s="20"/>
      <c r="H170" s="20"/>
      <c r="I170" s="20"/>
      <c r="J170" s="20"/>
      <c r="K170" s="20"/>
      <c r="L170" s="20"/>
      <c r="M170" s="25" t="str">
        <f aca="false">IF(COUNT(H170:L170)=5,H170*I170*J170*K170/L170,"")</f>
        <v/>
      </c>
      <c r="N170" s="26" t="str">
        <f aca="false">IF(M170="","",IF(AND(M170&gt;=100,L170&lt;=2),"Quick win",IF(M170&gt;=100,"Strategic priority",IF(M170&gt;=30,"Long-term investment","Low priority / avoid"))))</f>
        <v/>
      </c>
      <c r="O170" s="20"/>
      <c r="P170" s="20"/>
    </row>
    <row r="171" customFormat="false" ht="15" hidden="false" customHeight="false" outlineLevel="0" collapsed="false">
      <c r="A171" s="20"/>
      <c r="B171" s="20"/>
      <c r="C171" s="20"/>
      <c r="D171" s="20"/>
      <c r="E171" s="20"/>
      <c r="F171" s="24"/>
      <c r="G171" s="20"/>
      <c r="H171" s="20"/>
      <c r="I171" s="20"/>
      <c r="J171" s="20"/>
      <c r="K171" s="20"/>
      <c r="L171" s="20"/>
      <c r="M171" s="25" t="str">
        <f aca="false">IF(COUNT(H171:L171)=5,H171*I171*J171*K171/L171,"")</f>
        <v/>
      </c>
      <c r="N171" s="26" t="str">
        <f aca="false">IF(M171="","",IF(AND(M171&gt;=100,L171&lt;=2),"Quick win",IF(M171&gt;=100,"Strategic priority",IF(M171&gt;=30,"Long-term investment","Low priority / avoid"))))</f>
        <v/>
      </c>
      <c r="O171" s="20"/>
      <c r="P171" s="20"/>
    </row>
    <row r="172" customFormat="false" ht="15" hidden="false" customHeight="false" outlineLevel="0" collapsed="false">
      <c r="A172" s="20"/>
      <c r="B172" s="20"/>
      <c r="C172" s="20"/>
      <c r="D172" s="20"/>
      <c r="E172" s="20"/>
      <c r="F172" s="24"/>
      <c r="G172" s="20"/>
      <c r="H172" s="20"/>
      <c r="I172" s="20"/>
      <c r="J172" s="20"/>
      <c r="K172" s="20"/>
      <c r="L172" s="20"/>
      <c r="M172" s="25" t="str">
        <f aca="false">IF(COUNT(H172:L172)=5,H172*I172*J172*K172/L172,"")</f>
        <v/>
      </c>
      <c r="N172" s="26" t="str">
        <f aca="false">IF(M172="","",IF(AND(M172&gt;=100,L172&lt;=2),"Quick win",IF(M172&gt;=100,"Strategic priority",IF(M172&gt;=30,"Long-term investment","Low priority / avoid"))))</f>
        <v/>
      </c>
      <c r="O172" s="20"/>
      <c r="P172" s="20"/>
    </row>
    <row r="173" customFormat="false" ht="15" hidden="false" customHeight="false" outlineLevel="0" collapsed="false">
      <c r="A173" s="20"/>
      <c r="B173" s="20"/>
      <c r="C173" s="20"/>
      <c r="D173" s="20"/>
      <c r="E173" s="20"/>
      <c r="F173" s="24"/>
      <c r="G173" s="20"/>
      <c r="H173" s="20"/>
      <c r="I173" s="20"/>
      <c r="J173" s="20"/>
      <c r="K173" s="20"/>
      <c r="L173" s="20"/>
      <c r="M173" s="25" t="str">
        <f aca="false">IF(COUNT(H173:L173)=5,H173*I173*J173*K173/L173,"")</f>
        <v/>
      </c>
      <c r="N173" s="26" t="str">
        <f aca="false">IF(M173="","",IF(AND(M173&gt;=100,L173&lt;=2),"Quick win",IF(M173&gt;=100,"Strategic priority",IF(M173&gt;=30,"Long-term investment","Low priority / avoid"))))</f>
        <v/>
      </c>
      <c r="O173" s="20"/>
      <c r="P173" s="20"/>
    </row>
    <row r="174" customFormat="false" ht="15" hidden="false" customHeight="false" outlineLevel="0" collapsed="false">
      <c r="A174" s="20"/>
      <c r="B174" s="20"/>
      <c r="C174" s="20"/>
      <c r="D174" s="20"/>
      <c r="E174" s="20"/>
      <c r="F174" s="24"/>
      <c r="G174" s="20"/>
      <c r="H174" s="20"/>
      <c r="I174" s="20"/>
      <c r="J174" s="20"/>
      <c r="K174" s="20"/>
      <c r="L174" s="20"/>
      <c r="M174" s="25" t="str">
        <f aca="false">IF(COUNT(H174:L174)=5,H174*I174*J174*K174/L174,"")</f>
        <v/>
      </c>
      <c r="N174" s="26" t="str">
        <f aca="false">IF(M174="","",IF(AND(M174&gt;=100,L174&lt;=2),"Quick win",IF(M174&gt;=100,"Strategic priority",IF(M174&gt;=30,"Long-term investment","Low priority / avoid"))))</f>
        <v/>
      </c>
      <c r="O174" s="20"/>
      <c r="P174" s="20"/>
    </row>
    <row r="175" customFormat="false" ht="15" hidden="false" customHeight="false" outlineLevel="0" collapsed="false">
      <c r="A175" s="20"/>
      <c r="B175" s="20"/>
      <c r="C175" s="20"/>
      <c r="D175" s="20"/>
      <c r="E175" s="20"/>
      <c r="F175" s="24"/>
      <c r="G175" s="20"/>
      <c r="H175" s="20"/>
      <c r="I175" s="20"/>
      <c r="J175" s="20"/>
      <c r="K175" s="20"/>
      <c r="L175" s="20"/>
      <c r="M175" s="25" t="str">
        <f aca="false">IF(COUNT(H175:L175)=5,H175*I175*J175*K175/L175,"")</f>
        <v/>
      </c>
      <c r="N175" s="26" t="str">
        <f aca="false">IF(M175="","",IF(AND(M175&gt;=100,L175&lt;=2),"Quick win",IF(M175&gt;=100,"Strategic priority",IF(M175&gt;=30,"Long-term investment","Low priority / avoid"))))</f>
        <v/>
      </c>
      <c r="O175" s="20"/>
      <c r="P175" s="20"/>
    </row>
    <row r="176" customFormat="false" ht="15" hidden="false" customHeight="false" outlineLevel="0" collapsed="false">
      <c r="A176" s="20"/>
      <c r="B176" s="20"/>
      <c r="C176" s="20"/>
      <c r="D176" s="20"/>
      <c r="E176" s="20"/>
      <c r="F176" s="24"/>
      <c r="G176" s="20"/>
      <c r="H176" s="20"/>
      <c r="I176" s="20"/>
      <c r="J176" s="20"/>
      <c r="K176" s="20"/>
      <c r="L176" s="20"/>
      <c r="M176" s="25" t="str">
        <f aca="false">IF(COUNT(H176:L176)=5,H176*I176*J176*K176/L176,"")</f>
        <v/>
      </c>
      <c r="N176" s="26" t="str">
        <f aca="false">IF(M176="","",IF(AND(M176&gt;=100,L176&lt;=2),"Quick win",IF(M176&gt;=100,"Strategic priority",IF(M176&gt;=30,"Long-term investment","Low priority / avoid"))))</f>
        <v/>
      </c>
      <c r="O176" s="20"/>
      <c r="P176" s="20"/>
    </row>
    <row r="177" customFormat="false" ht="15" hidden="false" customHeight="false" outlineLevel="0" collapsed="false">
      <c r="A177" s="20"/>
      <c r="B177" s="20"/>
      <c r="C177" s="20"/>
      <c r="D177" s="20"/>
      <c r="E177" s="20"/>
      <c r="F177" s="24"/>
      <c r="G177" s="20"/>
      <c r="H177" s="20"/>
      <c r="I177" s="20"/>
      <c r="J177" s="20"/>
      <c r="K177" s="20"/>
      <c r="L177" s="20"/>
      <c r="M177" s="25" t="str">
        <f aca="false">IF(COUNT(H177:L177)=5,H177*I177*J177*K177/L177,"")</f>
        <v/>
      </c>
      <c r="N177" s="26" t="str">
        <f aca="false">IF(M177="","",IF(AND(M177&gt;=100,L177&lt;=2),"Quick win",IF(M177&gt;=100,"Strategic priority",IF(M177&gt;=30,"Long-term investment","Low priority / avoid"))))</f>
        <v/>
      </c>
      <c r="O177" s="20"/>
      <c r="P177" s="20"/>
    </row>
    <row r="178" customFormat="false" ht="15" hidden="false" customHeight="false" outlineLevel="0" collapsed="false">
      <c r="A178" s="20"/>
      <c r="B178" s="20"/>
      <c r="C178" s="20"/>
      <c r="D178" s="20"/>
      <c r="E178" s="20"/>
      <c r="F178" s="24"/>
      <c r="G178" s="20"/>
      <c r="H178" s="20"/>
      <c r="I178" s="20"/>
      <c r="J178" s="20"/>
      <c r="K178" s="20"/>
      <c r="L178" s="20"/>
      <c r="M178" s="25" t="str">
        <f aca="false">IF(COUNT(H178:L178)=5,H178*I178*J178*K178/L178,"")</f>
        <v/>
      </c>
      <c r="N178" s="26" t="str">
        <f aca="false">IF(M178="","",IF(AND(M178&gt;=100,L178&lt;=2),"Quick win",IF(M178&gt;=100,"Strategic priority",IF(M178&gt;=30,"Long-term investment","Low priority / avoid"))))</f>
        <v/>
      </c>
      <c r="O178" s="20"/>
      <c r="P178" s="20"/>
    </row>
    <row r="179" customFormat="false" ht="15" hidden="false" customHeight="false" outlineLevel="0" collapsed="false">
      <c r="A179" s="20"/>
      <c r="B179" s="20"/>
      <c r="C179" s="20"/>
      <c r="D179" s="20"/>
      <c r="E179" s="20"/>
      <c r="F179" s="24"/>
      <c r="G179" s="20"/>
      <c r="H179" s="20"/>
      <c r="I179" s="20"/>
      <c r="J179" s="20"/>
      <c r="K179" s="20"/>
      <c r="L179" s="20"/>
      <c r="M179" s="25" t="str">
        <f aca="false">IF(COUNT(H179:L179)=5,H179*I179*J179*K179/L179,"")</f>
        <v/>
      </c>
      <c r="N179" s="26" t="str">
        <f aca="false">IF(M179="","",IF(AND(M179&gt;=100,L179&lt;=2),"Quick win",IF(M179&gt;=100,"Strategic priority",IF(M179&gt;=30,"Long-term investment","Low priority / avoid"))))</f>
        <v/>
      </c>
      <c r="O179" s="20"/>
      <c r="P179" s="20"/>
    </row>
    <row r="180" customFormat="false" ht="15" hidden="false" customHeight="false" outlineLevel="0" collapsed="false">
      <c r="A180" s="20"/>
      <c r="B180" s="20"/>
      <c r="C180" s="20"/>
      <c r="D180" s="20"/>
      <c r="E180" s="20"/>
      <c r="F180" s="24"/>
      <c r="G180" s="20"/>
      <c r="H180" s="20"/>
      <c r="I180" s="20"/>
      <c r="J180" s="20"/>
      <c r="K180" s="20"/>
      <c r="L180" s="20"/>
      <c r="M180" s="25" t="str">
        <f aca="false">IF(COUNT(H180:L180)=5,H180*I180*J180*K180/L180,"")</f>
        <v/>
      </c>
      <c r="N180" s="26" t="str">
        <f aca="false">IF(M180="","",IF(AND(M180&gt;=100,L180&lt;=2),"Quick win",IF(M180&gt;=100,"Strategic priority",IF(M180&gt;=30,"Long-term investment","Low priority / avoid"))))</f>
        <v/>
      </c>
      <c r="O180" s="20"/>
      <c r="P180" s="20"/>
    </row>
    <row r="181" customFormat="false" ht="15" hidden="false" customHeight="false" outlineLevel="0" collapsed="false">
      <c r="A181" s="20"/>
      <c r="B181" s="20"/>
      <c r="C181" s="20"/>
      <c r="D181" s="20"/>
      <c r="E181" s="20"/>
      <c r="F181" s="24"/>
      <c r="G181" s="20"/>
      <c r="H181" s="20"/>
      <c r="I181" s="20"/>
      <c r="J181" s="20"/>
      <c r="K181" s="20"/>
      <c r="L181" s="20"/>
      <c r="M181" s="25" t="str">
        <f aca="false">IF(COUNT(H181:L181)=5,H181*I181*J181*K181/L181,"")</f>
        <v/>
      </c>
      <c r="N181" s="26" t="str">
        <f aca="false">IF(M181="","",IF(AND(M181&gt;=100,L181&lt;=2),"Quick win",IF(M181&gt;=100,"Strategic priority",IF(M181&gt;=30,"Long-term investment","Low priority / avoid"))))</f>
        <v/>
      </c>
      <c r="O181" s="20"/>
      <c r="P181" s="20"/>
    </row>
    <row r="182" customFormat="false" ht="15" hidden="false" customHeight="false" outlineLevel="0" collapsed="false">
      <c r="A182" s="20"/>
      <c r="B182" s="20"/>
      <c r="C182" s="20"/>
      <c r="D182" s="20"/>
      <c r="E182" s="20"/>
      <c r="F182" s="24"/>
      <c r="G182" s="20"/>
      <c r="H182" s="20"/>
      <c r="I182" s="20"/>
      <c r="J182" s="20"/>
      <c r="K182" s="20"/>
      <c r="L182" s="20"/>
      <c r="M182" s="25" t="str">
        <f aca="false">IF(COUNT(H182:L182)=5,H182*I182*J182*K182/L182,"")</f>
        <v/>
      </c>
      <c r="N182" s="26" t="str">
        <f aca="false">IF(M182="","",IF(AND(M182&gt;=100,L182&lt;=2),"Quick win",IF(M182&gt;=100,"Strategic priority",IF(M182&gt;=30,"Long-term investment","Low priority / avoid"))))</f>
        <v/>
      </c>
      <c r="O182" s="20"/>
      <c r="P182" s="20"/>
    </row>
    <row r="183" customFormat="false" ht="15" hidden="false" customHeight="false" outlineLevel="0" collapsed="false">
      <c r="A183" s="20"/>
      <c r="B183" s="20"/>
      <c r="C183" s="20"/>
      <c r="D183" s="20"/>
      <c r="E183" s="20"/>
      <c r="F183" s="24"/>
      <c r="G183" s="20"/>
      <c r="H183" s="20"/>
      <c r="I183" s="20"/>
      <c r="J183" s="20"/>
      <c r="K183" s="20"/>
      <c r="L183" s="20"/>
      <c r="M183" s="25" t="str">
        <f aca="false">IF(COUNT(H183:L183)=5,H183*I183*J183*K183/L183,"")</f>
        <v/>
      </c>
      <c r="N183" s="26" t="str">
        <f aca="false">IF(M183="","",IF(AND(M183&gt;=100,L183&lt;=2),"Quick win",IF(M183&gt;=100,"Strategic priority",IF(M183&gt;=30,"Long-term investment","Low priority / avoid"))))</f>
        <v/>
      </c>
      <c r="O183" s="20"/>
      <c r="P183" s="20"/>
    </row>
    <row r="184" customFormat="false" ht="15" hidden="false" customHeight="false" outlineLevel="0" collapsed="false">
      <c r="A184" s="20"/>
      <c r="B184" s="20"/>
      <c r="C184" s="20"/>
      <c r="D184" s="20"/>
      <c r="E184" s="20"/>
      <c r="F184" s="24"/>
      <c r="G184" s="20"/>
      <c r="H184" s="20"/>
      <c r="I184" s="20"/>
      <c r="J184" s="20"/>
      <c r="K184" s="20"/>
      <c r="L184" s="20"/>
      <c r="M184" s="25" t="str">
        <f aca="false">IF(COUNT(H184:L184)=5,H184*I184*J184*K184/L184,"")</f>
        <v/>
      </c>
      <c r="N184" s="26" t="str">
        <f aca="false">IF(M184="","",IF(AND(M184&gt;=100,L184&lt;=2),"Quick win",IF(M184&gt;=100,"Strategic priority",IF(M184&gt;=30,"Long-term investment","Low priority / avoid"))))</f>
        <v/>
      </c>
      <c r="O184" s="20"/>
      <c r="P184" s="20"/>
    </row>
    <row r="185" customFormat="false" ht="15" hidden="false" customHeight="false" outlineLevel="0" collapsed="false">
      <c r="A185" s="20"/>
      <c r="B185" s="20"/>
      <c r="C185" s="20"/>
      <c r="D185" s="20"/>
      <c r="E185" s="20"/>
      <c r="F185" s="24"/>
      <c r="G185" s="20"/>
      <c r="H185" s="20"/>
      <c r="I185" s="20"/>
      <c r="J185" s="20"/>
      <c r="K185" s="20"/>
      <c r="L185" s="20"/>
      <c r="M185" s="25" t="str">
        <f aca="false">IF(COUNT(H185:L185)=5,H185*I185*J185*K185/L185,"")</f>
        <v/>
      </c>
      <c r="N185" s="26" t="str">
        <f aca="false">IF(M185="","",IF(AND(M185&gt;=100,L185&lt;=2),"Quick win",IF(M185&gt;=100,"Strategic priority",IF(M185&gt;=30,"Long-term investment","Low priority / avoid"))))</f>
        <v/>
      </c>
      <c r="O185" s="20"/>
      <c r="P185" s="20"/>
    </row>
    <row r="186" customFormat="false" ht="15" hidden="false" customHeight="false" outlineLevel="0" collapsed="false">
      <c r="A186" s="20"/>
      <c r="B186" s="20"/>
      <c r="C186" s="20"/>
      <c r="D186" s="20"/>
      <c r="E186" s="20"/>
      <c r="F186" s="24"/>
      <c r="G186" s="20"/>
      <c r="H186" s="20"/>
      <c r="I186" s="20"/>
      <c r="J186" s="20"/>
      <c r="K186" s="20"/>
      <c r="L186" s="20"/>
      <c r="M186" s="25" t="str">
        <f aca="false">IF(COUNT(H186:L186)=5,H186*I186*J186*K186/L186,"")</f>
        <v/>
      </c>
      <c r="N186" s="26" t="str">
        <f aca="false">IF(M186="","",IF(AND(M186&gt;=100,L186&lt;=2),"Quick win",IF(M186&gt;=100,"Strategic priority",IF(M186&gt;=30,"Long-term investment","Low priority / avoid"))))</f>
        <v/>
      </c>
      <c r="O186" s="20"/>
      <c r="P186" s="20"/>
    </row>
    <row r="187" customFormat="false" ht="15" hidden="false" customHeight="false" outlineLevel="0" collapsed="false">
      <c r="A187" s="20"/>
      <c r="B187" s="20"/>
      <c r="C187" s="20"/>
      <c r="D187" s="20"/>
      <c r="E187" s="20"/>
      <c r="F187" s="24"/>
      <c r="G187" s="20"/>
      <c r="H187" s="20"/>
      <c r="I187" s="20"/>
      <c r="J187" s="20"/>
      <c r="K187" s="20"/>
      <c r="L187" s="20"/>
      <c r="M187" s="25" t="str">
        <f aca="false">IF(COUNT(H187:L187)=5,H187*I187*J187*K187/L187,"")</f>
        <v/>
      </c>
      <c r="N187" s="26" t="str">
        <f aca="false">IF(M187="","",IF(AND(M187&gt;=100,L187&lt;=2),"Quick win",IF(M187&gt;=100,"Strategic priority",IF(M187&gt;=30,"Long-term investment","Low priority / avoid"))))</f>
        <v/>
      </c>
      <c r="O187" s="20"/>
      <c r="P187" s="20"/>
    </row>
    <row r="188" customFormat="false" ht="15" hidden="false" customHeight="false" outlineLevel="0" collapsed="false">
      <c r="A188" s="20"/>
      <c r="B188" s="20"/>
      <c r="C188" s="20"/>
      <c r="D188" s="20"/>
      <c r="E188" s="20"/>
      <c r="F188" s="24"/>
      <c r="G188" s="20"/>
      <c r="H188" s="20"/>
      <c r="I188" s="20"/>
      <c r="J188" s="20"/>
      <c r="K188" s="20"/>
      <c r="L188" s="20"/>
      <c r="M188" s="25" t="str">
        <f aca="false">IF(COUNT(H188:L188)=5,H188*I188*J188*K188/L188,"")</f>
        <v/>
      </c>
      <c r="N188" s="26" t="str">
        <f aca="false">IF(M188="","",IF(AND(M188&gt;=100,L188&lt;=2),"Quick win",IF(M188&gt;=100,"Strategic priority",IF(M188&gt;=30,"Long-term investment","Low priority / avoid"))))</f>
        <v/>
      </c>
      <c r="O188" s="20"/>
      <c r="P188" s="20"/>
    </row>
    <row r="189" customFormat="false" ht="15" hidden="false" customHeight="false" outlineLevel="0" collapsed="false">
      <c r="A189" s="20"/>
      <c r="B189" s="20"/>
      <c r="C189" s="20"/>
      <c r="D189" s="20"/>
      <c r="E189" s="20"/>
      <c r="F189" s="24"/>
      <c r="G189" s="20"/>
      <c r="H189" s="20"/>
      <c r="I189" s="20"/>
      <c r="J189" s="20"/>
      <c r="K189" s="20"/>
      <c r="L189" s="20"/>
      <c r="M189" s="25" t="str">
        <f aca="false">IF(COUNT(H189:L189)=5,H189*I189*J189*K189/L189,"")</f>
        <v/>
      </c>
      <c r="N189" s="26" t="str">
        <f aca="false">IF(M189="","",IF(AND(M189&gt;=100,L189&lt;=2),"Quick win",IF(M189&gt;=100,"Strategic priority",IF(M189&gt;=30,"Long-term investment","Low priority / avoid"))))</f>
        <v/>
      </c>
      <c r="O189" s="20"/>
      <c r="P189" s="20"/>
    </row>
    <row r="190" customFormat="false" ht="15" hidden="false" customHeight="false" outlineLevel="0" collapsed="false">
      <c r="A190" s="20"/>
      <c r="B190" s="20"/>
      <c r="C190" s="20"/>
      <c r="D190" s="20"/>
      <c r="E190" s="20"/>
      <c r="F190" s="24"/>
      <c r="G190" s="20"/>
      <c r="H190" s="20"/>
      <c r="I190" s="20"/>
      <c r="J190" s="20"/>
      <c r="K190" s="20"/>
      <c r="L190" s="20"/>
      <c r="M190" s="25" t="str">
        <f aca="false">IF(COUNT(H190:L190)=5,H190*I190*J190*K190/L190,"")</f>
        <v/>
      </c>
      <c r="N190" s="26" t="str">
        <f aca="false">IF(M190="","",IF(AND(M190&gt;=100,L190&lt;=2),"Quick win",IF(M190&gt;=100,"Strategic priority",IF(M190&gt;=30,"Long-term investment","Low priority / avoid"))))</f>
        <v/>
      </c>
      <c r="O190" s="20"/>
      <c r="P190" s="20"/>
    </row>
    <row r="191" customFormat="false" ht="15" hidden="false" customHeight="false" outlineLevel="0" collapsed="false">
      <c r="A191" s="20"/>
      <c r="B191" s="20"/>
      <c r="C191" s="20"/>
      <c r="D191" s="20"/>
      <c r="E191" s="20"/>
      <c r="F191" s="24"/>
      <c r="G191" s="20"/>
      <c r="H191" s="20"/>
      <c r="I191" s="20"/>
      <c r="J191" s="20"/>
      <c r="K191" s="20"/>
      <c r="L191" s="20"/>
      <c r="M191" s="25" t="str">
        <f aca="false">IF(COUNT(H191:L191)=5,H191*I191*J191*K191/L191,"")</f>
        <v/>
      </c>
      <c r="N191" s="26" t="str">
        <f aca="false">IF(M191="","",IF(AND(M191&gt;=100,L191&lt;=2),"Quick win",IF(M191&gt;=100,"Strategic priority",IF(M191&gt;=30,"Long-term investment","Low priority / avoid"))))</f>
        <v/>
      </c>
      <c r="O191" s="20"/>
      <c r="P191" s="20"/>
    </row>
    <row r="192" customFormat="false" ht="15" hidden="false" customHeight="false" outlineLevel="0" collapsed="false">
      <c r="A192" s="20"/>
      <c r="B192" s="20"/>
      <c r="C192" s="20"/>
      <c r="D192" s="20"/>
      <c r="E192" s="20"/>
      <c r="F192" s="24"/>
      <c r="G192" s="20"/>
      <c r="H192" s="20"/>
      <c r="I192" s="20"/>
      <c r="J192" s="20"/>
      <c r="K192" s="20"/>
      <c r="L192" s="20"/>
      <c r="M192" s="25" t="str">
        <f aca="false">IF(COUNT(H192:L192)=5,H192*I192*J192*K192/L192,"")</f>
        <v/>
      </c>
      <c r="N192" s="26" t="str">
        <f aca="false">IF(M192="","",IF(AND(M192&gt;=100,L192&lt;=2),"Quick win",IF(M192&gt;=100,"Strategic priority",IF(M192&gt;=30,"Long-term investment","Low priority / avoid"))))</f>
        <v/>
      </c>
      <c r="O192" s="20"/>
      <c r="P192" s="20"/>
    </row>
    <row r="193" customFormat="false" ht="15" hidden="false" customHeight="false" outlineLevel="0" collapsed="false">
      <c r="A193" s="20"/>
      <c r="B193" s="20"/>
      <c r="C193" s="20"/>
      <c r="D193" s="20"/>
      <c r="E193" s="20"/>
      <c r="F193" s="24"/>
      <c r="G193" s="20"/>
      <c r="H193" s="20"/>
      <c r="I193" s="20"/>
      <c r="J193" s="20"/>
      <c r="K193" s="20"/>
      <c r="L193" s="20"/>
      <c r="M193" s="25" t="str">
        <f aca="false">IF(COUNT(H193:L193)=5,H193*I193*J193*K193/L193,"")</f>
        <v/>
      </c>
      <c r="N193" s="26" t="str">
        <f aca="false">IF(M193="","",IF(AND(M193&gt;=100,L193&lt;=2),"Quick win",IF(M193&gt;=100,"Strategic priority",IF(M193&gt;=30,"Long-term investment","Low priority / avoid"))))</f>
        <v/>
      </c>
      <c r="O193" s="20"/>
      <c r="P193" s="20"/>
    </row>
    <row r="194" customFormat="false" ht="15" hidden="false" customHeight="false" outlineLevel="0" collapsed="false">
      <c r="A194" s="20"/>
      <c r="B194" s="20"/>
      <c r="C194" s="20"/>
      <c r="D194" s="20"/>
      <c r="E194" s="20"/>
      <c r="F194" s="24"/>
      <c r="G194" s="20"/>
      <c r="H194" s="20"/>
      <c r="I194" s="20"/>
      <c r="J194" s="20"/>
      <c r="K194" s="20"/>
      <c r="L194" s="20"/>
      <c r="M194" s="25" t="str">
        <f aca="false">IF(COUNT(H194:L194)=5,H194*I194*J194*K194/L194,"")</f>
        <v/>
      </c>
      <c r="N194" s="26" t="str">
        <f aca="false">IF(M194="","",IF(AND(M194&gt;=100,L194&lt;=2),"Quick win",IF(M194&gt;=100,"Strategic priority",IF(M194&gt;=30,"Long-term investment","Low priority / avoid"))))</f>
        <v/>
      </c>
      <c r="O194" s="20"/>
      <c r="P194" s="20"/>
    </row>
    <row r="195" customFormat="false" ht="15" hidden="false" customHeight="false" outlineLevel="0" collapsed="false">
      <c r="A195" s="20"/>
      <c r="B195" s="20"/>
      <c r="C195" s="20"/>
      <c r="D195" s="20"/>
      <c r="E195" s="20"/>
      <c r="F195" s="24"/>
      <c r="G195" s="20"/>
      <c r="H195" s="20"/>
      <c r="I195" s="20"/>
      <c r="J195" s="20"/>
      <c r="K195" s="20"/>
      <c r="L195" s="20"/>
      <c r="M195" s="25" t="str">
        <f aca="false">IF(COUNT(H195:L195)=5,H195*I195*J195*K195/L195,"")</f>
        <v/>
      </c>
      <c r="N195" s="26" t="str">
        <f aca="false">IF(M195="","",IF(AND(M195&gt;=100,L195&lt;=2),"Quick win",IF(M195&gt;=100,"Strategic priority",IF(M195&gt;=30,"Long-term investment","Low priority / avoid"))))</f>
        <v/>
      </c>
      <c r="O195" s="20"/>
      <c r="P195" s="20"/>
    </row>
    <row r="196" customFormat="false" ht="15" hidden="false" customHeight="false" outlineLevel="0" collapsed="false">
      <c r="A196" s="20"/>
      <c r="B196" s="20"/>
      <c r="C196" s="20"/>
      <c r="D196" s="20"/>
      <c r="E196" s="20"/>
      <c r="F196" s="24"/>
      <c r="G196" s="20"/>
      <c r="H196" s="20"/>
      <c r="I196" s="20"/>
      <c r="J196" s="20"/>
      <c r="K196" s="20"/>
      <c r="L196" s="20"/>
      <c r="M196" s="25" t="str">
        <f aca="false">IF(COUNT(H196:L196)=5,H196*I196*J196*K196/L196,"")</f>
        <v/>
      </c>
      <c r="N196" s="26" t="str">
        <f aca="false">IF(M196="","",IF(AND(M196&gt;=100,L196&lt;=2),"Quick win",IF(M196&gt;=100,"Strategic priority",IF(M196&gt;=30,"Long-term investment","Low priority / avoid"))))</f>
        <v/>
      </c>
      <c r="O196" s="20"/>
      <c r="P196" s="20"/>
    </row>
    <row r="197" customFormat="false" ht="15" hidden="false" customHeight="false" outlineLevel="0" collapsed="false">
      <c r="A197" s="20"/>
      <c r="B197" s="20"/>
      <c r="C197" s="20"/>
      <c r="D197" s="20"/>
      <c r="E197" s="20"/>
      <c r="F197" s="24"/>
      <c r="G197" s="20"/>
      <c r="H197" s="20"/>
      <c r="I197" s="20"/>
      <c r="J197" s="20"/>
      <c r="K197" s="20"/>
      <c r="L197" s="20"/>
      <c r="M197" s="25" t="str">
        <f aca="false">IF(COUNT(H197:L197)=5,H197*I197*J197*K197/L197,"")</f>
        <v/>
      </c>
      <c r="N197" s="26" t="str">
        <f aca="false">IF(M197="","",IF(AND(M197&gt;=100,L197&lt;=2),"Quick win",IF(M197&gt;=100,"Strategic priority",IF(M197&gt;=30,"Long-term investment","Low priority / avoid"))))</f>
        <v/>
      </c>
      <c r="O197" s="20"/>
      <c r="P197" s="20"/>
    </row>
    <row r="198" customFormat="false" ht="15" hidden="false" customHeight="false" outlineLevel="0" collapsed="false">
      <c r="A198" s="20"/>
      <c r="B198" s="20"/>
      <c r="C198" s="20"/>
      <c r="D198" s="20"/>
      <c r="E198" s="20"/>
      <c r="F198" s="24"/>
      <c r="G198" s="20"/>
      <c r="H198" s="20"/>
      <c r="I198" s="20"/>
      <c r="J198" s="20"/>
      <c r="K198" s="20"/>
      <c r="L198" s="20"/>
      <c r="M198" s="25" t="str">
        <f aca="false">IF(COUNT(H198:L198)=5,H198*I198*J198*K198/L198,"")</f>
        <v/>
      </c>
      <c r="N198" s="26" t="str">
        <f aca="false">IF(M198="","",IF(AND(M198&gt;=100,L198&lt;=2),"Quick win",IF(M198&gt;=100,"Strategic priority",IF(M198&gt;=30,"Long-term investment","Low priority / avoid"))))</f>
        <v/>
      </c>
      <c r="O198" s="20"/>
      <c r="P198" s="20"/>
    </row>
    <row r="199" customFormat="false" ht="15" hidden="false" customHeight="false" outlineLevel="0" collapsed="false">
      <c r="A199" s="20"/>
      <c r="B199" s="20"/>
      <c r="C199" s="20"/>
      <c r="D199" s="20"/>
      <c r="E199" s="20"/>
      <c r="F199" s="24"/>
      <c r="G199" s="20"/>
      <c r="H199" s="20"/>
      <c r="I199" s="20"/>
      <c r="J199" s="20"/>
      <c r="K199" s="20"/>
      <c r="L199" s="20"/>
      <c r="M199" s="25" t="str">
        <f aca="false">IF(COUNT(H199:L199)=5,H199*I199*J199*K199/L199,"")</f>
        <v/>
      </c>
      <c r="N199" s="26" t="str">
        <f aca="false">IF(M199="","",IF(AND(M199&gt;=100,L199&lt;=2),"Quick win",IF(M199&gt;=100,"Strategic priority",IF(M199&gt;=30,"Long-term investment","Low priority / avoid"))))</f>
        <v/>
      </c>
      <c r="O199" s="20"/>
      <c r="P199" s="20"/>
    </row>
    <row r="200" customFormat="false" ht="15" hidden="false" customHeight="false" outlineLevel="0" collapsed="false">
      <c r="A200" s="20"/>
      <c r="B200" s="20"/>
      <c r="C200" s="20"/>
      <c r="D200" s="20"/>
      <c r="E200" s="20"/>
      <c r="F200" s="24"/>
      <c r="G200" s="20"/>
      <c r="H200" s="20"/>
      <c r="I200" s="20"/>
      <c r="J200" s="20"/>
      <c r="K200" s="20"/>
      <c r="L200" s="20"/>
      <c r="M200" s="25" t="str">
        <f aca="false">IF(COUNT(H200:L200)=5,H200*I200*J200*K200/L200,"")</f>
        <v/>
      </c>
      <c r="N200" s="26" t="str">
        <f aca="false">IF(M200="","",IF(AND(M200&gt;=100,L200&lt;=2),"Quick win",IF(M200&gt;=100,"Strategic priority",IF(M200&gt;=30,"Long-term investment","Low priority / avoid"))))</f>
        <v/>
      </c>
      <c r="O200" s="20"/>
      <c r="P200" s="20"/>
    </row>
    <row r="201" customFormat="false" ht="15" hidden="false" customHeight="false" outlineLevel="0" collapsed="false">
      <c r="A201" s="20"/>
      <c r="B201" s="20"/>
      <c r="C201" s="20"/>
      <c r="D201" s="20"/>
      <c r="E201" s="20"/>
      <c r="F201" s="24"/>
      <c r="G201" s="20"/>
      <c r="H201" s="20"/>
      <c r="I201" s="20"/>
      <c r="J201" s="20"/>
      <c r="K201" s="20"/>
      <c r="L201" s="20"/>
      <c r="M201" s="25" t="str">
        <f aca="false">IF(COUNT(H201:L201)=5,H201*I201*J201*K201/L201,"")</f>
        <v/>
      </c>
      <c r="N201" s="26" t="str">
        <f aca="false">IF(M201="","",IF(AND(M201&gt;=100,L201&lt;=2),"Quick win",IF(M201&gt;=100,"Strategic priority",IF(M201&gt;=30,"Long-term investment","Low priority / avoid"))))</f>
        <v/>
      </c>
      <c r="O201" s="20"/>
      <c r="P201" s="20"/>
    </row>
    <row r="202" customFormat="false" ht="15" hidden="false" customHeight="false" outlineLevel="0" collapsed="false">
      <c r="A202" s="20"/>
      <c r="B202" s="20"/>
      <c r="C202" s="20"/>
      <c r="D202" s="20"/>
      <c r="E202" s="20"/>
      <c r="F202" s="24"/>
      <c r="G202" s="20"/>
      <c r="H202" s="20"/>
      <c r="I202" s="20"/>
      <c r="J202" s="20"/>
      <c r="K202" s="20"/>
      <c r="L202" s="20"/>
      <c r="M202" s="25" t="str">
        <f aca="false">IF(COUNT(H202:L202)=5,H202*I202*J202*K202/L202,"")</f>
        <v/>
      </c>
      <c r="N202" s="26" t="str">
        <f aca="false">IF(M202="","",IF(AND(M202&gt;=100,L202&lt;=2),"Quick win",IF(M202&gt;=100,"Strategic priority",IF(M202&gt;=30,"Long-term investment","Low priority / avoid"))))</f>
        <v/>
      </c>
      <c r="O202" s="20"/>
      <c r="P202" s="20"/>
    </row>
    <row r="203" customFormat="false" ht="15" hidden="false" customHeight="false" outlineLevel="0" collapsed="false">
      <c r="A203" s="20"/>
      <c r="B203" s="20"/>
      <c r="C203" s="20"/>
      <c r="D203" s="20"/>
      <c r="E203" s="20"/>
      <c r="F203" s="24"/>
      <c r="G203" s="20"/>
      <c r="H203" s="20"/>
      <c r="I203" s="20"/>
      <c r="J203" s="20"/>
      <c r="K203" s="20"/>
      <c r="L203" s="20"/>
      <c r="M203" s="25" t="str">
        <f aca="false">IF(COUNT(H203:L203)=5,H203*I203*J203*K203/L203,"")</f>
        <v/>
      </c>
      <c r="N203" s="26" t="str">
        <f aca="false">IF(M203="","",IF(AND(M203&gt;=100,L203&lt;=2),"Quick win",IF(M203&gt;=100,"Strategic priority",IF(M203&gt;=30,"Long-term investment","Low priority / avoid"))))</f>
        <v/>
      </c>
      <c r="O203" s="20"/>
      <c r="P203" s="20"/>
    </row>
    <row r="204" customFormat="false" ht="15" hidden="false" customHeight="false" outlineLevel="0" collapsed="false">
      <c r="A204" s="20"/>
      <c r="B204" s="20"/>
      <c r="C204" s="20"/>
      <c r="D204" s="20"/>
      <c r="E204" s="20"/>
      <c r="F204" s="24"/>
      <c r="G204" s="20"/>
      <c r="H204" s="20"/>
      <c r="I204" s="20"/>
      <c r="J204" s="20"/>
      <c r="K204" s="20"/>
      <c r="L204" s="20"/>
      <c r="M204" s="25" t="str">
        <f aca="false">IF(COUNT(H204:L204)=5,H204*I204*J204*K204/L204,"")</f>
        <v/>
      </c>
      <c r="N204" s="26" t="str">
        <f aca="false">IF(M204="","",IF(AND(M204&gt;=100,L204&lt;=2),"Quick win",IF(M204&gt;=100,"Strategic priority",IF(M204&gt;=30,"Long-term investment","Low priority / avoid"))))</f>
        <v/>
      </c>
      <c r="O204" s="20"/>
      <c r="P204" s="20"/>
    </row>
    <row r="205" customFormat="false" ht="15" hidden="false" customHeight="false" outlineLevel="0" collapsed="false">
      <c r="A205" s="20"/>
      <c r="B205" s="20"/>
      <c r="C205" s="20"/>
      <c r="D205" s="20"/>
      <c r="E205" s="20"/>
      <c r="F205" s="24"/>
      <c r="G205" s="20"/>
      <c r="H205" s="20"/>
      <c r="I205" s="20"/>
      <c r="J205" s="20"/>
      <c r="K205" s="20"/>
      <c r="L205" s="20"/>
      <c r="M205" s="25" t="str">
        <f aca="false">IF(COUNT(H205:L205)=5,H205*I205*J205*K205/L205,"")</f>
        <v/>
      </c>
      <c r="N205" s="26" t="str">
        <f aca="false">IF(M205="","",IF(AND(M205&gt;=100,L205&lt;=2),"Quick win",IF(M205&gt;=100,"Strategic priority",IF(M205&gt;=30,"Long-term investment","Low priority / avoid"))))</f>
        <v/>
      </c>
      <c r="O205" s="20"/>
      <c r="P205" s="20"/>
    </row>
    <row r="206" customFormat="false" ht="15" hidden="false" customHeight="false" outlineLevel="0" collapsed="false">
      <c r="A206" s="20"/>
      <c r="B206" s="20"/>
      <c r="C206" s="20"/>
      <c r="D206" s="20"/>
      <c r="E206" s="20"/>
      <c r="F206" s="24"/>
      <c r="G206" s="20"/>
      <c r="H206" s="20"/>
      <c r="I206" s="20"/>
      <c r="J206" s="20"/>
      <c r="K206" s="20"/>
      <c r="L206" s="20"/>
      <c r="M206" s="25" t="str">
        <f aca="false">IF(COUNT(H206:L206)=5,H206*I206*J206*K206/L206,"")</f>
        <v/>
      </c>
      <c r="N206" s="26" t="str">
        <f aca="false">IF(M206="","",IF(AND(M206&gt;=100,L206&lt;=2),"Quick win",IF(M206&gt;=100,"Strategic priority",IF(M206&gt;=30,"Long-term investment","Low priority / avoid"))))</f>
        <v/>
      </c>
      <c r="O206" s="20"/>
      <c r="P206" s="20"/>
    </row>
    <row r="207" customFormat="false" ht="15" hidden="false" customHeight="false" outlineLevel="0" collapsed="false">
      <c r="A207" s="20"/>
      <c r="B207" s="20"/>
      <c r="C207" s="20"/>
      <c r="D207" s="20"/>
      <c r="E207" s="20"/>
      <c r="F207" s="24"/>
      <c r="G207" s="20"/>
      <c r="H207" s="20"/>
      <c r="I207" s="20"/>
      <c r="J207" s="20"/>
      <c r="K207" s="20"/>
      <c r="L207" s="20"/>
      <c r="M207" s="25" t="str">
        <f aca="false">IF(COUNT(H207:L207)=5,H207*I207*J207*K207/L207,"")</f>
        <v/>
      </c>
      <c r="N207" s="26" t="str">
        <f aca="false">IF(M207="","",IF(AND(M207&gt;=100,L207&lt;=2),"Quick win",IF(M207&gt;=100,"Strategic priority",IF(M207&gt;=30,"Long-term investment","Low priority / avoid"))))</f>
        <v/>
      </c>
      <c r="O207" s="20"/>
      <c r="P207" s="20"/>
    </row>
    <row r="208" customFormat="false" ht="15" hidden="false" customHeight="false" outlineLevel="0" collapsed="false">
      <c r="A208" s="20"/>
      <c r="B208" s="20"/>
      <c r="C208" s="20"/>
      <c r="D208" s="20"/>
      <c r="E208" s="20"/>
      <c r="F208" s="24"/>
      <c r="G208" s="20"/>
      <c r="H208" s="20"/>
      <c r="I208" s="20"/>
      <c r="J208" s="20"/>
      <c r="K208" s="20"/>
      <c r="L208" s="20"/>
      <c r="M208" s="25" t="str">
        <f aca="false">IF(COUNT(H208:L208)=5,H208*I208*J208*K208/L208,"")</f>
        <v/>
      </c>
      <c r="N208" s="26" t="str">
        <f aca="false">IF(M208="","",IF(AND(M208&gt;=100,L208&lt;=2),"Quick win",IF(M208&gt;=100,"Strategic priority",IF(M208&gt;=30,"Long-term investment","Low priority / avoid"))))</f>
        <v/>
      </c>
      <c r="O208" s="20"/>
      <c r="P208" s="20"/>
    </row>
    <row r="209" customFormat="false" ht="15" hidden="false" customHeight="false" outlineLevel="0" collapsed="false">
      <c r="A209" s="20"/>
      <c r="B209" s="20"/>
      <c r="C209" s="20"/>
      <c r="D209" s="20"/>
      <c r="E209" s="20"/>
      <c r="F209" s="24"/>
      <c r="G209" s="20"/>
      <c r="H209" s="20"/>
      <c r="I209" s="20"/>
      <c r="J209" s="20"/>
      <c r="K209" s="20"/>
      <c r="L209" s="20"/>
      <c r="M209" s="25" t="str">
        <f aca="false">IF(COUNT(H209:L209)=5,H209*I209*J209*K209/L209,"")</f>
        <v/>
      </c>
      <c r="N209" s="26" t="str">
        <f aca="false">IF(M209="","",IF(AND(M209&gt;=100,L209&lt;=2),"Quick win",IF(M209&gt;=100,"Strategic priority",IF(M209&gt;=30,"Long-term investment","Low priority / avoid"))))</f>
        <v/>
      </c>
      <c r="O209" s="20"/>
      <c r="P209" s="20"/>
    </row>
    <row r="210" customFormat="false" ht="15" hidden="false" customHeight="false" outlineLevel="0" collapsed="false">
      <c r="A210" s="20"/>
      <c r="B210" s="20"/>
      <c r="C210" s="20"/>
      <c r="D210" s="20"/>
      <c r="E210" s="20"/>
      <c r="F210" s="24"/>
      <c r="G210" s="20"/>
      <c r="H210" s="20"/>
      <c r="I210" s="20"/>
      <c r="J210" s="20"/>
      <c r="K210" s="20"/>
      <c r="L210" s="20"/>
      <c r="M210" s="25" t="str">
        <f aca="false">IF(COUNT(H210:L210)=5,H210*I210*J210*K210/L210,"")</f>
        <v/>
      </c>
      <c r="N210" s="26" t="str">
        <f aca="false">IF(M210="","",IF(AND(M210&gt;=100,L210&lt;=2),"Quick win",IF(M210&gt;=100,"Strategic priority",IF(M210&gt;=30,"Long-term investment","Low priority / avoid"))))</f>
        <v/>
      </c>
      <c r="O210" s="20"/>
      <c r="P210" s="20"/>
    </row>
    <row r="211" customFormat="false" ht="15" hidden="false" customHeight="false" outlineLevel="0" collapsed="false">
      <c r="A211" s="20"/>
      <c r="B211" s="20"/>
      <c r="C211" s="20"/>
      <c r="D211" s="20"/>
      <c r="E211" s="20"/>
      <c r="F211" s="24"/>
      <c r="G211" s="20"/>
      <c r="H211" s="20"/>
      <c r="I211" s="20"/>
      <c r="J211" s="20"/>
      <c r="K211" s="20"/>
      <c r="L211" s="20"/>
      <c r="M211" s="25" t="str">
        <f aca="false">IF(COUNT(H211:L211)=5,H211*I211*J211*K211/L211,"")</f>
        <v/>
      </c>
      <c r="N211" s="26" t="str">
        <f aca="false">IF(M211="","",IF(AND(M211&gt;=100,L211&lt;=2),"Quick win",IF(M211&gt;=100,"Strategic priority",IF(M211&gt;=30,"Long-term investment","Low priority / avoid"))))</f>
        <v/>
      </c>
      <c r="O211" s="20"/>
      <c r="P211" s="20"/>
    </row>
    <row r="212" customFormat="false" ht="15" hidden="false" customHeight="false" outlineLevel="0" collapsed="false">
      <c r="A212" s="20"/>
      <c r="B212" s="20"/>
      <c r="C212" s="20"/>
      <c r="D212" s="20"/>
      <c r="E212" s="20"/>
      <c r="F212" s="24"/>
      <c r="G212" s="20"/>
      <c r="H212" s="20"/>
      <c r="I212" s="20"/>
      <c r="J212" s="20"/>
      <c r="K212" s="20"/>
      <c r="L212" s="20"/>
      <c r="M212" s="25" t="str">
        <f aca="false">IF(COUNT(H212:L212)=5,H212*I212*J212*K212/L212,"")</f>
        <v/>
      </c>
      <c r="N212" s="26" t="str">
        <f aca="false">IF(M212="","",IF(AND(M212&gt;=100,L212&lt;=2),"Quick win",IF(M212&gt;=100,"Strategic priority",IF(M212&gt;=30,"Long-term investment","Low priority / avoid"))))</f>
        <v/>
      </c>
      <c r="O212" s="20"/>
      <c r="P212" s="20"/>
    </row>
    <row r="213" customFormat="false" ht="15" hidden="false" customHeight="false" outlineLevel="0" collapsed="false">
      <c r="A213" s="20"/>
      <c r="B213" s="20"/>
      <c r="C213" s="20"/>
      <c r="D213" s="20"/>
      <c r="E213" s="20"/>
      <c r="F213" s="24"/>
      <c r="G213" s="20"/>
      <c r="H213" s="20"/>
      <c r="I213" s="20"/>
      <c r="J213" s="20"/>
      <c r="K213" s="20"/>
      <c r="L213" s="20"/>
      <c r="M213" s="25" t="str">
        <f aca="false">IF(COUNT(H213:L213)=5,H213*I213*J213*K213/L213,"")</f>
        <v/>
      </c>
      <c r="N213" s="26" t="str">
        <f aca="false">IF(M213="","",IF(AND(M213&gt;=100,L213&lt;=2),"Quick win",IF(M213&gt;=100,"Strategic priority",IF(M213&gt;=30,"Long-term investment","Low priority / avoid"))))</f>
        <v/>
      </c>
      <c r="O213" s="20"/>
      <c r="P213" s="20"/>
    </row>
    <row r="214" customFormat="false" ht="15" hidden="false" customHeight="false" outlineLevel="0" collapsed="false">
      <c r="A214" s="20"/>
      <c r="B214" s="20"/>
      <c r="C214" s="20"/>
      <c r="D214" s="20"/>
      <c r="E214" s="20"/>
      <c r="F214" s="24"/>
      <c r="G214" s="20"/>
      <c r="H214" s="20"/>
      <c r="I214" s="20"/>
      <c r="J214" s="20"/>
      <c r="K214" s="20"/>
      <c r="L214" s="20"/>
      <c r="M214" s="25" t="str">
        <f aca="false">IF(COUNT(H214:L214)=5,H214*I214*J214*K214/L214,"")</f>
        <v/>
      </c>
      <c r="N214" s="26" t="str">
        <f aca="false">IF(M214="","",IF(AND(M214&gt;=100,L214&lt;=2),"Quick win",IF(M214&gt;=100,"Strategic priority",IF(M214&gt;=30,"Long-term investment","Low priority / avoid"))))</f>
        <v/>
      </c>
      <c r="O214" s="20"/>
      <c r="P214" s="20"/>
    </row>
    <row r="215" customFormat="false" ht="15" hidden="false" customHeight="false" outlineLevel="0" collapsed="false">
      <c r="A215" s="20"/>
      <c r="B215" s="20"/>
      <c r="C215" s="20"/>
      <c r="D215" s="20"/>
      <c r="E215" s="20"/>
      <c r="F215" s="24"/>
      <c r="G215" s="20"/>
      <c r="H215" s="20"/>
      <c r="I215" s="20"/>
      <c r="J215" s="20"/>
      <c r="K215" s="20"/>
      <c r="L215" s="20"/>
      <c r="M215" s="25" t="str">
        <f aca="false">IF(COUNT(H215:L215)=5,H215*I215*J215*K215/L215,"")</f>
        <v/>
      </c>
      <c r="N215" s="26" t="str">
        <f aca="false">IF(M215="","",IF(AND(M215&gt;=100,L215&lt;=2),"Quick win",IF(M215&gt;=100,"Strategic priority",IF(M215&gt;=30,"Long-term investment","Low priority / avoid"))))</f>
        <v/>
      </c>
      <c r="O215" s="20"/>
      <c r="P215" s="20"/>
    </row>
    <row r="216" customFormat="false" ht="15" hidden="false" customHeight="false" outlineLevel="0" collapsed="false">
      <c r="A216" s="20"/>
      <c r="B216" s="20"/>
      <c r="C216" s="20"/>
      <c r="D216" s="20"/>
      <c r="E216" s="20"/>
      <c r="F216" s="24"/>
      <c r="G216" s="20"/>
      <c r="H216" s="20"/>
      <c r="I216" s="20"/>
      <c r="J216" s="20"/>
      <c r="K216" s="20"/>
      <c r="L216" s="20"/>
      <c r="M216" s="25" t="str">
        <f aca="false">IF(COUNT(H216:L216)=5,H216*I216*J216*K216/L216,"")</f>
        <v/>
      </c>
      <c r="N216" s="26" t="str">
        <f aca="false">IF(M216="","",IF(AND(M216&gt;=100,L216&lt;=2),"Quick win",IF(M216&gt;=100,"Strategic priority",IF(M216&gt;=30,"Long-term investment","Low priority / avoid"))))</f>
        <v/>
      </c>
      <c r="O216" s="20"/>
      <c r="P216" s="20"/>
    </row>
    <row r="217" customFormat="false" ht="15" hidden="false" customHeight="false" outlineLevel="0" collapsed="false">
      <c r="A217" s="20"/>
      <c r="B217" s="20"/>
      <c r="C217" s="20"/>
      <c r="D217" s="20"/>
      <c r="E217" s="20"/>
      <c r="F217" s="24"/>
      <c r="G217" s="20"/>
      <c r="H217" s="20"/>
      <c r="I217" s="20"/>
      <c r="J217" s="20"/>
      <c r="K217" s="20"/>
      <c r="L217" s="20"/>
      <c r="M217" s="25" t="str">
        <f aca="false">IF(COUNT(H217:L217)=5,H217*I217*J217*K217/L217,"")</f>
        <v/>
      </c>
      <c r="N217" s="26" t="str">
        <f aca="false">IF(M217="","",IF(AND(M217&gt;=100,L217&lt;=2),"Quick win",IF(M217&gt;=100,"Strategic priority",IF(M217&gt;=30,"Long-term investment","Low priority / avoid"))))</f>
        <v/>
      </c>
      <c r="O217" s="20"/>
      <c r="P217" s="20"/>
    </row>
    <row r="218" customFormat="false" ht="15" hidden="false" customHeight="false" outlineLevel="0" collapsed="false">
      <c r="A218" s="20"/>
      <c r="B218" s="20"/>
      <c r="C218" s="20"/>
      <c r="D218" s="20"/>
      <c r="E218" s="20"/>
      <c r="F218" s="24"/>
      <c r="G218" s="20"/>
      <c r="H218" s="20"/>
      <c r="I218" s="20"/>
      <c r="J218" s="20"/>
      <c r="K218" s="20"/>
      <c r="L218" s="20"/>
      <c r="M218" s="25" t="str">
        <f aca="false">IF(COUNT(H218:L218)=5,H218*I218*J218*K218/L218,"")</f>
        <v/>
      </c>
      <c r="N218" s="26" t="str">
        <f aca="false">IF(M218="","",IF(AND(M218&gt;=100,L218&lt;=2),"Quick win",IF(M218&gt;=100,"Strategic priority",IF(M218&gt;=30,"Long-term investment","Low priority / avoid"))))</f>
        <v/>
      </c>
      <c r="O218" s="20"/>
      <c r="P218" s="20"/>
    </row>
    <row r="219" customFormat="false" ht="15" hidden="false" customHeight="false" outlineLevel="0" collapsed="false">
      <c r="A219" s="20"/>
      <c r="B219" s="20"/>
      <c r="C219" s="20"/>
      <c r="D219" s="20"/>
      <c r="E219" s="20"/>
      <c r="F219" s="24"/>
      <c r="G219" s="20"/>
      <c r="H219" s="20"/>
      <c r="I219" s="20"/>
      <c r="J219" s="20"/>
      <c r="K219" s="20"/>
      <c r="L219" s="20"/>
      <c r="M219" s="25" t="str">
        <f aca="false">IF(COUNT(H219:L219)=5,H219*I219*J219*K219/L219,"")</f>
        <v/>
      </c>
      <c r="N219" s="26" t="str">
        <f aca="false">IF(M219="","",IF(AND(M219&gt;=100,L219&lt;=2),"Quick win",IF(M219&gt;=100,"Strategic priority",IF(M219&gt;=30,"Long-term investment","Low priority / avoid"))))</f>
        <v/>
      </c>
      <c r="O219" s="20"/>
      <c r="P219" s="20"/>
    </row>
    <row r="220" customFormat="false" ht="15" hidden="false" customHeight="false" outlineLevel="0" collapsed="false">
      <c r="A220" s="20"/>
      <c r="B220" s="20"/>
      <c r="C220" s="20"/>
      <c r="D220" s="20"/>
      <c r="E220" s="20"/>
      <c r="F220" s="24"/>
      <c r="G220" s="20"/>
      <c r="H220" s="20"/>
      <c r="I220" s="20"/>
      <c r="J220" s="20"/>
      <c r="K220" s="20"/>
      <c r="L220" s="20"/>
      <c r="M220" s="25" t="str">
        <f aca="false">IF(COUNT(H220:L220)=5,H220*I220*J220*K220/L220,"")</f>
        <v/>
      </c>
      <c r="N220" s="26" t="str">
        <f aca="false">IF(M220="","",IF(AND(M220&gt;=100,L220&lt;=2),"Quick win",IF(M220&gt;=100,"Strategic priority",IF(M220&gt;=30,"Long-term investment","Low priority / avoid"))))</f>
        <v/>
      </c>
      <c r="O220" s="20"/>
      <c r="P220" s="20"/>
    </row>
    <row r="221" customFormat="false" ht="15" hidden="false" customHeight="false" outlineLevel="0" collapsed="false">
      <c r="A221" s="20"/>
      <c r="B221" s="20"/>
      <c r="C221" s="20"/>
      <c r="D221" s="20"/>
      <c r="E221" s="20"/>
      <c r="F221" s="24"/>
      <c r="G221" s="20"/>
      <c r="H221" s="20"/>
      <c r="I221" s="20"/>
      <c r="J221" s="20"/>
      <c r="K221" s="20"/>
      <c r="L221" s="20"/>
      <c r="M221" s="25" t="str">
        <f aca="false">IF(COUNT(H221:L221)=5,H221*I221*J221*K221/L221,"")</f>
        <v/>
      </c>
      <c r="N221" s="26" t="str">
        <f aca="false">IF(M221="","",IF(AND(M221&gt;=100,L221&lt;=2),"Quick win",IF(M221&gt;=100,"Strategic priority",IF(M221&gt;=30,"Long-term investment","Low priority / avoid"))))</f>
        <v/>
      </c>
      <c r="O221" s="20"/>
      <c r="P221" s="20"/>
    </row>
    <row r="222" customFormat="false" ht="15" hidden="false" customHeight="false" outlineLevel="0" collapsed="false">
      <c r="A222" s="20"/>
      <c r="B222" s="20"/>
      <c r="C222" s="20"/>
      <c r="D222" s="20"/>
      <c r="E222" s="20"/>
      <c r="F222" s="24"/>
      <c r="G222" s="20"/>
      <c r="H222" s="20"/>
      <c r="I222" s="20"/>
      <c r="J222" s="20"/>
      <c r="K222" s="20"/>
      <c r="L222" s="20"/>
      <c r="M222" s="25" t="str">
        <f aca="false">IF(COUNT(H222:L222)=5,H222*I222*J222*K222/L222,"")</f>
        <v/>
      </c>
      <c r="N222" s="26" t="str">
        <f aca="false">IF(M222="","",IF(AND(M222&gt;=100,L222&lt;=2),"Quick win",IF(M222&gt;=100,"Strategic priority",IF(M222&gt;=30,"Long-term investment","Low priority / avoid"))))</f>
        <v/>
      </c>
      <c r="O222" s="20"/>
      <c r="P222" s="20"/>
    </row>
    <row r="223" customFormat="false" ht="15" hidden="false" customHeight="false" outlineLevel="0" collapsed="false">
      <c r="A223" s="20"/>
      <c r="B223" s="20"/>
      <c r="C223" s="20"/>
      <c r="D223" s="20"/>
      <c r="E223" s="20"/>
      <c r="F223" s="24"/>
      <c r="G223" s="20"/>
      <c r="H223" s="20"/>
      <c r="I223" s="20"/>
      <c r="J223" s="20"/>
      <c r="K223" s="20"/>
      <c r="L223" s="20"/>
      <c r="M223" s="25" t="str">
        <f aca="false">IF(COUNT(H223:L223)=5,H223*I223*J223*K223/L223,"")</f>
        <v/>
      </c>
      <c r="N223" s="26" t="str">
        <f aca="false">IF(M223="","",IF(AND(M223&gt;=100,L223&lt;=2),"Quick win",IF(M223&gt;=100,"Strategic priority",IF(M223&gt;=30,"Long-term investment","Low priority / avoid"))))</f>
        <v/>
      </c>
      <c r="O223" s="20"/>
      <c r="P223" s="20"/>
    </row>
    <row r="224" customFormat="false" ht="15" hidden="false" customHeight="false" outlineLevel="0" collapsed="false">
      <c r="A224" s="20"/>
      <c r="B224" s="20"/>
      <c r="C224" s="20"/>
      <c r="D224" s="20"/>
      <c r="E224" s="20"/>
      <c r="F224" s="24"/>
      <c r="G224" s="20"/>
      <c r="H224" s="20"/>
      <c r="I224" s="20"/>
      <c r="J224" s="20"/>
      <c r="K224" s="20"/>
      <c r="L224" s="20"/>
      <c r="M224" s="25" t="str">
        <f aca="false">IF(COUNT(H224:L224)=5,H224*I224*J224*K224/L224,"")</f>
        <v/>
      </c>
      <c r="N224" s="26" t="str">
        <f aca="false">IF(M224="","",IF(AND(M224&gt;=100,L224&lt;=2),"Quick win",IF(M224&gt;=100,"Strategic priority",IF(M224&gt;=30,"Long-term investment","Low priority / avoid"))))</f>
        <v/>
      </c>
      <c r="O224" s="20"/>
      <c r="P224" s="20"/>
    </row>
    <row r="225" customFormat="false" ht="15" hidden="false" customHeight="false" outlineLevel="0" collapsed="false">
      <c r="A225" s="20"/>
      <c r="B225" s="20"/>
      <c r="C225" s="20"/>
      <c r="D225" s="20"/>
      <c r="E225" s="20"/>
      <c r="F225" s="24"/>
      <c r="G225" s="20"/>
      <c r="H225" s="20"/>
      <c r="I225" s="20"/>
      <c r="J225" s="20"/>
      <c r="K225" s="20"/>
      <c r="L225" s="20"/>
      <c r="M225" s="25" t="str">
        <f aca="false">IF(COUNT(H225:L225)=5,H225*I225*J225*K225/L225,"")</f>
        <v/>
      </c>
      <c r="N225" s="26" t="str">
        <f aca="false">IF(M225="","",IF(AND(M225&gt;=100,L225&lt;=2),"Quick win",IF(M225&gt;=100,"Strategic priority",IF(M225&gt;=30,"Long-term investment","Low priority / avoid"))))</f>
        <v/>
      </c>
      <c r="O225" s="20"/>
      <c r="P225" s="20"/>
    </row>
    <row r="226" customFormat="false" ht="15" hidden="false" customHeight="false" outlineLevel="0" collapsed="false">
      <c r="A226" s="20"/>
      <c r="B226" s="20"/>
      <c r="C226" s="20"/>
      <c r="D226" s="20"/>
      <c r="E226" s="20"/>
      <c r="F226" s="24"/>
      <c r="G226" s="20"/>
      <c r="H226" s="20"/>
      <c r="I226" s="20"/>
      <c r="J226" s="20"/>
      <c r="K226" s="20"/>
      <c r="L226" s="20"/>
      <c r="M226" s="25" t="str">
        <f aca="false">IF(COUNT(H226:L226)=5,H226*I226*J226*K226/L226,"")</f>
        <v/>
      </c>
      <c r="N226" s="26" t="str">
        <f aca="false">IF(M226="","",IF(AND(M226&gt;=100,L226&lt;=2),"Quick win",IF(M226&gt;=100,"Strategic priority",IF(M226&gt;=30,"Long-term investment","Low priority / avoid"))))</f>
        <v/>
      </c>
      <c r="O226" s="20"/>
      <c r="P226" s="20"/>
    </row>
    <row r="227" customFormat="false" ht="15" hidden="false" customHeight="false" outlineLevel="0" collapsed="false">
      <c r="A227" s="20"/>
      <c r="B227" s="20"/>
      <c r="C227" s="20"/>
      <c r="D227" s="20"/>
      <c r="E227" s="20"/>
      <c r="F227" s="24"/>
      <c r="G227" s="20"/>
      <c r="H227" s="20"/>
      <c r="I227" s="20"/>
      <c r="J227" s="20"/>
      <c r="K227" s="20"/>
      <c r="L227" s="20"/>
      <c r="M227" s="25" t="str">
        <f aca="false">IF(COUNT(H227:L227)=5,H227*I227*J227*K227/L227,"")</f>
        <v/>
      </c>
      <c r="N227" s="26" t="str">
        <f aca="false">IF(M227="","",IF(AND(M227&gt;=100,L227&lt;=2),"Quick win",IF(M227&gt;=100,"Strategic priority",IF(M227&gt;=30,"Long-term investment","Low priority / avoid"))))</f>
        <v/>
      </c>
      <c r="O227" s="20"/>
      <c r="P227" s="20"/>
    </row>
    <row r="228" customFormat="false" ht="15" hidden="false" customHeight="false" outlineLevel="0" collapsed="false">
      <c r="A228" s="20"/>
      <c r="B228" s="20"/>
      <c r="C228" s="20"/>
      <c r="D228" s="20"/>
      <c r="E228" s="20"/>
      <c r="F228" s="24"/>
      <c r="G228" s="20"/>
      <c r="H228" s="20"/>
      <c r="I228" s="20"/>
      <c r="J228" s="20"/>
      <c r="K228" s="20"/>
      <c r="L228" s="20"/>
      <c r="M228" s="25" t="str">
        <f aca="false">IF(COUNT(H228:L228)=5,H228*I228*J228*K228/L228,"")</f>
        <v/>
      </c>
      <c r="N228" s="26" t="str">
        <f aca="false">IF(M228="","",IF(AND(M228&gt;=100,L228&lt;=2),"Quick win",IF(M228&gt;=100,"Strategic priority",IF(M228&gt;=30,"Long-term investment","Low priority / avoid"))))</f>
        <v/>
      </c>
      <c r="O228" s="20"/>
      <c r="P228" s="20"/>
    </row>
    <row r="229" customFormat="false" ht="15" hidden="false" customHeight="false" outlineLevel="0" collapsed="false">
      <c r="A229" s="20"/>
      <c r="B229" s="20"/>
      <c r="C229" s="20"/>
      <c r="D229" s="20"/>
      <c r="E229" s="20"/>
      <c r="F229" s="24"/>
      <c r="G229" s="20"/>
      <c r="H229" s="20"/>
      <c r="I229" s="20"/>
      <c r="J229" s="20"/>
      <c r="K229" s="20"/>
      <c r="L229" s="20"/>
      <c r="M229" s="25" t="str">
        <f aca="false">IF(COUNT(H229:L229)=5,H229*I229*J229*K229/L229,"")</f>
        <v/>
      </c>
      <c r="N229" s="26" t="str">
        <f aca="false">IF(M229="","",IF(AND(M229&gt;=100,L229&lt;=2),"Quick win",IF(M229&gt;=100,"Strategic priority",IF(M229&gt;=30,"Long-term investment","Low priority / avoid"))))</f>
        <v/>
      </c>
      <c r="O229" s="20"/>
      <c r="P229" s="20"/>
    </row>
    <row r="230" customFormat="false" ht="15" hidden="false" customHeight="false" outlineLevel="0" collapsed="false">
      <c r="A230" s="20"/>
      <c r="B230" s="20"/>
      <c r="C230" s="20"/>
      <c r="D230" s="20"/>
      <c r="E230" s="20"/>
      <c r="F230" s="24"/>
      <c r="G230" s="20"/>
      <c r="H230" s="20"/>
      <c r="I230" s="20"/>
      <c r="J230" s="20"/>
      <c r="K230" s="20"/>
      <c r="L230" s="20"/>
      <c r="M230" s="25" t="str">
        <f aca="false">IF(COUNT(H230:L230)=5,H230*I230*J230*K230/L230,"")</f>
        <v/>
      </c>
      <c r="N230" s="26" t="str">
        <f aca="false">IF(M230="","",IF(AND(M230&gt;=100,L230&lt;=2),"Quick win",IF(M230&gt;=100,"Strategic priority",IF(M230&gt;=30,"Long-term investment","Low priority / avoid"))))</f>
        <v/>
      </c>
      <c r="O230" s="20"/>
      <c r="P230" s="20"/>
    </row>
    <row r="231" customFormat="false" ht="15" hidden="false" customHeight="false" outlineLevel="0" collapsed="false">
      <c r="A231" s="20"/>
      <c r="B231" s="20"/>
      <c r="C231" s="20"/>
      <c r="D231" s="20"/>
      <c r="E231" s="20"/>
      <c r="F231" s="24"/>
      <c r="G231" s="20"/>
      <c r="H231" s="20"/>
      <c r="I231" s="20"/>
      <c r="J231" s="20"/>
      <c r="K231" s="20"/>
      <c r="L231" s="20"/>
      <c r="M231" s="25" t="str">
        <f aca="false">IF(COUNT(H231:L231)=5,H231*I231*J231*K231/L231,"")</f>
        <v/>
      </c>
      <c r="N231" s="26" t="str">
        <f aca="false">IF(M231="","",IF(AND(M231&gt;=100,L231&lt;=2),"Quick win",IF(M231&gt;=100,"Strategic priority",IF(M231&gt;=30,"Long-term investment","Low priority / avoid"))))</f>
        <v/>
      </c>
      <c r="O231" s="20"/>
      <c r="P231" s="20"/>
    </row>
    <row r="232" customFormat="false" ht="15" hidden="false" customHeight="false" outlineLevel="0" collapsed="false">
      <c r="A232" s="20"/>
      <c r="B232" s="20"/>
      <c r="C232" s="20"/>
      <c r="D232" s="20"/>
      <c r="E232" s="20"/>
      <c r="F232" s="24"/>
      <c r="G232" s="20"/>
      <c r="H232" s="20"/>
      <c r="I232" s="20"/>
      <c r="J232" s="20"/>
      <c r="K232" s="20"/>
      <c r="L232" s="20"/>
      <c r="M232" s="25" t="str">
        <f aca="false">IF(COUNT(H232:L232)=5,H232*I232*J232*K232/L232,"")</f>
        <v/>
      </c>
      <c r="N232" s="26" t="str">
        <f aca="false">IF(M232="","",IF(AND(M232&gt;=100,L232&lt;=2),"Quick win",IF(M232&gt;=100,"Strategic priority",IF(M232&gt;=30,"Long-term investment","Low priority / avoid"))))</f>
        <v/>
      </c>
      <c r="O232" s="20"/>
      <c r="P232" s="20"/>
    </row>
    <row r="233" customFormat="false" ht="15" hidden="false" customHeight="false" outlineLevel="0" collapsed="false">
      <c r="A233" s="20"/>
      <c r="B233" s="20"/>
      <c r="C233" s="20"/>
      <c r="D233" s="20"/>
      <c r="E233" s="20"/>
      <c r="F233" s="24"/>
      <c r="G233" s="20"/>
      <c r="H233" s="20"/>
      <c r="I233" s="20"/>
      <c r="J233" s="20"/>
      <c r="K233" s="20"/>
      <c r="L233" s="20"/>
      <c r="M233" s="25" t="str">
        <f aca="false">IF(COUNT(H233:L233)=5,H233*I233*J233*K233/L233,"")</f>
        <v/>
      </c>
      <c r="N233" s="26" t="str">
        <f aca="false">IF(M233="","",IF(AND(M233&gt;=100,L233&lt;=2),"Quick win",IF(M233&gt;=100,"Strategic priority",IF(M233&gt;=30,"Long-term investment","Low priority / avoid"))))</f>
        <v/>
      </c>
      <c r="O233" s="20"/>
      <c r="P233" s="20"/>
    </row>
    <row r="234" customFormat="false" ht="15" hidden="false" customHeight="false" outlineLevel="0" collapsed="false">
      <c r="A234" s="20"/>
      <c r="B234" s="20"/>
      <c r="C234" s="20"/>
      <c r="D234" s="20"/>
      <c r="E234" s="20"/>
      <c r="F234" s="24"/>
      <c r="G234" s="20"/>
      <c r="H234" s="20"/>
      <c r="I234" s="20"/>
      <c r="J234" s="20"/>
      <c r="K234" s="20"/>
      <c r="L234" s="20"/>
      <c r="M234" s="25" t="str">
        <f aca="false">IF(COUNT(H234:L234)=5,H234*I234*J234*K234/L234,"")</f>
        <v/>
      </c>
      <c r="N234" s="26" t="str">
        <f aca="false">IF(M234="","",IF(AND(M234&gt;=100,L234&lt;=2),"Quick win",IF(M234&gt;=100,"Strategic priority",IF(M234&gt;=30,"Long-term investment","Low priority / avoid"))))</f>
        <v/>
      </c>
      <c r="O234" s="20"/>
      <c r="P234" s="20"/>
    </row>
    <row r="235" customFormat="false" ht="15" hidden="false" customHeight="false" outlineLevel="0" collapsed="false">
      <c r="A235" s="20"/>
      <c r="B235" s="20"/>
      <c r="C235" s="20"/>
      <c r="D235" s="20"/>
      <c r="E235" s="20"/>
      <c r="F235" s="24"/>
      <c r="G235" s="20"/>
      <c r="H235" s="20"/>
      <c r="I235" s="20"/>
      <c r="J235" s="20"/>
      <c r="K235" s="20"/>
      <c r="L235" s="20"/>
      <c r="M235" s="25" t="str">
        <f aca="false">IF(COUNT(H235:L235)=5,H235*I235*J235*K235/L235,"")</f>
        <v/>
      </c>
      <c r="N235" s="26" t="str">
        <f aca="false">IF(M235="","",IF(AND(M235&gt;=100,L235&lt;=2),"Quick win",IF(M235&gt;=100,"Strategic priority",IF(M235&gt;=30,"Long-term investment","Low priority / avoid"))))</f>
        <v/>
      </c>
      <c r="O235" s="20"/>
      <c r="P235" s="20"/>
    </row>
    <row r="236" customFormat="false" ht="15" hidden="false" customHeight="false" outlineLevel="0" collapsed="false">
      <c r="A236" s="20"/>
      <c r="B236" s="20"/>
      <c r="C236" s="20"/>
      <c r="D236" s="20"/>
      <c r="E236" s="20"/>
      <c r="F236" s="24"/>
      <c r="G236" s="20"/>
      <c r="H236" s="20"/>
      <c r="I236" s="20"/>
      <c r="J236" s="20"/>
      <c r="K236" s="20"/>
      <c r="L236" s="20"/>
      <c r="M236" s="25" t="str">
        <f aca="false">IF(COUNT(H236:L236)=5,H236*I236*J236*K236/L236,"")</f>
        <v/>
      </c>
      <c r="N236" s="26" t="str">
        <f aca="false">IF(M236="","",IF(AND(M236&gt;=100,L236&lt;=2),"Quick win",IF(M236&gt;=100,"Strategic priority",IF(M236&gt;=30,"Long-term investment","Low priority / avoid"))))</f>
        <v/>
      </c>
      <c r="O236" s="20"/>
      <c r="P236" s="20"/>
    </row>
    <row r="237" customFormat="false" ht="15" hidden="false" customHeight="false" outlineLevel="0" collapsed="false">
      <c r="A237" s="20"/>
      <c r="B237" s="20"/>
      <c r="C237" s="20"/>
      <c r="D237" s="20"/>
      <c r="E237" s="20"/>
      <c r="F237" s="24"/>
      <c r="G237" s="20"/>
      <c r="H237" s="20"/>
      <c r="I237" s="20"/>
      <c r="J237" s="20"/>
      <c r="K237" s="20"/>
      <c r="L237" s="20"/>
      <c r="M237" s="25" t="str">
        <f aca="false">IF(COUNT(H237:L237)=5,H237*I237*J237*K237/L237,"")</f>
        <v/>
      </c>
      <c r="N237" s="26" t="str">
        <f aca="false">IF(M237="","",IF(AND(M237&gt;=100,L237&lt;=2),"Quick win",IF(M237&gt;=100,"Strategic priority",IF(M237&gt;=30,"Long-term investment","Low priority / avoid"))))</f>
        <v/>
      </c>
      <c r="O237" s="20"/>
      <c r="P237" s="20"/>
    </row>
    <row r="238" customFormat="false" ht="15" hidden="false" customHeight="false" outlineLevel="0" collapsed="false">
      <c r="A238" s="20"/>
      <c r="B238" s="20"/>
      <c r="C238" s="20"/>
      <c r="D238" s="20"/>
      <c r="E238" s="20"/>
      <c r="F238" s="24"/>
      <c r="G238" s="20"/>
      <c r="H238" s="20"/>
      <c r="I238" s="20"/>
      <c r="J238" s="20"/>
      <c r="K238" s="20"/>
      <c r="L238" s="20"/>
      <c r="M238" s="25" t="str">
        <f aca="false">IF(COUNT(H238:L238)=5,H238*I238*J238*K238/L238,"")</f>
        <v/>
      </c>
      <c r="N238" s="26" t="str">
        <f aca="false">IF(M238="","",IF(AND(M238&gt;=100,L238&lt;=2),"Quick win",IF(M238&gt;=100,"Strategic priority",IF(M238&gt;=30,"Long-term investment","Low priority / avoid"))))</f>
        <v/>
      </c>
      <c r="O238" s="20"/>
      <c r="P238" s="20"/>
    </row>
    <row r="239" customFormat="false" ht="15" hidden="false" customHeight="false" outlineLevel="0" collapsed="false">
      <c r="A239" s="20"/>
      <c r="B239" s="20"/>
      <c r="C239" s="20"/>
      <c r="D239" s="20"/>
      <c r="E239" s="20"/>
      <c r="F239" s="24"/>
      <c r="G239" s="20"/>
      <c r="H239" s="20"/>
      <c r="I239" s="20"/>
      <c r="J239" s="20"/>
      <c r="K239" s="20"/>
      <c r="L239" s="20"/>
      <c r="M239" s="25" t="str">
        <f aca="false">IF(COUNT(H239:L239)=5,H239*I239*J239*K239/L239,"")</f>
        <v/>
      </c>
      <c r="N239" s="26" t="str">
        <f aca="false">IF(M239="","",IF(AND(M239&gt;=100,L239&lt;=2),"Quick win",IF(M239&gt;=100,"Strategic priority",IF(M239&gt;=30,"Long-term investment","Low priority / avoid"))))</f>
        <v/>
      </c>
      <c r="O239" s="20"/>
      <c r="P239" s="20"/>
    </row>
    <row r="240" customFormat="false" ht="15" hidden="false" customHeight="false" outlineLevel="0" collapsed="false">
      <c r="A240" s="20"/>
      <c r="B240" s="20"/>
      <c r="C240" s="20"/>
      <c r="D240" s="20"/>
      <c r="E240" s="20"/>
      <c r="F240" s="24"/>
      <c r="G240" s="20"/>
      <c r="H240" s="20"/>
      <c r="I240" s="20"/>
      <c r="J240" s="20"/>
      <c r="K240" s="20"/>
      <c r="L240" s="20"/>
      <c r="M240" s="25" t="str">
        <f aca="false">IF(COUNT(H240:L240)=5,H240*I240*J240*K240/L240,"")</f>
        <v/>
      </c>
      <c r="N240" s="26" t="str">
        <f aca="false">IF(M240="","",IF(AND(M240&gt;=100,L240&lt;=2),"Quick win",IF(M240&gt;=100,"Strategic priority",IF(M240&gt;=30,"Long-term investment","Low priority / avoid"))))</f>
        <v/>
      </c>
      <c r="O240" s="20"/>
      <c r="P240" s="20"/>
    </row>
    <row r="241" customFormat="false" ht="15" hidden="false" customHeight="false" outlineLevel="0" collapsed="false">
      <c r="A241" s="20"/>
      <c r="B241" s="20"/>
      <c r="C241" s="20"/>
      <c r="D241" s="20"/>
      <c r="E241" s="20"/>
      <c r="F241" s="24"/>
      <c r="G241" s="20"/>
      <c r="H241" s="20"/>
      <c r="I241" s="20"/>
      <c r="J241" s="20"/>
      <c r="K241" s="20"/>
      <c r="L241" s="20"/>
      <c r="M241" s="25" t="str">
        <f aca="false">IF(COUNT(H241:L241)=5,H241*I241*J241*K241/L241,"")</f>
        <v/>
      </c>
      <c r="N241" s="26" t="str">
        <f aca="false">IF(M241="","",IF(AND(M241&gt;=100,L241&lt;=2),"Quick win",IF(M241&gt;=100,"Strategic priority",IF(M241&gt;=30,"Long-term investment","Low priority / avoid"))))</f>
        <v/>
      </c>
      <c r="O241" s="20"/>
      <c r="P241" s="20"/>
    </row>
    <row r="242" customFormat="false" ht="15" hidden="false" customHeight="false" outlineLevel="0" collapsed="false">
      <c r="A242" s="20"/>
      <c r="B242" s="20"/>
      <c r="C242" s="20"/>
      <c r="D242" s="20"/>
      <c r="E242" s="20"/>
      <c r="F242" s="24"/>
      <c r="G242" s="20"/>
      <c r="H242" s="20"/>
      <c r="I242" s="20"/>
      <c r="J242" s="20"/>
      <c r="K242" s="20"/>
      <c r="L242" s="20"/>
      <c r="M242" s="25" t="str">
        <f aca="false">IF(COUNT(H242:L242)=5,H242*I242*J242*K242/L242,"")</f>
        <v/>
      </c>
      <c r="N242" s="26" t="str">
        <f aca="false">IF(M242="","",IF(AND(M242&gt;=100,L242&lt;=2),"Quick win",IF(M242&gt;=100,"Strategic priority",IF(M242&gt;=30,"Long-term investment","Low priority / avoid"))))</f>
        <v/>
      </c>
      <c r="O242" s="20"/>
      <c r="P242" s="20"/>
    </row>
    <row r="243" customFormat="false" ht="15" hidden="false" customHeight="false" outlineLevel="0" collapsed="false">
      <c r="A243" s="20"/>
      <c r="B243" s="20"/>
      <c r="C243" s="20"/>
      <c r="D243" s="20"/>
      <c r="E243" s="20"/>
      <c r="F243" s="24"/>
      <c r="G243" s="20"/>
      <c r="H243" s="20"/>
      <c r="I243" s="20"/>
      <c r="J243" s="20"/>
      <c r="K243" s="20"/>
      <c r="L243" s="20"/>
      <c r="M243" s="25" t="str">
        <f aca="false">IF(COUNT(H243:L243)=5,H243*I243*J243*K243/L243,"")</f>
        <v/>
      </c>
      <c r="N243" s="26" t="str">
        <f aca="false">IF(M243="","",IF(AND(M243&gt;=100,L243&lt;=2),"Quick win",IF(M243&gt;=100,"Strategic priority",IF(M243&gt;=30,"Long-term investment","Low priority / avoid"))))</f>
        <v/>
      </c>
      <c r="O243" s="20"/>
      <c r="P243" s="20"/>
    </row>
    <row r="244" customFormat="false" ht="15" hidden="false" customHeight="false" outlineLevel="0" collapsed="false">
      <c r="A244" s="20"/>
      <c r="B244" s="20"/>
      <c r="C244" s="20"/>
      <c r="D244" s="20"/>
      <c r="E244" s="20"/>
      <c r="F244" s="24"/>
      <c r="G244" s="20"/>
      <c r="H244" s="20"/>
      <c r="I244" s="20"/>
      <c r="J244" s="20"/>
      <c r="K244" s="20"/>
      <c r="L244" s="20"/>
      <c r="M244" s="25" t="str">
        <f aca="false">IF(COUNT(H244:L244)=5,H244*I244*J244*K244/L244,"")</f>
        <v/>
      </c>
      <c r="N244" s="26" t="str">
        <f aca="false">IF(M244="","",IF(AND(M244&gt;=100,L244&lt;=2),"Quick win",IF(M244&gt;=100,"Strategic priority",IF(M244&gt;=30,"Long-term investment","Low priority / avoid"))))</f>
        <v/>
      </c>
      <c r="O244" s="20"/>
      <c r="P244" s="20"/>
    </row>
    <row r="245" customFormat="false" ht="15" hidden="false" customHeight="false" outlineLevel="0" collapsed="false">
      <c r="A245" s="20"/>
      <c r="B245" s="20"/>
      <c r="C245" s="20"/>
      <c r="D245" s="20"/>
      <c r="E245" s="20"/>
      <c r="F245" s="24"/>
      <c r="G245" s="20"/>
      <c r="H245" s="20"/>
      <c r="I245" s="20"/>
      <c r="J245" s="20"/>
      <c r="K245" s="20"/>
      <c r="L245" s="20"/>
      <c r="M245" s="25" t="str">
        <f aca="false">IF(COUNT(H245:L245)=5,H245*I245*J245*K245/L245,"")</f>
        <v/>
      </c>
      <c r="N245" s="26" t="str">
        <f aca="false">IF(M245="","",IF(AND(M245&gt;=100,L245&lt;=2),"Quick win",IF(M245&gt;=100,"Strategic priority",IF(M245&gt;=30,"Long-term investment","Low priority / avoid"))))</f>
        <v/>
      </c>
      <c r="O245" s="20"/>
      <c r="P245" s="20"/>
    </row>
    <row r="246" customFormat="false" ht="15" hidden="false" customHeight="false" outlineLevel="0" collapsed="false">
      <c r="A246" s="20"/>
      <c r="B246" s="20"/>
      <c r="C246" s="20"/>
      <c r="D246" s="20"/>
      <c r="E246" s="20"/>
      <c r="F246" s="24"/>
      <c r="G246" s="20"/>
      <c r="H246" s="20"/>
      <c r="I246" s="20"/>
      <c r="J246" s="20"/>
      <c r="K246" s="20"/>
      <c r="L246" s="20"/>
      <c r="M246" s="25" t="str">
        <f aca="false">IF(COUNT(H246:L246)=5,H246*I246*J246*K246/L246,"")</f>
        <v/>
      </c>
      <c r="N246" s="26" t="str">
        <f aca="false">IF(M246="","",IF(AND(M246&gt;=100,L246&lt;=2),"Quick win",IF(M246&gt;=100,"Strategic priority",IF(M246&gt;=30,"Long-term investment","Low priority / avoid"))))</f>
        <v/>
      </c>
      <c r="O246" s="20"/>
      <c r="P246" s="20"/>
    </row>
    <row r="247" customFormat="false" ht="15" hidden="false" customHeight="false" outlineLevel="0" collapsed="false">
      <c r="A247" s="20"/>
      <c r="B247" s="20"/>
      <c r="C247" s="20"/>
      <c r="D247" s="20"/>
      <c r="E247" s="20"/>
      <c r="F247" s="24"/>
      <c r="G247" s="20"/>
      <c r="H247" s="20"/>
      <c r="I247" s="20"/>
      <c r="J247" s="20"/>
      <c r="K247" s="20"/>
      <c r="L247" s="20"/>
      <c r="M247" s="25" t="str">
        <f aca="false">IF(COUNT(H247:L247)=5,H247*I247*J247*K247/L247,"")</f>
        <v/>
      </c>
      <c r="N247" s="26" t="str">
        <f aca="false">IF(M247="","",IF(AND(M247&gt;=100,L247&lt;=2),"Quick win",IF(M247&gt;=100,"Strategic priority",IF(M247&gt;=30,"Long-term investment","Low priority / avoid"))))</f>
        <v/>
      </c>
      <c r="O247" s="20"/>
      <c r="P247" s="20"/>
    </row>
    <row r="248" customFormat="false" ht="15" hidden="false" customHeight="false" outlineLevel="0" collapsed="false">
      <c r="A248" s="20"/>
      <c r="B248" s="20"/>
      <c r="C248" s="20"/>
      <c r="D248" s="20"/>
      <c r="E248" s="20"/>
      <c r="F248" s="24"/>
      <c r="G248" s="20"/>
      <c r="H248" s="20"/>
      <c r="I248" s="20"/>
      <c r="J248" s="20"/>
      <c r="K248" s="20"/>
      <c r="L248" s="20"/>
      <c r="M248" s="25" t="str">
        <f aca="false">IF(COUNT(H248:L248)=5,H248*I248*J248*K248/L248,"")</f>
        <v/>
      </c>
      <c r="N248" s="26" t="str">
        <f aca="false">IF(M248="","",IF(AND(M248&gt;=100,L248&lt;=2),"Quick win",IF(M248&gt;=100,"Strategic priority",IF(M248&gt;=30,"Long-term investment","Low priority / avoid"))))</f>
        <v/>
      </c>
      <c r="O248" s="20"/>
      <c r="P248" s="20"/>
    </row>
    <row r="249" customFormat="false" ht="15" hidden="false" customHeight="false" outlineLevel="0" collapsed="false">
      <c r="A249" s="20"/>
      <c r="B249" s="20"/>
      <c r="C249" s="20"/>
      <c r="D249" s="20"/>
      <c r="E249" s="20"/>
      <c r="F249" s="24"/>
      <c r="G249" s="20"/>
      <c r="H249" s="20"/>
      <c r="I249" s="20"/>
      <c r="J249" s="20"/>
      <c r="K249" s="20"/>
      <c r="L249" s="20"/>
      <c r="M249" s="25" t="str">
        <f aca="false">IF(COUNT(H249:L249)=5,H249*I249*J249*K249/L249,"")</f>
        <v/>
      </c>
      <c r="N249" s="26" t="str">
        <f aca="false">IF(M249="","",IF(AND(M249&gt;=100,L249&lt;=2),"Quick win",IF(M249&gt;=100,"Strategic priority",IF(M249&gt;=30,"Long-term investment","Low priority / avoid"))))</f>
        <v/>
      </c>
      <c r="O249" s="20"/>
      <c r="P249" s="20"/>
    </row>
    <row r="250" customFormat="false" ht="15" hidden="false" customHeight="false" outlineLevel="0" collapsed="false">
      <c r="A250" s="20"/>
      <c r="B250" s="20"/>
      <c r="C250" s="20"/>
      <c r="D250" s="20"/>
      <c r="E250" s="20"/>
      <c r="F250" s="24"/>
      <c r="G250" s="20"/>
      <c r="H250" s="20"/>
      <c r="I250" s="20"/>
      <c r="J250" s="20"/>
      <c r="K250" s="20"/>
      <c r="L250" s="20"/>
      <c r="M250" s="25" t="str">
        <f aca="false">IF(COUNT(H250:L250)=5,H250*I250*J250*K250/L250,"")</f>
        <v/>
      </c>
      <c r="N250" s="26" t="str">
        <f aca="false">IF(M250="","",IF(AND(M250&gt;=100,L250&lt;=2),"Quick win",IF(M250&gt;=100,"Strategic priority",IF(M250&gt;=30,"Long-term investment","Low priority / avoid"))))</f>
        <v/>
      </c>
      <c r="O250" s="20"/>
      <c r="P250" s="20"/>
    </row>
    <row r="251" customFormat="false" ht="15" hidden="false" customHeight="false" outlineLevel="0" collapsed="false">
      <c r="A251" s="20"/>
      <c r="B251" s="20"/>
      <c r="C251" s="20"/>
      <c r="D251" s="20"/>
      <c r="E251" s="20"/>
      <c r="F251" s="24"/>
      <c r="G251" s="20"/>
      <c r="H251" s="20"/>
      <c r="I251" s="20"/>
      <c r="J251" s="20"/>
      <c r="K251" s="20"/>
      <c r="L251" s="20"/>
      <c r="M251" s="25" t="str">
        <f aca="false">IF(COUNT(H251:L251)=5,H251*I251*J251*K251/L251,"")</f>
        <v/>
      </c>
      <c r="N251" s="26" t="str">
        <f aca="false">IF(M251="","",IF(AND(M251&gt;=100,L251&lt;=2),"Quick win",IF(M251&gt;=100,"Strategic priority",IF(M251&gt;=30,"Long-term investment","Low priority / avoid"))))</f>
        <v/>
      </c>
      <c r="O251" s="20"/>
      <c r="P251" s="20"/>
    </row>
    <row r="252" customFormat="false" ht="15" hidden="false" customHeight="false" outlineLevel="0" collapsed="false">
      <c r="A252" s="20"/>
      <c r="B252" s="20"/>
      <c r="C252" s="20"/>
      <c r="D252" s="20"/>
      <c r="E252" s="20"/>
      <c r="F252" s="24"/>
      <c r="G252" s="20"/>
      <c r="H252" s="20"/>
      <c r="I252" s="20"/>
      <c r="J252" s="20"/>
      <c r="K252" s="20"/>
      <c r="L252" s="20"/>
      <c r="M252" s="25" t="str">
        <f aca="false">IF(COUNT(H252:L252)=5,H252*I252*J252*K252/L252,"")</f>
        <v/>
      </c>
      <c r="N252" s="26" t="str">
        <f aca="false">IF(M252="","",IF(AND(M252&gt;=100,L252&lt;=2),"Quick win",IF(M252&gt;=100,"Strategic priority",IF(M252&gt;=30,"Long-term investment","Low priority / avoid"))))</f>
        <v/>
      </c>
      <c r="O252" s="20"/>
      <c r="P252" s="20"/>
    </row>
    <row r="253" customFormat="false" ht="15" hidden="false" customHeight="false" outlineLevel="0" collapsed="false">
      <c r="A253" s="20"/>
      <c r="B253" s="20"/>
      <c r="C253" s="20"/>
      <c r="D253" s="20"/>
      <c r="E253" s="20"/>
      <c r="F253" s="24"/>
      <c r="G253" s="20"/>
      <c r="H253" s="20"/>
      <c r="I253" s="20"/>
      <c r="J253" s="20"/>
      <c r="K253" s="20"/>
      <c r="L253" s="20"/>
      <c r="M253" s="25" t="str">
        <f aca="false">IF(COUNT(H253:L253)=5,H253*I253*J253*K253/L253,"")</f>
        <v/>
      </c>
      <c r="N253" s="26" t="str">
        <f aca="false">IF(M253="","",IF(AND(M253&gt;=100,L253&lt;=2),"Quick win",IF(M253&gt;=100,"Strategic priority",IF(M253&gt;=30,"Long-term investment","Low priority / avoid"))))</f>
        <v/>
      </c>
      <c r="O253" s="20"/>
      <c r="P253" s="20"/>
    </row>
    <row r="254" customFormat="false" ht="15" hidden="false" customHeight="false" outlineLevel="0" collapsed="false">
      <c r="A254" s="20"/>
      <c r="B254" s="20"/>
      <c r="C254" s="20"/>
      <c r="D254" s="20"/>
      <c r="E254" s="20"/>
      <c r="F254" s="24"/>
      <c r="G254" s="20"/>
      <c r="H254" s="20"/>
      <c r="I254" s="20"/>
      <c r="J254" s="20"/>
      <c r="K254" s="20"/>
      <c r="L254" s="20"/>
      <c r="M254" s="25" t="str">
        <f aca="false">IF(COUNT(H254:L254)=5,H254*I254*J254*K254/L254,"")</f>
        <v/>
      </c>
      <c r="N254" s="26" t="str">
        <f aca="false">IF(M254="","",IF(AND(M254&gt;=100,L254&lt;=2),"Quick win",IF(M254&gt;=100,"Strategic priority",IF(M254&gt;=30,"Long-term investment","Low priority / avoid"))))</f>
        <v/>
      </c>
      <c r="O254" s="20"/>
      <c r="P254" s="20"/>
    </row>
    <row r="255" customFormat="false" ht="15" hidden="false" customHeight="false" outlineLevel="0" collapsed="false">
      <c r="A255" s="20"/>
      <c r="B255" s="20"/>
      <c r="C255" s="20"/>
      <c r="D255" s="20"/>
      <c r="E255" s="20"/>
      <c r="F255" s="24"/>
      <c r="G255" s="20"/>
      <c r="H255" s="20"/>
      <c r="I255" s="20"/>
      <c r="J255" s="20"/>
      <c r="K255" s="20"/>
      <c r="L255" s="20"/>
      <c r="M255" s="25" t="str">
        <f aca="false">IF(COUNT(H255:L255)=5,H255*I255*J255*K255/L255,"")</f>
        <v/>
      </c>
      <c r="N255" s="26" t="str">
        <f aca="false">IF(M255="","",IF(AND(M255&gt;=100,L255&lt;=2),"Quick win",IF(M255&gt;=100,"Strategic priority",IF(M255&gt;=30,"Long-term investment","Low priority / avoid"))))</f>
        <v/>
      </c>
      <c r="O255" s="20"/>
      <c r="P255" s="20"/>
    </row>
    <row r="256" customFormat="false" ht="15" hidden="false" customHeight="false" outlineLevel="0" collapsed="false">
      <c r="A256" s="20"/>
      <c r="B256" s="20"/>
      <c r="C256" s="20"/>
      <c r="D256" s="20"/>
      <c r="E256" s="20"/>
      <c r="F256" s="24"/>
      <c r="G256" s="20"/>
      <c r="H256" s="20"/>
      <c r="I256" s="20"/>
      <c r="J256" s="20"/>
      <c r="K256" s="20"/>
      <c r="L256" s="20"/>
      <c r="M256" s="25" t="str">
        <f aca="false">IF(COUNT(H256:L256)=5,H256*I256*J256*K256/L256,"")</f>
        <v/>
      </c>
      <c r="N256" s="26" t="str">
        <f aca="false">IF(M256="","",IF(AND(M256&gt;=100,L256&lt;=2),"Quick win",IF(M256&gt;=100,"Strategic priority",IF(M256&gt;=30,"Long-term investment","Low priority / avoid"))))</f>
        <v/>
      </c>
      <c r="O256" s="20"/>
      <c r="P256" s="20"/>
    </row>
    <row r="257" customFormat="false" ht="15" hidden="false" customHeight="false" outlineLevel="0" collapsed="false">
      <c r="A257" s="20"/>
      <c r="B257" s="20"/>
      <c r="C257" s="20"/>
      <c r="D257" s="20"/>
      <c r="E257" s="20"/>
      <c r="F257" s="24"/>
      <c r="G257" s="20"/>
      <c r="H257" s="20"/>
      <c r="I257" s="20"/>
      <c r="J257" s="20"/>
      <c r="K257" s="20"/>
      <c r="L257" s="20"/>
      <c r="M257" s="25" t="str">
        <f aca="false">IF(COUNT(H257:L257)=5,H257*I257*J257*K257/L257,"")</f>
        <v/>
      </c>
      <c r="N257" s="26" t="str">
        <f aca="false">IF(M257="","",IF(AND(M257&gt;=100,L257&lt;=2),"Quick win",IF(M257&gt;=100,"Strategic priority",IF(M257&gt;=30,"Long-term investment","Low priority / avoid"))))</f>
        <v/>
      </c>
      <c r="O257" s="20"/>
      <c r="P257" s="20"/>
    </row>
    <row r="258" customFormat="false" ht="15" hidden="false" customHeight="false" outlineLevel="0" collapsed="false">
      <c r="A258" s="20"/>
      <c r="B258" s="20"/>
      <c r="C258" s="20"/>
      <c r="D258" s="20"/>
      <c r="E258" s="20"/>
      <c r="F258" s="24"/>
      <c r="G258" s="20"/>
      <c r="H258" s="20"/>
      <c r="I258" s="20"/>
      <c r="J258" s="20"/>
      <c r="K258" s="20"/>
      <c r="L258" s="20"/>
      <c r="M258" s="25" t="str">
        <f aca="false">IF(COUNT(H258:L258)=5,H258*I258*J258*K258/L258,"")</f>
        <v/>
      </c>
      <c r="N258" s="26" t="str">
        <f aca="false">IF(M258="","",IF(AND(M258&gt;=100,L258&lt;=2),"Quick win",IF(M258&gt;=100,"Strategic priority",IF(M258&gt;=30,"Long-term investment","Low priority / avoid"))))</f>
        <v/>
      </c>
      <c r="O258" s="20"/>
      <c r="P258" s="20"/>
    </row>
    <row r="259" customFormat="false" ht="15" hidden="false" customHeight="false" outlineLevel="0" collapsed="false">
      <c r="A259" s="20"/>
      <c r="B259" s="20"/>
      <c r="C259" s="20"/>
      <c r="D259" s="20"/>
      <c r="E259" s="20"/>
      <c r="F259" s="24"/>
      <c r="G259" s="20"/>
      <c r="H259" s="20"/>
      <c r="I259" s="20"/>
      <c r="J259" s="20"/>
      <c r="K259" s="20"/>
      <c r="L259" s="20"/>
      <c r="M259" s="25" t="str">
        <f aca="false">IF(COUNT(H259:L259)=5,H259*I259*J259*K259/L259,"")</f>
        <v/>
      </c>
      <c r="N259" s="26" t="str">
        <f aca="false">IF(M259="","",IF(AND(M259&gt;=100,L259&lt;=2),"Quick win",IF(M259&gt;=100,"Strategic priority",IF(M259&gt;=30,"Long-term investment","Low priority / avoid"))))</f>
        <v/>
      </c>
      <c r="O259" s="20"/>
      <c r="P259" s="20"/>
    </row>
    <row r="260" customFormat="false" ht="15" hidden="false" customHeight="false" outlineLevel="0" collapsed="false">
      <c r="A260" s="20"/>
      <c r="B260" s="20"/>
      <c r="C260" s="20"/>
      <c r="D260" s="20"/>
      <c r="E260" s="20"/>
      <c r="F260" s="24"/>
      <c r="G260" s="20"/>
      <c r="H260" s="20"/>
      <c r="I260" s="20"/>
      <c r="J260" s="20"/>
      <c r="K260" s="20"/>
      <c r="L260" s="20"/>
      <c r="M260" s="25" t="str">
        <f aca="false">IF(COUNT(H260:L260)=5,H260*I260*J260*K260/L260,"")</f>
        <v/>
      </c>
      <c r="N260" s="26" t="str">
        <f aca="false">IF(M260="","",IF(AND(M260&gt;=100,L260&lt;=2),"Quick win",IF(M260&gt;=100,"Strategic priority",IF(M260&gt;=30,"Long-term investment","Low priority / avoid"))))</f>
        <v/>
      </c>
      <c r="O260" s="20"/>
      <c r="P260" s="20"/>
    </row>
    <row r="261" customFormat="false" ht="15" hidden="false" customHeight="false" outlineLevel="0" collapsed="false">
      <c r="A261" s="20"/>
      <c r="B261" s="20"/>
      <c r="C261" s="20"/>
      <c r="D261" s="20"/>
      <c r="E261" s="20"/>
      <c r="F261" s="24"/>
      <c r="G261" s="20"/>
      <c r="H261" s="20"/>
      <c r="I261" s="20"/>
      <c r="J261" s="20"/>
      <c r="K261" s="20"/>
      <c r="L261" s="20"/>
      <c r="M261" s="25" t="str">
        <f aca="false">IF(COUNT(H261:L261)=5,H261*I261*J261*K261/L261,"")</f>
        <v/>
      </c>
      <c r="N261" s="26" t="str">
        <f aca="false">IF(M261="","",IF(AND(M261&gt;=100,L261&lt;=2),"Quick win",IF(M261&gt;=100,"Strategic priority",IF(M261&gt;=30,"Long-term investment","Low priority / avoid"))))</f>
        <v/>
      </c>
      <c r="O261" s="20"/>
      <c r="P261" s="20"/>
    </row>
    <row r="262" customFormat="false" ht="15" hidden="false" customHeight="false" outlineLevel="0" collapsed="false">
      <c r="A262" s="20"/>
      <c r="B262" s="20"/>
      <c r="C262" s="20"/>
      <c r="D262" s="20"/>
      <c r="E262" s="20"/>
      <c r="F262" s="24"/>
      <c r="G262" s="20"/>
      <c r="H262" s="20"/>
      <c r="I262" s="20"/>
      <c r="J262" s="20"/>
      <c r="K262" s="20"/>
      <c r="L262" s="20"/>
      <c r="M262" s="25" t="str">
        <f aca="false">IF(COUNT(H262:L262)=5,H262*I262*J262*K262/L262,"")</f>
        <v/>
      </c>
      <c r="N262" s="26" t="str">
        <f aca="false">IF(M262="","",IF(AND(M262&gt;=100,L262&lt;=2),"Quick win",IF(M262&gt;=100,"Strategic priority",IF(M262&gt;=30,"Long-term investment","Low priority / avoid"))))</f>
        <v/>
      </c>
      <c r="O262" s="20"/>
      <c r="P262" s="20"/>
    </row>
    <row r="263" customFormat="false" ht="15" hidden="false" customHeight="false" outlineLevel="0" collapsed="false">
      <c r="A263" s="20"/>
      <c r="B263" s="20"/>
      <c r="C263" s="20"/>
      <c r="D263" s="20"/>
      <c r="E263" s="20"/>
      <c r="F263" s="24"/>
      <c r="G263" s="20"/>
      <c r="H263" s="20"/>
      <c r="I263" s="20"/>
      <c r="J263" s="20"/>
      <c r="K263" s="20"/>
      <c r="L263" s="20"/>
      <c r="M263" s="25" t="str">
        <f aca="false">IF(COUNT(H263:L263)=5,H263*I263*J263*K263/L263,"")</f>
        <v/>
      </c>
      <c r="N263" s="26" t="str">
        <f aca="false">IF(M263="","",IF(AND(M263&gt;=100,L263&lt;=2),"Quick win",IF(M263&gt;=100,"Strategic priority",IF(M263&gt;=30,"Long-term investment","Low priority / avoid"))))</f>
        <v/>
      </c>
      <c r="O263" s="20"/>
      <c r="P263" s="20"/>
    </row>
    <row r="264" customFormat="false" ht="15" hidden="false" customHeight="false" outlineLevel="0" collapsed="false">
      <c r="A264" s="20"/>
      <c r="B264" s="20"/>
      <c r="C264" s="20"/>
      <c r="D264" s="20"/>
      <c r="E264" s="20"/>
      <c r="F264" s="24"/>
      <c r="G264" s="20"/>
      <c r="H264" s="20"/>
      <c r="I264" s="20"/>
      <c r="J264" s="20"/>
      <c r="K264" s="20"/>
      <c r="L264" s="20"/>
      <c r="M264" s="25" t="str">
        <f aca="false">IF(COUNT(H264:L264)=5,H264*I264*J264*K264/L264,"")</f>
        <v/>
      </c>
      <c r="N264" s="26" t="str">
        <f aca="false">IF(M264="","",IF(AND(M264&gt;=100,L264&lt;=2),"Quick win",IF(M264&gt;=100,"Strategic priority",IF(M264&gt;=30,"Long-term investment","Low priority / avoid"))))</f>
        <v/>
      </c>
      <c r="O264" s="20"/>
      <c r="P264" s="20"/>
    </row>
    <row r="265" customFormat="false" ht="15" hidden="false" customHeight="false" outlineLevel="0" collapsed="false">
      <c r="A265" s="20"/>
      <c r="B265" s="20"/>
      <c r="C265" s="20"/>
      <c r="D265" s="20"/>
      <c r="E265" s="20"/>
      <c r="F265" s="24"/>
      <c r="G265" s="20"/>
      <c r="H265" s="20"/>
      <c r="I265" s="20"/>
      <c r="J265" s="20"/>
      <c r="K265" s="20"/>
      <c r="L265" s="20"/>
      <c r="M265" s="25" t="str">
        <f aca="false">IF(COUNT(H265:L265)=5,H265*I265*J265*K265/L265,"")</f>
        <v/>
      </c>
      <c r="N265" s="26" t="str">
        <f aca="false">IF(M265="","",IF(AND(M265&gt;=100,L265&lt;=2),"Quick win",IF(M265&gt;=100,"Strategic priority",IF(M265&gt;=30,"Long-term investment","Low priority / avoid"))))</f>
        <v/>
      </c>
      <c r="O265" s="20"/>
      <c r="P265" s="20"/>
    </row>
    <row r="266" customFormat="false" ht="15" hidden="false" customHeight="false" outlineLevel="0" collapsed="false">
      <c r="A266" s="20"/>
      <c r="B266" s="20"/>
      <c r="C266" s="20"/>
      <c r="D266" s="20"/>
      <c r="E266" s="20"/>
      <c r="F266" s="24"/>
      <c r="G266" s="20"/>
      <c r="H266" s="20"/>
      <c r="I266" s="20"/>
      <c r="J266" s="20"/>
      <c r="K266" s="20"/>
      <c r="L266" s="20"/>
      <c r="M266" s="25" t="str">
        <f aca="false">IF(COUNT(H266:L266)=5,H266*I266*J266*K266/L266,"")</f>
        <v/>
      </c>
      <c r="N266" s="26" t="str">
        <f aca="false">IF(M266="","",IF(AND(M266&gt;=100,L266&lt;=2),"Quick win",IF(M266&gt;=100,"Strategic priority",IF(M266&gt;=30,"Long-term investment","Low priority / avoid"))))</f>
        <v/>
      </c>
      <c r="O266" s="20"/>
      <c r="P266" s="20"/>
    </row>
    <row r="267" customFormat="false" ht="15" hidden="false" customHeight="false" outlineLevel="0" collapsed="false">
      <c r="A267" s="20"/>
      <c r="B267" s="20"/>
      <c r="C267" s="20"/>
      <c r="D267" s="20"/>
      <c r="E267" s="20"/>
      <c r="F267" s="24"/>
      <c r="G267" s="20"/>
      <c r="H267" s="20"/>
      <c r="I267" s="20"/>
      <c r="J267" s="20"/>
      <c r="K267" s="20"/>
      <c r="L267" s="20"/>
      <c r="M267" s="25" t="str">
        <f aca="false">IF(COUNT(H267:L267)=5,H267*I267*J267*K267/L267,"")</f>
        <v/>
      </c>
      <c r="N267" s="26" t="str">
        <f aca="false">IF(M267="","",IF(AND(M267&gt;=100,L267&lt;=2),"Quick win",IF(M267&gt;=100,"Strategic priority",IF(M267&gt;=30,"Long-term investment","Low priority / avoid"))))</f>
        <v/>
      </c>
      <c r="O267" s="20"/>
      <c r="P267" s="20"/>
    </row>
    <row r="268" customFormat="false" ht="15" hidden="false" customHeight="false" outlineLevel="0" collapsed="false">
      <c r="A268" s="20"/>
      <c r="B268" s="20"/>
      <c r="C268" s="20"/>
      <c r="D268" s="20"/>
      <c r="E268" s="20"/>
      <c r="F268" s="24"/>
      <c r="G268" s="20"/>
      <c r="H268" s="20"/>
      <c r="I268" s="20"/>
      <c r="J268" s="20"/>
      <c r="K268" s="20"/>
      <c r="L268" s="20"/>
      <c r="M268" s="25" t="str">
        <f aca="false">IF(COUNT(H268:L268)=5,H268*I268*J268*K268/L268,"")</f>
        <v/>
      </c>
      <c r="N268" s="26" t="str">
        <f aca="false">IF(M268="","",IF(AND(M268&gt;=100,L268&lt;=2),"Quick win",IF(M268&gt;=100,"Strategic priority",IF(M268&gt;=30,"Long-term investment","Low priority / avoid"))))</f>
        <v/>
      </c>
      <c r="O268" s="20"/>
      <c r="P268" s="20"/>
    </row>
    <row r="269" customFormat="false" ht="15" hidden="false" customHeight="false" outlineLevel="0" collapsed="false">
      <c r="A269" s="20"/>
      <c r="B269" s="20"/>
      <c r="C269" s="20"/>
      <c r="D269" s="20"/>
      <c r="E269" s="20"/>
      <c r="F269" s="24"/>
      <c r="G269" s="20"/>
      <c r="H269" s="20"/>
      <c r="I269" s="20"/>
      <c r="J269" s="20"/>
      <c r="K269" s="20"/>
      <c r="L269" s="20"/>
      <c r="M269" s="25" t="str">
        <f aca="false">IF(COUNT(H269:L269)=5,H269*I269*J269*K269/L269,"")</f>
        <v/>
      </c>
      <c r="N269" s="26" t="str">
        <f aca="false">IF(M269="","",IF(AND(M269&gt;=100,L269&lt;=2),"Quick win",IF(M269&gt;=100,"Strategic priority",IF(M269&gt;=30,"Long-term investment","Low priority / avoid"))))</f>
        <v/>
      </c>
      <c r="O269" s="20"/>
      <c r="P269" s="20"/>
    </row>
    <row r="270" customFormat="false" ht="15" hidden="false" customHeight="false" outlineLevel="0" collapsed="false">
      <c r="A270" s="20"/>
      <c r="B270" s="20"/>
      <c r="C270" s="20"/>
      <c r="D270" s="20"/>
      <c r="E270" s="20"/>
      <c r="F270" s="24"/>
      <c r="G270" s="20"/>
      <c r="H270" s="20"/>
      <c r="I270" s="20"/>
      <c r="J270" s="20"/>
      <c r="K270" s="20"/>
      <c r="L270" s="20"/>
      <c r="M270" s="25" t="str">
        <f aca="false">IF(COUNT(H270:L270)=5,H270*I270*J270*K270/L270,"")</f>
        <v/>
      </c>
      <c r="N270" s="26" t="str">
        <f aca="false">IF(M270="","",IF(AND(M270&gt;=100,L270&lt;=2),"Quick win",IF(M270&gt;=100,"Strategic priority",IF(M270&gt;=30,"Long-term investment","Low priority / avoid"))))</f>
        <v/>
      </c>
      <c r="O270" s="20"/>
      <c r="P270" s="20"/>
    </row>
    <row r="271" customFormat="false" ht="15" hidden="false" customHeight="false" outlineLevel="0" collapsed="false">
      <c r="A271" s="20"/>
      <c r="B271" s="20"/>
      <c r="C271" s="20"/>
      <c r="D271" s="20"/>
      <c r="E271" s="20"/>
      <c r="F271" s="24"/>
      <c r="G271" s="20"/>
      <c r="H271" s="20"/>
      <c r="I271" s="20"/>
      <c r="J271" s="20"/>
      <c r="K271" s="20"/>
      <c r="L271" s="20"/>
      <c r="M271" s="25" t="str">
        <f aca="false">IF(COUNT(H271:L271)=5,H271*I271*J271*K271/L271,"")</f>
        <v/>
      </c>
      <c r="N271" s="26" t="str">
        <f aca="false">IF(M271="","",IF(AND(M271&gt;=100,L271&lt;=2),"Quick win",IF(M271&gt;=100,"Strategic priority",IF(M271&gt;=30,"Long-term investment","Low priority / avoid"))))</f>
        <v/>
      </c>
      <c r="O271" s="20"/>
      <c r="P271" s="20"/>
    </row>
    <row r="272" customFormat="false" ht="15" hidden="false" customHeight="false" outlineLevel="0" collapsed="false">
      <c r="A272" s="20"/>
      <c r="B272" s="20"/>
      <c r="C272" s="20"/>
      <c r="D272" s="20"/>
      <c r="E272" s="20"/>
      <c r="F272" s="24"/>
      <c r="G272" s="20"/>
      <c r="H272" s="20"/>
      <c r="I272" s="20"/>
      <c r="J272" s="20"/>
      <c r="K272" s="20"/>
      <c r="L272" s="20"/>
      <c r="M272" s="25" t="str">
        <f aca="false">IF(COUNT(H272:L272)=5,H272*I272*J272*K272/L272,"")</f>
        <v/>
      </c>
      <c r="N272" s="26" t="str">
        <f aca="false">IF(M272="","",IF(AND(M272&gt;=100,L272&lt;=2),"Quick win",IF(M272&gt;=100,"Strategic priority",IF(M272&gt;=30,"Long-term investment","Low priority / avoid"))))</f>
        <v/>
      </c>
      <c r="O272" s="20"/>
      <c r="P272" s="20"/>
    </row>
    <row r="273" customFormat="false" ht="15" hidden="false" customHeight="false" outlineLevel="0" collapsed="false">
      <c r="A273" s="20"/>
      <c r="B273" s="20"/>
      <c r="C273" s="20"/>
      <c r="D273" s="20"/>
      <c r="E273" s="20"/>
      <c r="F273" s="24"/>
      <c r="G273" s="20"/>
      <c r="H273" s="20"/>
      <c r="I273" s="20"/>
      <c r="J273" s="20"/>
      <c r="K273" s="20"/>
      <c r="L273" s="20"/>
      <c r="M273" s="25" t="str">
        <f aca="false">IF(COUNT(H273:L273)=5,H273*I273*J273*K273/L273,"")</f>
        <v/>
      </c>
      <c r="N273" s="26" t="str">
        <f aca="false">IF(M273="","",IF(AND(M273&gt;=100,L273&lt;=2),"Quick win",IF(M273&gt;=100,"Strategic priority",IF(M273&gt;=30,"Long-term investment","Low priority / avoid"))))</f>
        <v/>
      </c>
      <c r="O273" s="20"/>
      <c r="P273" s="20"/>
    </row>
    <row r="274" customFormat="false" ht="15" hidden="false" customHeight="false" outlineLevel="0" collapsed="false">
      <c r="A274" s="20"/>
      <c r="B274" s="20"/>
      <c r="C274" s="20"/>
      <c r="D274" s="20"/>
      <c r="E274" s="20"/>
      <c r="F274" s="24"/>
      <c r="G274" s="20"/>
      <c r="H274" s="20"/>
      <c r="I274" s="20"/>
      <c r="J274" s="20"/>
      <c r="K274" s="20"/>
      <c r="L274" s="20"/>
      <c r="M274" s="25" t="str">
        <f aca="false">IF(COUNT(H274:L274)=5,H274*I274*J274*K274/L274,"")</f>
        <v/>
      </c>
      <c r="N274" s="26" t="str">
        <f aca="false">IF(M274="","",IF(AND(M274&gt;=100,L274&lt;=2),"Quick win",IF(M274&gt;=100,"Strategic priority",IF(M274&gt;=30,"Long-term investment","Low priority / avoid"))))</f>
        <v/>
      </c>
      <c r="O274" s="20"/>
      <c r="P274" s="20"/>
    </row>
    <row r="275" customFormat="false" ht="15" hidden="false" customHeight="false" outlineLevel="0" collapsed="false">
      <c r="A275" s="20"/>
      <c r="B275" s="20"/>
      <c r="C275" s="20"/>
      <c r="D275" s="20"/>
      <c r="E275" s="20"/>
      <c r="F275" s="24"/>
      <c r="G275" s="20"/>
      <c r="H275" s="20"/>
      <c r="I275" s="20"/>
      <c r="J275" s="20"/>
      <c r="K275" s="20"/>
      <c r="L275" s="20"/>
      <c r="M275" s="25" t="str">
        <f aca="false">IF(COUNT(H275:L275)=5,H275*I275*J275*K275/L275,"")</f>
        <v/>
      </c>
      <c r="N275" s="26" t="str">
        <f aca="false">IF(M275="","",IF(AND(M275&gt;=100,L275&lt;=2),"Quick win",IF(M275&gt;=100,"Strategic priority",IF(M275&gt;=30,"Long-term investment","Low priority / avoid"))))</f>
        <v/>
      </c>
      <c r="O275" s="20"/>
      <c r="P275" s="20"/>
    </row>
    <row r="276" customFormat="false" ht="15" hidden="false" customHeight="false" outlineLevel="0" collapsed="false">
      <c r="A276" s="20"/>
      <c r="B276" s="20"/>
      <c r="C276" s="20"/>
      <c r="D276" s="20"/>
      <c r="E276" s="20"/>
      <c r="F276" s="24"/>
      <c r="G276" s="20"/>
      <c r="H276" s="20"/>
      <c r="I276" s="20"/>
      <c r="J276" s="20"/>
      <c r="K276" s="20"/>
      <c r="L276" s="20"/>
      <c r="M276" s="25" t="str">
        <f aca="false">IF(COUNT(H276:L276)=5,H276*I276*J276*K276/L276,"")</f>
        <v/>
      </c>
      <c r="N276" s="26" t="str">
        <f aca="false">IF(M276="","",IF(AND(M276&gt;=100,L276&lt;=2),"Quick win",IF(M276&gt;=100,"Strategic priority",IF(M276&gt;=30,"Long-term investment","Low priority / avoid"))))</f>
        <v/>
      </c>
      <c r="O276" s="20"/>
      <c r="P276" s="20"/>
    </row>
    <row r="277" customFormat="false" ht="15" hidden="false" customHeight="false" outlineLevel="0" collapsed="false">
      <c r="A277" s="20"/>
      <c r="B277" s="20"/>
      <c r="C277" s="20"/>
      <c r="D277" s="20"/>
      <c r="E277" s="20"/>
      <c r="F277" s="24"/>
      <c r="G277" s="20"/>
      <c r="H277" s="20"/>
      <c r="I277" s="20"/>
      <c r="J277" s="20"/>
      <c r="K277" s="20"/>
      <c r="L277" s="20"/>
      <c r="M277" s="25" t="str">
        <f aca="false">IF(COUNT(H277:L277)=5,H277*I277*J277*K277/L277,"")</f>
        <v/>
      </c>
      <c r="N277" s="26" t="str">
        <f aca="false">IF(M277="","",IF(AND(M277&gt;=100,L277&lt;=2),"Quick win",IF(M277&gt;=100,"Strategic priority",IF(M277&gt;=30,"Long-term investment","Low priority / avoid"))))</f>
        <v/>
      </c>
      <c r="O277" s="20"/>
      <c r="P277" s="20"/>
    </row>
    <row r="278" customFormat="false" ht="15" hidden="false" customHeight="false" outlineLevel="0" collapsed="false">
      <c r="A278" s="20"/>
      <c r="B278" s="20"/>
      <c r="C278" s="20"/>
      <c r="D278" s="20"/>
      <c r="E278" s="20"/>
      <c r="F278" s="24"/>
      <c r="G278" s="20"/>
      <c r="H278" s="20"/>
      <c r="I278" s="20"/>
      <c r="J278" s="20"/>
      <c r="K278" s="20"/>
      <c r="L278" s="20"/>
      <c r="M278" s="25" t="str">
        <f aca="false">IF(COUNT(H278:L278)=5,H278*I278*J278*K278/L278,"")</f>
        <v/>
      </c>
      <c r="N278" s="26" t="str">
        <f aca="false">IF(M278="","",IF(AND(M278&gt;=100,L278&lt;=2),"Quick win",IF(M278&gt;=100,"Strategic priority",IF(M278&gt;=30,"Long-term investment","Low priority / avoid"))))</f>
        <v/>
      </c>
      <c r="O278" s="20"/>
      <c r="P278" s="20"/>
    </row>
    <row r="279" customFormat="false" ht="15" hidden="false" customHeight="false" outlineLevel="0" collapsed="false">
      <c r="A279" s="20"/>
      <c r="B279" s="20"/>
      <c r="C279" s="20"/>
      <c r="D279" s="20"/>
      <c r="E279" s="20"/>
      <c r="F279" s="24"/>
      <c r="G279" s="20"/>
      <c r="H279" s="20"/>
      <c r="I279" s="20"/>
      <c r="J279" s="20"/>
      <c r="K279" s="20"/>
      <c r="L279" s="20"/>
      <c r="M279" s="25" t="str">
        <f aca="false">IF(COUNT(H279:L279)=5,H279*I279*J279*K279/L279,"")</f>
        <v/>
      </c>
      <c r="N279" s="26" t="str">
        <f aca="false">IF(M279="","",IF(AND(M279&gt;=100,L279&lt;=2),"Quick win",IF(M279&gt;=100,"Strategic priority",IF(M279&gt;=30,"Long-term investment","Low priority / avoid"))))</f>
        <v/>
      </c>
      <c r="O279" s="20"/>
      <c r="P279" s="20"/>
    </row>
    <row r="280" customFormat="false" ht="15" hidden="false" customHeight="false" outlineLevel="0" collapsed="false">
      <c r="A280" s="20"/>
      <c r="B280" s="20"/>
      <c r="C280" s="20"/>
      <c r="D280" s="20"/>
      <c r="E280" s="20"/>
      <c r="F280" s="24"/>
      <c r="G280" s="20"/>
      <c r="H280" s="20"/>
      <c r="I280" s="20"/>
      <c r="J280" s="20"/>
      <c r="K280" s="20"/>
      <c r="L280" s="20"/>
      <c r="M280" s="25" t="str">
        <f aca="false">IF(COUNT(H280:L280)=5,H280*I280*J280*K280/L280,"")</f>
        <v/>
      </c>
      <c r="N280" s="26" t="str">
        <f aca="false">IF(M280="","",IF(AND(M280&gt;=100,L280&lt;=2),"Quick win",IF(M280&gt;=100,"Strategic priority",IF(M280&gt;=30,"Long-term investment","Low priority / avoid"))))</f>
        <v/>
      </c>
      <c r="O280" s="20"/>
      <c r="P280" s="20"/>
    </row>
    <row r="281" customFormat="false" ht="15" hidden="false" customHeight="false" outlineLevel="0" collapsed="false">
      <c r="A281" s="20"/>
      <c r="B281" s="20"/>
      <c r="C281" s="20"/>
      <c r="D281" s="20"/>
      <c r="E281" s="20"/>
      <c r="F281" s="24"/>
      <c r="G281" s="20"/>
      <c r="H281" s="20"/>
      <c r="I281" s="20"/>
      <c r="J281" s="20"/>
      <c r="K281" s="20"/>
      <c r="L281" s="20"/>
      <c r="M281" s="25" t="str">
        <f aca="false">IF(COUNT(H281:L281)=5,H281*I281*J281*K281/L281,"")</f>
        <v/>
      </c>
      <c r="N281" s="26" t="str">
        <f aca="false">IF(M281="","",IF(AND(M281&gt;=100,L281&lt;=2),"Quick win",IF(M281&gt;=100,"Strategic priority",IF(M281&gt;=30,"Long-term investment","Low priority / avoid"))))</f>
        <v/>
      </c>
      <c r="O281" s="20"/>
      <c r="P281" s="20"/>
    </row>
    <row r="282" customFormat="false" ht="15" hidden="false" customHeight="false" outlineLevel="0" collapsed="false">
      <c r="A282" s="20"/>
      <c r="B282" s="20"/>
      <c r="C282" s="20"/>
      <c r="D282" s="20"/>
      <c r="E282" s="20"/>
      <c r="F282" s="24"/>
      <c r="G282" s="20"/>
      <c r="H282" s="20"/>
      <c r="I282" s="20"/>
      <c r="J282" s="20"/>
      <c r="K282" s="20"/>
      <c r="L282" s="20"/>
      <c r="M282" s="25" t="str">
        <f aca="false">IF(COUNT(H282:L282)=5,H282*I282*J282*K282/L282,"")</f>
        <v/>
      </c>
      <c r="N282" s="26" t="str">
        <f aca="false">IF(M282="","",IF(AND(M282&gt;=100,L282&lt;=2),"Quick win",IF(M282&gt;=100,"Strategic priority",IF(M282&gt;=30,"Long-term investment","Low priority / avoid"))))</f>
        <v/>
      </c>
      <c r="O282" s="20"/>
      <c r="P282" s="20"/>
    </row>
    <row r="283" customFormat="false" ht="15" hidden="false" customHeight="false" outlineLevel="0" collapsed="false">
      <c r="A283" s="20"/>
      <c r="B283" s="20"/>
      <c r="C283" s="20"/>
      <c r="D283" s="20"/>
      <c r="E283" s="20"/>
      <c r="F283" s="24"/>
      <c r="G283" s="20"/>
      <c r="H283" s="20"/>
      <c r="I283" s="20"/>
      <c r="J283" s="20"/>
      <c r="K283" s="20"/>
      <c r="L283" s="20"/>
      <c r="M283" s="25" t="str">
        <f aca="false">IF(COUNT(H283:L283)=5,H283*I283*J283*K283/L283,"")</f>
        <v/>
      </c>
      <c r="N283" s="26" t="str">
        <f aca="false">IF(M283="","",IF(AND(M283&gt;=100,L283&lt;=2),"Quick win",IF(M283&gt;=100,"Strategic priority",IF(M283&gt;=30,"Long-term investment","Low priority / avoid"))))</f>
        <v/>
      </c>
      <c r="O283" s="20"/>
      <c r="P283" s="20"/>
    </row>
    <row r="284" customFormat="false" ht="15" hidden="false" customHeight="false" outlineLevel="0" collapsed="false">
      <c r="A284" s="20"/>
      <c r="B284" s="20"/>
      <c r="C284" s="20"/>
      <c r="D284" s="20"/>
      <c r="E284" s="20"/>
      <c r="F284" s="24"/>
      <c r="G284" s="20"/>
      <c r="H284" s="20"/>
      <c r="I284" s="20"/>
      <c r="J284" s="20"/>
      <c r="K284" s="20"/>
      <c r="L284" s="20"/>
      <c r="M284" s="25" t="str">
        <f aca="false">IF(COUNT(H284:L284)=5,H284*I284*J284*K284/L284,"")</f>
        <v/>
      </c>
      <c r="N284" s="26" t="str">
        <f aca="false">IF(M284="","",IF(AND(M284&gt;=100,L284&lt;=2),"Quick win",IF(M284&gt;=100,"Strategic priority",IF(M284&gt;=30,"Long-term investment","Low priority / avoid"))))</f>
        <v/>
      </c>
      <c r="O284" s="20"/>
      <c r="P284" s="20"/>
    </row>
    <row r="285" customFormat="false" ht="15" hidden="false" customHeight="false" outlineLevel="0" collapsed="false">
      <c r="A285" s="20"/>
      <c r="B285" s="20"/>
      <c r="C285" s="20"/>
      <c r="D285" s="20"/>
      <c r="E285" s="20"/>
      <c r="F285" s="24"/>
      <c r="G285" s="20"/>
      <c r="H285" s="20"/>
      <c r="I285" s="20"/>
      <c r="J285" s="20"/>
      <c r="K285" s="20"/>
      <c r="L285" s="20"/>
      <c r="M285" s="25" t="str">
        <f aca="false">IF(COUNT(H285:L285)=5,H285*I285*J285*K285/L285,"")</f>
        <v/>
      </c>
      <c r="N285" s="26" t="str">
        <f aca="false">IF(M285="","",IF(AND(M285&gt;=100,L285&lt;=2),"Quick win",IF(M285&gt;=100,"Strategic priority",IF(M285&gt;=30,"Long-term investment","Low priority / avoid"))))</f>
        <v/>
      </c>
      <c r="O285" s="20"/>
      <c r="P285" s="20"/>
    </row>
    <row r="286" customFormat="false" ht="15" hidden="false" customHeight="false" outlineLevel="0" collapsed="false">
      <c r="A286" s="20"/>
      <c r="B286" s="20"/>
      <c r="C286" s="20"/>
      <c r="D286" s="20"/>
      <c r="E286" s="20"/>
      <c r="F286" s="24"/>
      <c r="G286" s="20"/>
      <c r="H286" s="20"/>
      <c r="I286" s="20"/>
      <c r="J286" s="20"/>
      <c r="K286" s="20"/>
      <c r="L286" s="20"/>
      <c r="M286" s="25" t="str">
        <f aca="false">IF(COUNT(H286:L286)=5,H286*I286*J286*K286/L286,"")</f>
        <v/>
      </c>
      <c r="N286" s="26" t="str">
        <f aca="false">IF(M286="","",IF(AND(M286&gt;=100,L286&lt;=2),"Quick win",IF(M286&gt;=100,"Strategic priority",IF(M286&gt;=30,"Long-term investment","Low priority / avoid"))))</f>
        <v/>
      </c>
      <c r="O286" s="20"/>
      <c r="P286" s="20"/>
    </row>
    <row r="287" customFormat="false" ht="15" hidden="false" customHeight="false" outlineLevel="0" collapsed="false">
      <c r="A287" s="20"/>
      <c r="B287" s="20"/>
      <c r="C287" s="20"/>
      <c r="D287" s="20"/>
      <c r="E287" s="20"/>
      <c r="F287" s="24"/>
      <c r="G287" s="20"/>
      <c r="H287" s="20"/>
      <c r="I287" s="20"/>
      <c r="J287" s="20"/>
      <c r="K287" s="20"/>
      <c r="L287" s="20"/>
      <c r="M287" s="25" t="str">
        <f aca="false">IF(COUNT(H287:L287)=5,H287*I287*J287*K287/L287,"")</f>
        <v/>
      </c>
      <c r="N287" s="26" t="str">
        <f aca="false">IF(M287="","",IF(AND(M287&gt;=100,L287&lt;=2),"Quick win",IF(M287&gt;=100,"Strategic priority",IF(M287&gt;=30,"Long-term investment","Low priority / avoid"))))</f>
        <v/>
      </c>
      <c r="O287" s="20"/>
      <c r="P287" s="20"/>
    </row>
    <row r="288" customFormat="false" ht="15" hidden="false" customHeight="false" outlineLevel="0" collapsed="false">
      <c r="A288" s="20"/>
      <c r="B288" s="20"/>
      <c r="C288" s="20"/>
      <c r="D288" s="20"/>
      <c r="E288" s="20"/>
      <c r="F288" s="24"/>
      <c r="G288" s="20"/>
      <c r="H288" s="20"/>
      <c r="I288" s="20"/>
      <c r="J288" s="20"/>
      <c r="K288" s="20"/>
      <c r="L288" s="20"/>
      <c r="M288" s="25" t="str">
        <f aca="false">IF(COUNT(H288:L288)=5,H288*I288*J288*K288/L288,"")</f>
        <v/>
      </c>
      <c r="N288" s="26" t="str">
        <f aca="false">IF(M288="","",IF(AND(M288&gt;=100,L288&lt;=2),"Quick win",IF(M288&gt;=100,"Strategic priority",IF(M288&gt;=30,"Long-term investment","Low priority / avoid"))))</f>
        <v/>
      </c>
      <c r="O288" s="20"/>
      <c r="P288" s="20"/>
    </row>
    <row r="289" customFormat="false" ht="15" hidden="false" customHeight="false" outlineLevel="0" collapsed="false">
      <c r="A289" s="20"/>
      <c r="B289" s="20"/>
      <c r="C289" s="20"/>
      <c r="D289" s="20"/>
      <c r="E289" s="20"/>
      <c r="F289" s="24"/>
      <c r="G289" s="20"/>
      <c r="H289" s="20"/>
      <c r="I289" s="20"/>
      <c r="J289" s="20"/>
      <c r="K289" s="20"/>
      <c r="L289" s="20"/>
      <c r="M289" s="25" t="str">
        <f aca="false">IF(COUNT(H289:L289)=5,H289*I289*J289*K289/L289,"")</f>
        <v/>
      </c>
      <c r="N289" s="26" t="str">
        <f aca="false">IF(M289="","",IF(AND(M289&gt;=100,L289&lt;=2),"Quick win",IF(M289&gt;=100,"Strategic priority",IF(M289&gt;=30,"Long-term investment","Low priority / avoid"))))</f>
        <v/>
      </c>
      <c r="O289" s="20"/>
      <c r="P289" s="20"/>
    </row>
    <row r="290" customFormat="false" ht="15" hidden="false" customHeight="false" outlineLevel="0" collapsed="false">
      <c r="A290" s="20"/>
      <c r="B290" s="20"/>
      <c r="C290" s="20"/>
      <c r="D290" s="20"/>
      <c r="E290" s="20"/>
      <c r="F290" s="24"/>
      <c r="G290" s="20"/>
      <c r="H290" s="20"/>
      <c r="I290" s="20"/>
      <c r="J290" s="20"/>
      <c r="K290" s="20"/>
      <c r="L290" s="20"/>
      <c r="M290" s="25" t="str">
        <f aca="false">IF(COUNT(H290:L290)=5,H290*I290*J290*K290/L290,"")</f>
        <v/>
      </c>
      <c r="N290" s="26" t="str">
        <f aca="false">IF(M290="","",IF(AND(M290&gt;=100,L290&lt;=2),"Quick win",IF(M290&gt;=100,"Strategic priority",IF(M290&gt;=30,"Long-term investment","Low priority / avoid"))))</f>
        <v/>
      </c>
      <c r="O290" s="20"/>
      <c r="P290" s="20"/>
    </row>
    <row r="291" customFormat="false" ht="15" hidden="false" customHeight="false" outlineLevel="0" collapsed="false">
      <c r="A291" s="20"/>
      <c r="B291" s="20"/>
      <c r="C291" s="20"/>
      <c r="D291" s="20"/>
      <c r="E291" s="20"/>
      <c r="F291" s="24"/>
      <c r="G291" s="20"/>
      <c r="H291" s="20"/>
      <c r="I291" s="20"/>
      <c r="J291" s="20"/>
      <c r="K291" s="20"/>
      <c r="L291" s="20"/>
      <c r="M291" s="25" t="str">
        <f aca="false">IF(COUNT(H291:L291)=5,H291*I291*J291*K291/L291,"")</f>
        <v/>
      </c>
      <c r="N291" s="26" t="str">
        <f aca="false">IF(M291="","",IF(AND(M291&gt;=100,L291&lt;=2),"Quick win",IF(M291&gt;=100,"Strategic priority",IF(M291&gt;=30,"Long-term investment","Low priority / avoid"))))</f>
        <v/>
      </c>
      <c r="O291" s="20"/>
      <c r="P291" s="20"/>
    </row>
    <row r="292" customFormat="false" ht="15" hidden="false" customHeight="false" outlineLevel="0" collapsed="false">
      <c r="A292" s="20"/>
      <c r="B292" s="20"/>
      <c r="C292" s="20"/>
      <c r="D292" s="20"/>
      <c r="E292" s="20"/>
      <c r="F292" s="24"/>
      <c r="G292" s="20"/>
      <c r="H292" s="20"/>
      <c r="I292" s="20"/>
      <c r="J292" s="20"/>
      <c r="K292" s="20"/>
      <c r="L292" s="20"/>
      <c r="M292" s="25" t="str">
        <f aca="false">IF(COUNT(H292:L292)=5,H292*I292*J292*K292/L292,"")</f>
        <v/>
      </c>
      <c r="N292" s="26" t="str">
        <f aca="false">IF(M292="","",IF(AND(M292&gt;=100,L292&lt;=2),"Quick win",IF(M292&gt;=100,"Strategic priority",IF(M292&gt;=30,"Long-term investment","Low priority / avoid"))))</f>
        <v/>
      </c>
      <c r="O292" s="20"/>
      <c r="P292" s="20"/>
    </row>
    <row r="293" customFormat="false" ht="15" hidden="false" customHeight="false" outlineLevel="0" collapsed="false">
      <c r="A293" s="20"/>
      <c r="B293" s="20"/>
      <c r="C293" s="20"/>
      <c r="D293" s="20"/>
      <c r="E293" s="20"/>
      <c r="F293" s="24"/>
      <c r="G293" s="20"/>
      <c r="H293" s="20"/>
      <c r="I293" s="20"/>
      <c r="J293" s="20"/>
      <c r="K293" s="20"/>
      <c r="L293" s="20"/>
      <c r="M293" s="25" t="str">
        <f aca="false">IF(COUNT(H293:L293)=5,H293*I293*J293*K293/L293,"")</f>
        <v/>
      </c>
      <c r="N293" s="26" t="str">
        <f aca="false">IF(M293="","",IF(AND(M293&gt;=100,L293&lt;=2),"Quick win",IF(M293&gt;=100,"Strategic priority",IF(M293&gt;=30,"Long-term investment","Low priority / avoid"))))</f>
        <v/>
      </c>
      <c r="O293" s="20"/>
      <c r="P293" s="20"/>
    </row>
    <row r="294" customFormat="false" ht="15" hidden="false" customHeight="false" outlineLevel="0" collapsed="false">
      <c r="A294" s="20"/>
      <c r="B294" s="20"/>
      <c r="C294" s="20"/>
      <c r="D294" s="20"/>
      <c r="E294" s="20"/>
      <c r="F294" s="24"/>
      <c r="G294" s="20"/>
      <c r="H294" s="20"/>
      <c r="I294" s="20"/>
      <c r="J294" s="20"/>
      <c r="K294" s="20"/>
      <c r="L294" s="20"/>
      <c r="M294" s="25" t="str">
        <f aca="false">IF(COUNT(H294:L294)=5,H294*I294*J294*K294/L294,"")</f>
        <v/>
      </c>
      <c r="N294" s="26" t="str">
        <f aca="false">IF(M294="","",IF(AND(M294&gt;=100,L294&lt;=2),"Quick win",IF(M294&gt;=100,"Strategic priority",IF(M294&gt;=30,"Long-term investment","Low priority / avoid"))))</f>
        <v/>
      </c>
      <c r="O294" s="20"/>
      <c r="P294" s="20"/>
    </row>
    <row r="295" customFormat="false" ht="15" hidden="false" customHeight="false" outlineLevel="0" collapsed="false">
      <c r="A295" s="20"/>
      <c r="B295" s="20"/>
      <c r="C295" s="20"/>
      <c r="D295" s="20"/>
      <c r="E295" s="20"/>
      <c r="F295" s="24"/>
      <c r="G295" s="20"/>
      <c r="H295" s="20"/>
      <c r="I295" s="20"/>
      <c r="J295" s="20"/>
      <c r="K295" s="20"/>
      <c r="L295" s="20"/>
      <c r="M295" s="25" t="str">
        <f aca="false">IF(COUNT(H295:L295)=5,H295*I295*J295*K295/L295,"")</f>
        <v/>
      </c>
      <c r="N295" s="26" t="str">
        <f aca="false">IF(M295="","",IF(AND(M295&gt;=100,L295&lt;=2),"Quick win",IF(M295&gt;=100,"Strategic priority",IF(M295&gt;=30,"Long-term investment","Low priority / avoid"))))</f>
        <v/>
      </c>
      <c r="O295" s="20"/>
      <c r="P295" s="20"/>
    </row>
    <row r="296" customFormat="false" ht="15" hidden="false" customHeight="false" outlineLevel="0" collapsed="false">
      <c r="A296" s="20"/>
      <c r="B296" s="20"/>
      <c r="C296" s="20"/>
      <c r="D296" s="20"/>
      <c r="E296" s="20"/>
      <c r="F296" s="24"/>
      <c r="G296" s="20"/>
      <c r="H296" s="20"/>
      <c r="I296" s="20"/>
      <c r="J296" s="20"/>
      <c r="K296" s="20"/>
      <c r="L296" s="20"/>
      <c r="M296" s="25" t="str">
        <f aca="false">IF(COUNT(H296:L296)=5,H296*I296*J296*K296/L296,"")</f>
        <v/>
      </c>
      <c r="N296" s="26" t="str">
        <f aca="false">IF(M296="","",IF(AND(M296&gt;=100,L296&lt;=2),"Quick win",IF(M296&gt;=100,"Strategic priority",IF(M296&gt;=30,"Long-term investment","Low priority / avoid"))))</f>
        <v/>
      </c>
      <c r="O296" s="20"/>
      <c r="P296" s="20"/>
    </row>
    <row r="297" customFormat="false" ht="15" hidden="false" customHeight="false" outlineLevel="0" collapsed="false">
      <c r="A297" s="20"/>
      <c r="B297" s="20"/>
      <c r="C297" s="20"/>
      <c r="D297" s="20"/>
      <c r="E297" s="20"/>
      <c r="F297" s="24"/>
      <c r="G297" s="20"/>
      <c r="H297" s="20"/>
      <c r="I297" s="20"/>
      <c r="J297" s="20"/>
      <c r="K297" s="20"/>
      <c r="L297" s="20"/>
      <c r="M297" s="25" t="str">
        <f aca="false">IF(COUNT(H297:L297)=5,H297*I297*J297*K297/L297,"")</f>
        <v/>
      </c>
      <c r="N297" s="26" t="str">
        <f aca="false">IF(M297="","",IF(AND(M297&gt;=100,L297&lt;=2),"Quick win",IF(M297&gt;=100,"Strategic priority",IF(M297&gt;=30,"Long-term investment","Low priority / avoid"))))</f>
        <v/>
      </c>
      <c r="O297" s="20"/>
      <c r="P297" s="20"/>
    </row>
    <row r="298" customFormat="false" ht="15" hidden="false" customHeight="false" outlineLevel="0" collapsed="false">
      <c r="A298" s="20"/>
      <c r="B298" s="20"/>
      <c r="C298" s="20"/>
      <c r="D298" s="20"/>
      <c r="E298" s="20"/>
      <c r="F298" s="24"/>
      <c r="G298" s="20"/>
      <c r="H298" s="20"/>
      <c r="I298" s="20"/>
      <c r="J298" s="20"/>
      <c r="K298" s="20"/>
      <c r="L298" s="20"/>
      <c r="M298" s="25" t="str">
        <f aca="false">IF(COUNT(H298:L298)=5,H298*I298*J298*K298/L298,"")</f>
        <v/>
      </c>
      <c r="N298" s="26" t="str">
        <f aca="false">IF(M298="","",IF(AND(M298&gt;=100,L298&lt;=2),"Quick win",IF(M298&gt;=100,"Strategic priority",IF(M298&gt;=30,"Long-term investment","Low priority / avoid"))))</f>
        <v/>
      </c>
      <c r="O298" s="20"/>
      <c r="P298" s="20"/>
    </row>
    <row r="299" customFormat="false" ht="15" hidden="false" customHeight="false" outlineLevel="0" collapsed="false">
      <c r="A299" s="20"/>
      <c r="B299" s="20"/>
      <c r="C299" s="20"/>
      <c r="D299" s="20"/>
      <c r="E299" s="20"/>
      <c r="F299" s="24"/>
      <c r="G299" s="20"/>
      <c r="H299" s="20"/>
      <c r="I299" s="20"/>
      <c r="J299" s="20"/>
      <c r="K299" s="20"/>
      <c r="L299" s="20"/>
      <c r="M299" s="25" t="str">
        <f aca="false">IF(COUNT(H299:L299)=5,H299*I299*J299*K299/L299,"")</f>
        <v/>
      </c>
      <c r="N299" s="26" t="str">
        <f aca="false">IF(M299="","",IF(AND(M299&gt;=100,L299&lt;=2),"Quick win",IF(M299&gt;=100,"Strategic priority",IF(M299&gt;=30,"Long-term investment","Low priority / avoid"))))</f>
        <v/>
      </c>
      <c r="O299" s="20"/>
      <c r="P299" s="20"/>
    </row>
    <row r="300" customFormat="false" ht="15" hidden="false" customHeight="false" outlineLevel="0" collapsed="false">
      <c r="A300" s="20"/>
      <c r="B300" s="20"/>
      <c r="C300" s="20"/>
      <c r="D300" s="20"/>
      <c r="E300" s="20"/>
      <c r="F300" s="24"/>
      <c r="G300" s="20"/>
      <c r="H300" s="20"/>
      <c r="I300" s="20"/>
      <c r="J300" s="20"/>
      <c r="K300" s="20"/>
      <c r="L300" s="20"/>
      <c r="M300" s="25" t="str">
        <f aca="false">IF(COUNT(H300:L300)=5,H300*I300*J300*K300/L300,"")</f>
        <v/>
      </c>
      <c r="N300" s="26" t="str">
        <f aca="false">IF(M300="","",IF(AND(M300&gt;=100,L300&lt;=2),"Quick win",IF(M300&gt;=100,"Strategic priority",IF(M300&gt;=30,"Long-term investment","Low priority / avoid"))))</f>
        <v/>
      </c>
      <c r="O300" s="20"/>
      <c r="P300" s="20"/>
    </row>
    <row r="301" customFormat="false" ht="15" hidden="false" customHeight="false" outlineLevel="0" collapsed="false">
      <c r="A301" s="20"/>
      <c r="B301" s="20"/>
      <c r="C301" s="20"/>
      <c r="D301" s="20"/>
      <c r="E301" s="20"/>
      <c r="F301" s="24"/>
      <c r="G301" s="20"/>
      <c r="H301" s="20"/>
      <c r="I301" s="20"/>
      <c r="J301" s="20"/>
      <c r="K301" s="20"/>
      <c r="L301" s="20"/>
      <c r="M301" s="25" t="str">
        <f aca="false">IF(COUNT(H301:L301)=5,H301*I301*J301*K301/L301,"")</f>
        <v/>
      </c>
      <c r="N301" s="26" t="str">
        <f aca="false">IF(M301="","",IF(AND(M301&gt;=100,L301&lt;=2),"Quick win",IF(M301&gt;=100,"Strategic priority",IF(M301&gt;=30,"Long-term investment","Low priority / avoid"))))</f>
        <v/>
      </c>
      <c r="O301" s="20"/>
      <c r="P301" s="20"/>
    </row>
    <row r="302" customFormat="false" ht="15" hidden="false" customHeight="false" outlineLevel="0" collapsed="false">
      <c r="A302" s="20"/>
      <c r="B302" s="20"/>
      <c r="C302" s="20"/>
      <c r="D302" s="20"/>
      <c r="E302" s="20"/>
      <c r="F302" s="24"/>
      <c r="G302" s="20"/>
      <c r="H302" s="20"/>
      <c r="I302" s="20"/>
      <c r="J302" s="20"/>
      <c r="K302" s="20"/>
      <c r="L302" s="20"/>
      <c r="M302" s="25" t="str">
        <f aca="false">IF(COUNT(H302:L302)=5,H302*I302*J302*K302/L302,"")</f>
        <v/>
      </c>
      <c r="N302" s="26" t="str">
        <f aca="false">IF(M302="","",IF(AND(M302&gt;=100,L302&lt;=2),"Quick win",IF(M302&gt;=100,"Strategic priority",IF(M302&gt;=30,"Long-term investment","Low priority / avoid"))))</f>
        <v/>
      </c>
      <c r="O302" s="20"/>
      <c r="P302" s="20"/>
    </row>
    <row r="303" customFormat="false" ht="15" hidden="false" customHeight="false" outlineLevel="0" collapsed="false">
      <c r="A303" s="20"/>
      <c r="B303" s="20"/>
      <c r="C303" s="20"/>
      <c r="D303" s="20"/>
      <c r="E303" s="20"/>
      <c r="F303" s="24"/>
      <c r="G303" s="20"/>
      <c r="H303" s="20"/>
      <c r="I303" s="20"/>
      <c r="J303" s="20"/>
      <c r="K303" s="20"/>
      <c r="L303" s="20"/>
      <c r="M303" s="25" t="str">
        <f aca="false">IF(COUNT(H303:L303)=5,H303*I303*J303*K303/L303,"")</f>
        <v/>
      </c>
      <c r="N303" s="26" t="str">
        <f aca="false">IF(M303="","",IF(AND(M303&gt;=100,L303&lt;=2),"Quick win",IF(M303&gt;=100,"Strategic priority",IF(M303&gt;=30,"Long-term investment","Low priority / avoid"))))</f>
        <v/>
      </c>
      <c r="O303" s="20"/>
      <c r="P303" s="20"/>
    </row>
    <row r="304" customFormat="false" ht="15" hidden="false" customHeight="false" outlineLevel="0" collapsed="false">
      <c r="A304" s="20"/>
      <c r="B304" s="20"/>
      <c r="C304" s="20"/>
      <c r="D304" s="20"/>
      <c r="E304" s="20"/>
      <c r="F304" s="24"/>
      <c r="G304" s="20"/>
      <c r="H304" s="20"/>
      <c r="I304" s="20"/>
      <c r="J304" s="20"/>
      <c r="K304" s="20"/>
      <c r="L304" s="20"/>
      <c r="M304" s="25" t="str">
        <f aca="false">IF(COUNT(H304:L304)=5,H304*I304*J304*K304/L304,"")</f>
        <v/>
      </c>
      <c r="N304" s="26" t="str">
        <f aca="false">IF(M304="","",IF(AND(M304&gt;=100,L304&lt;=2),"Quick win",IF(M304&gt;=100,"Strategic priority",IF(M304&gt;=30,"Long-term investment","Low priority / avoid"))))</f>
        <v/>
      </c>
      <c r="O304" s="20"/>
      <c r="P304" s="20"/>
    </row>
  </sheetData>
  <autoFilter ref="A4:P304"/>
  <dataValidations count="2">
    <dataValidation allowBlank="true" errorStyle="stop" operator="between" showDropDown="false" showErrorMessage="false" showInputMessage="false" sqref="B5:B304" type="list">
      <formula1>Lists!$F$2:$F$12</formula1>
      <formula2>0</formula2>
    </dataValidation>
    <dataValidation allowBlank="true" errorStyle="stop" operator="between" showDropDown="false" showErrorMessage="false" showInputMessage="false" sqref="C5:C304" type="list">
      <formula1>Lists!$G$2:$G$7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0"/>
    <col collapsed="false" customWidth="true" hidden="false" outlineLevel="0" max="3" min="3" style="0" width="14"/>
    <col collapsed="false" customWidth="true" hidden="false" outlineLevel="0" max="4" min="4" style="0" width="32"/>
    <col collapsed="false" customWidth="true" hidden="false" outlineLevel="0" max="5" min="5" style="0" width="12"/>
    <col collapsed="false" customWidth="true" hidden="false" outlineLevel="0" max="9" min="6" style="0" width="9"/>
    <col collapsed="false" customWidth="true" hidden="false" outlineLevel="0" max="10" min="10" style="0" width="10"/>
    <col collapsed="false" customWidth="true" hidden="false" outlineLevel="0" max="11" min="11" style="0" width="14"/>
    <col collapsed="false" customWidth="true" hidden="false" outlineLevel="0" max="12" min="12" style="0" width="18"/>
    <col collapsed="false" customWidth="true" hidden="false" outlineLevel="0" max="13" min="13" style="0" width="10"/>
  </cols>
  <sheetData>
    <row r="1" customFormat="false" ht="19.7" hidden="false" customHeight="false" outlineLevel="0" collapsed="false">
      <c r="A1" s="1" t="s">
        <v>441</v>
      </c>
    </row>
    <row r="2" customFormat="false" ht="15" hidden="false" customHeight="false" outlineLevel="0" collapsed="false">
      <c r="A2" s="2" t="s">
        <v>442</v>
      </c>
    </row>
    <row r="4" customFormat="false" ht="31.5" hidden="false" customHeight="true" outlineLevel="0" collapsed="false">
      <c r="A4" s="9" t="s">
        <v>117</v>
      </c>
      <c r="B4" s="9" t="s">
        <v>111</v>
      </c>
      <c r="C4" s="9" t="s">
        <v>443</v>
      </c>
      <c r="D4" s="9" t="s">
        <v>444</v>
      </c>
      <c r="E4" s="9" t="s">
        <v>445</v>
      </c>
      <c r="F4" s="9" t="s">
        <v>446</v>
      </c>
      <c r="G4" s="9" t="s">
        <v>447</v>
      </c>
      <c r="H4" s="9" t="s">
        <v>448</v>
      </c>
      <c r="I4" s="9" t="s">
        <v>449</v>
      </c>
      <c r="J4" s="9" t="s">
        <v>450</v>
      </c>
      <c r="K4" s="9" t="s">
        <v>72</v>
      </c>
      <c r="L4" s="9" t="s">
        <v>451</v>
      </c>
      <c r="M4" s="9" t="s">
        <v>420</v>
      </c>
    </row>
    <row r="5" customFormat="false" ht="15" hidden="false" customHeight="fals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6" t="str">
        <f aca="false">IF(COUNT(F5:I5)=0,"",LOOKUP(2,1/ISNUMBER(F5:I5),F5:I5))</f>
        <v/>
      </c>
      <c r="K5" s="26" t="str">
        <f aca="false">IF(OR(E5="",J5=""),"",E5-J5)</f>
        <v/>
      </c>
      <c r="L5" s="20"/>
      <c r="M5" s="20"/>
    </row>
    <row r="6" customFormat="false" ht="15" hidden="false" customHeight="false" outlineLevel="0" collapsed="false">
      <c r="A6" s="20"/>
      <c r="B6" s="20"/>
      <c r="C6" s="20"/>
      <c r="D6" s="20"/>
      <c r="E6" s="20"/>
      <c r="F6" s="20"/>
      <c r="G6" s="20"/>
      <c r="H6" s="20"/>
      <c r="I6" s="20"/>
      <c r="J6" s="26" t="str">
        <f aca="false">IF(COUNT(F6:I6)=0,"",LOOKUP(2,1/ISNUMBER(F6:I6),F6:I6))</f>
        <v/>
      </c>
      <c r="K6" s="26" t="str">
        <f aca="false">IF(OR(E6="",J6=""),"",E6-J6)</f>
        <v/>
      </c>
      <c r="L6" s="20"/>
      <c r="M6" s="20"/>
    </row>
    <row r="7" customFormat="false" ht="15" hidden="false" customHeight="false" outlineLevel="0" collapsed="false">
      <c r="A7" s="20"/>
      <c r="B7" s="20"/>
      <c r="C7" s="20"/>
      <c r="D7" s="20"/>
      <c r="E7" s="20"/>
      <c r="F7" s="20"/>
      <c r="G7" s="20"/>
      <c r="H7" s="20"/>
      <c r="I7" s="20"/>
      <c r="J7" s="26" t="str">
        <f aca="false">IF(COUNT(F7:I7)=0,"",LOOKUP(2,1/ISNUMBER(F7:I7),F7:I7))</f>
        <v/>
      </c>
      <c r="K7" s="26" t="str">
        <f aca="false">IF(OR(E7="",J7=""),"",E7-J7)</f>
        <v/>
      </c>
      <c r="L7" s="20"/>
      <c r="M7" s="20"/>
    </row>
    <row r="8" customFormat="false" ht="15" hidden="false" customHeight="fals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6" t="str">
        <f aca="false">IF(COUNT(F8:I8)=0,"",LOOKUP(2,1/ISNUMBER(F8:I8),F8:I8))</f>
        <v/>
      </c>
      <c r="K8" s="26" t="str">
        <f aca="false">IF(OR(E8="",J8=""),"",E8-J8)</f>
        <v/>
      </c>
      <c r="L8" s="20"/>
      <c r="M8" s="20"/>
    </row>
    <row r="9" customFormat="false" ht="15" hidden="false" customHeight="fals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6" t="str">
        <f aca="false">IF(COUNT(F9:I9)=0,"",LOOKUP(2,1/ISNUMBER(F9:I9),F9:I9))</f>
        <v/>
      </c>
      <c r="K9" s="26" t="str">
        <f aca="false">IF(OR(E9="",J9=""),"",E9-J9)</f>
        <v/>
      </c>
      <c r="L9" s="20"/>
      <c r="M9" s="20"/>
    </row>
    <row r="10" customFormat="false" ht="15" hidden="false" customHeight="fals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6" t="str">
        <f aca="false">IF(COUNT(F10:I10)=0,"",LOOKUP(2,1/ISNUMBER(F10:I10),F10:I10))</f>
        <v/>
      </c>
      <c r="K10" s="26" t="str">
        <f aca="false">IF(OR(E10="",J10=""),"",E10-J10)</f>
        <v/>
      </c>
      <c r="L10" s="20"/>
      <c r="M10" s="20"/>
    </row>
    <row r="11" customFormat="false" ht="15" hidden="false" customHeight="fals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6" t="str">
        <f aca="false">IF(COUNT(F11:I11)=0,"",LOOKUP(2,1/ISNUMBER(F11:I11),F11:I11))</f>
        <v/>
      </c>
      <c r="K11" s="26" t="str">
        <f aca="false">IF(OR(E11="",J11=""),"",E11-J11)</f>
        <v/>
      </c>
      <c r="L11" s="20"/>
      <c r="M11" s="20"/>
    </row>
    <row r="12" customFormat="false" ht="15" hidden="false" customHeight="fals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6" t="str">
        <f aca="false">IF(COUNT(F12:I12)=0,"",LOOKUP(2,1/ISNUMBER(F12:I12),F12:I12))</f>
        <v/>
      </c>
      <c r="K12" s="26" t="str">
        <f aca="false">IF(OR(E12="",J12=""),"",E12-J12)</f>
        <v/>
      </c>
      <c r="L12" s="20"/>
      <c r="M12" s="20"/>
    </row>
    <row r="13" customFormat="false" ht="15" hidden="false" customHeight="fals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6" t="str">
        <f aca="false">IF(COUNT(F13:I13)=0,"",LOOKUP(2,1/ISNUMBER(F13:I13),F13:I13))</f>
        <v/>
      </c>
      <c r="K13" s="26" t="str">
        <f aca="false">IF(OR(E13="",J13=""),"",E13-J13)</f>
        <v/>
      </c>
      <c r="L13" s="20"/>
      <c r="M13" s="20"/>
    </row>
    <row r="14" customFormat="false" ht="15" hidden="false" customHeight="fals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6" t="str">
        <f aca="false">IF(COUNT(F14:I14)=0,"",LOOKUP(2,1/ISNUMBER(F14:I14),F14:I14))</f>
        <v/>
      </c>
      <c r="K14" s="26" t="str">
        <f aca="false">IF(OR(E14="",J14=""),"",E14-J14)</f>
        <v/>
      </c>
      <c r="L14" s="20"/>
      <c r="M14" s="20"/>
    </row>
    <row r="15" customFormat="false" ht="15" hidden="false" customHeight="false" outlineLevel="0" collapsed="false">
      <c r="A15" s="20"/>
      <c r="B15" s="20"/>
      <c r="C15" s="20"/>
      <c r="D15" s="20"/>
      <c r="E15" s="20"/>
      <c r="F15" s="20"/>
      <c r="G15" s="20"/>
      <c r="H15" s="20"/>
      <c r="I15" s="20"/>
      <c r="J15" s="26" t="str">
        <f aca="false">IF(COUNT(F15:I15)=0,"",LOOKUP(2,1/ISNUMBER(F15:I15),F15:I15))</f>
        <v/>
      </c>
      <c r="K15" s="26" t="str">
        <f aca="false">IF(OR(E15="",J15=""),"",E15-J15)</f>
        <v/>
      </c>
      <c r="L15" s="20"/>
      <c r="M15" s="20"/>
    </row>
    <row r="16" customFormat="false" ht="15" hidden="false" customHeight="false" outlineLevel="0" collapsed="false">
      <c r="A16" s="20"/>
      <c r="B16" s="20"/>
      <c r="C16" s="20"/>
      <c r="D16" s="20"/>
      <c r="E16" s="20"/>
      <c r="F16" s="20"/>
      <c r="G16" s="20"/>
      <c r="H16" s="20"/>
      <c r="I16" s="20"/>
      <c r="J16" s="26" t="str">
        <f aca="false">IF(COUNT(F16:I16)=0,"",LOOKUP(2,1/ISNUMBER(F16:I16),F16:I16))</f>
        <v/>
      </c>
      <c r="K16" s="26" t="str">
        <f aca="false">IF(OR(E16="",J16=""),"",E16-J16)</f>
        <v/>
      </c>
      <c r="L16" s="20"/>
      <c r="M16" s="20"/>
    </row>
    <row r="17" customFormat="false" ht="15" hidden="false" customHeight="false" outlineLevel="0" collapsed="false">
      <c r="A17" s="20"/>
      <c r="B17" s="20"/>
      <c r="C17" s="20"/>
      <c r="D17" s="20"/>
      <c r="E17" s="20"/>
      <c r="F17" s="20"/>
      <c r="G17" s="20"/>
      <c r="H17" s="20"/>
      <c r="I17" s="20"/>
      <c r="J17" s="26" t="str">
        <f aca="false">IF(COUNT(F17:I17)=0,"",LOOKUP(2,1/ISNUMBER(F17:I17),F17:I17))</f>
        <v/>
      </c>
      <c r="K17" s="26" t="str">
        <f aca="false">IF(OR(E17="",J17=""),"",E17-J17)</f>
        <v/>
      </c>
      <c r="L17" s="20"/>
      <c r="M17" s="20"/>
    </row>
    <row r="18" customFormat="false" ht="15" hidden="false" customHeight="false" outlineLevel="0" collapsed="false">
      <c r="A18" s="20"/>
      <c r="B18" s="20"/>
      <c r="C18" s="20"/>
      <c r="D18" s="20"/>
      <c r="E18" s="20"/>
      <c r="F18" s="20"/>
      <c r="G18" s="20"/>
      <c r="H18" s="20"/>
      <c r="I18" s="20"/>
      <c r="J18" s="26" t="str">
        <f aca="false">IF(COUNT(F18:I18)=0,"",LOOKUP(2,1/ISNUMBER(F18:I18),F18:I18))</f>
        <v/>
      </c>
      <c r="K18" s="26" t="str">
        <f aca="false">IF(OR(E18="",J18=""),"",E18-J18)</f>
        <v/>
      </c>
      <c r="L18" s="20"/>
      <c r="M18" s="20"/>
    </row>
    <row r="19" customFormat="false" ht="15" hidden="false" customHeight="false" outlineLevel="0" collapsed="false">
      <c r="A19" s="20"/>
      <c r="B19" s="20"/>
      <c r="C19" s="20"/>
      <c r="D19" s="20"/>
      <c r="E19" s="20"/>
      <c r="F19" s="20"/>
      <c r="G19" s="20"/>
      <c r="H19" s="20"/>
      <c r="I19" s="20"/>
      <c r="J19" s="26" t="str">
        <f aca="false">IF(COUNT(F19:I19)=0,"",LOOKUP(2,1/ISNUMBER(F19:I19),F19:I19))</f>
        <v/>
      </c>
      <c r="K19" s="26" t="str">
        <f aca="false">IF(OR(E19="",J19=""),"",E19-J19)</f>
        <v/>
      </c>
      <c r="L19" s="20"/>
      <c r="M19" s="20"/>
    </row>
    <row r="20" customFormat="false" ht="15" hidden="false" customHeight="fals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6" t="str">
        <f aca="false">IF(COUNT(F20:I20)=0,"",LOOKUP(2,1/ISNUMBER(F20:I20),F20:I20))</f>
        <v/>
      </c>
      <c r="K20" s="26" t="str">
        <f aca="false">IF(OR(E20="",J20=""),"",E20-J20)</f>
        <v/>
      </c>
      <c r="L20" s="20"/>
      <c r="M20" s="20"/>
    </row>
    <row r="21" customFormat="false" ht="15" hidden="false" customHeight="fals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6" t="str">
        <f aca="false">IF(COUNT(F21:I21)=0,"",LOOKUP(2,1/ISNUMBER(F21:I21),F21:I21))</f>
        <v/>
      </c>
      <c r="K21" s="26" t="str">
        <f aca="false">IF(OR(E21="",J21=""),"",E21-J21)</f>
        <v/>
      </c>
      <c r="L21" s="20"/>
      <c r="M21" s="20"/>
    </row>
    <row r="22" customFormat="false" ht="15" hidden="false" customHeight="fals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6" t="str">
        <f aca="false">IF(COUNT(F22:I22)=0,"",LOOKUP(2,1/ISNUMBER(F22:I22),F22:I22))</f>
        <v/>
      </c>
      <c r="K22" s="26" t="str">
        <f aca="false">IF(OR(E22="",J22=""),"",E22-J22)</f>
        <v/>
      </c>
      <c r="L22" s="20"/>
      <c r="M22" s="20"/>
    </row>
    <row r="23" customFormat="false" ht="15" hidden="false" customHeight="fals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6" t="str">
        <f aca="false">IF(COUNT(F23:I23)=0,"",LOOKUP(2,1/ISNUMBER(F23:I23),F23:I23))</f>
        <v/>
      </c>
      <c r="K23" s="26" t="str">
        <f aca="false">IF(OR(E23="",J23=""),"",E23-J23)</f>
        <v/>
      </c>
      <c r="L23" s="20"/>
      <c r="M23" s="20"/>
    </row>
    <row r="24" customFormat="false" ht="15" hidden="false" customHeight="fals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6" t="str">
        <f aca="false">IF(COUNT(F24:I24)=0,"",LOOKUP(2,1/ISNUMBER(F24:I24),F24:I24))</f>
        <v/>
      </c>
      <c r="K24" s="26" t="str">
        <f aca="false">IF(OR(E24="",J24=""),"",E24-J24)</f>
        <v/>
      </c>
      <c r="L24" s="20"/>
      <c r="M24" s="20"/>
    </row>
    <row r="25" customFormat="false" ht="15" hidden="false" customHeight="fals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6" t="str">
        <f aca="false">IF(COUNT(F25:I25)=0,"",LOOKUP(2,1/ISNUMBER(F25:I25),F25:I25))</f>
        <v/>
      </c>
      <c r="K25" s="26" t="str">
        <f aca="false">IF(OR(E25="",J25=""),"",E25-J25)</f>
        <v/>
      </c>
      <c r="L25" s="20"/>
      <c r="M25" s="20"/>
    </row>
    <row r="26" customFormat="false" ht="15" hidden="false" customHeight="fals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6" t="str">
        <f aca="false">IF(COUNT(F26:I26)=0,"",LOOKUP(2,1/ISNUMBER(F26:I26),F26:I26))</f>
        <v/>
      </c>
      <c r="K26" s="26" t="str">
        <f aca="false">IF(OR(E26="",J26=""),"",E26-J26)</f>
        <v/>
      </c>
      <c r="L26" s="20"/>
      <c r="M26" s="20"/>
    </row>
    <row r="27" customFormat="false" ht="15" hidden="false" customHeight="fals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6" t="str">
        <f aca="false">IF(COUNT(F27:I27)=0,"",LOOKUP(2,1/ISNUMBER(F27:I27),F27:I27))</f>
        <v/>
      </c>
      <c r="K27" s="26" t="str">
        <f aca="false">IF(OR(E27="",J27=""),"",E27-J27)</f>
        <v/>
      </c>
      <c r="L27" s="20"/>
      <c r="M27" s="20"/>
    </row>
    <row r="28" customFormat="false" ht="15" hidden="false" customHeight="fals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6" t="str">
        <f aca="false">IF(COUNT(F28:I28)=0,"",LOOKUP(2,1/ISNUMBER(F28:I28),F28:I28))</f>
        <v/>
      </c>
      <c r="K28" s="26" t="str">
        <f aca="false">IF(OR(E28="",J28=""),"",E28-J28)</f>
        <v/>
      </c>
      <c r="L28" s="20"/>
      <c r="M28" s="20"/>
    </row>
    <row r="29" customFormat="false" ht="15" hidden="false" customHeight="fals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6" t="str">
        <f aca="false">IF(COUNT(F29:I29)=0,"",LOOKUP(2,1/ISNUMBER(F29:I29),F29:I29))</f>
        <v/>
      </c>
      <c r="K29" s="26" t="str">
        <f aca="false">IF(OR(E29="",J29=""),"",E29-J29)</f>
        <v/>
      </c>
      <c r="L29" s="20"/>
      <c r="M29" s="20"/>
    </row>
    <row r="30" customFormat="false" ht="15" hidden="false" customHeight="fals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6" t="str">
        <f aca="false">IF(COUNT(F30:I30)=0,"",LOOKUP(2,1/ISNUMBER(F30:I30),F30:I30))</f>
        <v/>
      </c>
      <c r="K30" s="26" t="str">
        <f aca="false">IF(OR(E30="",J30=""),"",E30-J30)</f>
        <v/>
      </c>
      <c r="L30" s="20"/>
      <c r="M30" s="20"/>
    </row>
    <row r="31" customFormat="false" ht="15" hidden="false" customHeight="fals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6" t="str">
        <f aca="false">IF(COUNT(F31:I31)=0,"",LOOKUP(2,1/ISNUMBER(F31:I31),F31:I31))</f>
        <v/>
      </c>
      <c r="K31" s="26" t="str">
        <f aca="false">IF(OR(E31="",J31=""),"",E31-J31)</f>
        <v/>
      </c>
      <c r="L31" s="20"/>
      <c r="M31" s="20"/>
    </row>
    <row r="32" customFormat="false" ht="15" hidden="false" customHeight="false" outlineLevel="0" collapsed="false">
      <c r="A32" s="20"/>
      <c r="B32" s="20"/>
      <c r="C32" s="20"/>
      <c r="D32" s="20"/>
      <c r="E32" s="20"/>
      <c r="F32" s="20"/>
      <c r="G32" s="20"/>
      <c r="H32" s="20"/>
      <c r="I32" s="20"/>
      <c r="J32" s="26" t="str">
        <f aca="false">IF(COUNT(F32:I32)=0,"",LOOKUP(2,1/ISNUMBER(F32:I32),F32:I32))</f>
        <v/>
      </c>
      <c r="K32" s="26" t="str">
        <f aca="false">IF(OR(E32="",J32=""),"",E32-J32)</f>
        <v/>
      </c>
      <c r="L32" s="20"/>
      <c r="M32" s="20"/>
    </row>
    <row r="33" customFormat="false" ht="15" hidden="false" customHeight="false" outlineLevel="0" collapsed="false">
      <c r="A33" s="20"/>
      <c r="B33" s="20"/>
      <c r="C33" s="20"/>
      <c r="D33" s="20"/>
      <c r="E33" s="20"/>
      <c r="F33" s="20"/>
      <c r="G33" s="20"/>
      <c r="H33" s="20"/>
      <c r="I33" s="20"/>
      <c r="J33" s="26" t="str">
        <f aca="false">IF(COUNT(F33:I33)=0,"",LOOKUP(2,1/ISNUMBER(F33:I33),F33:I33))</f>
        <v/>
      </c>
      <c r="K33" s="26" t="str">
        <f aca="false">IF(OR(E33="",J33=""),"",E33-J33)</f>
        <v/>
      </c>
      <c r="L33" s="20"/>
      <c r="M33" s="20"/>
    </row>
    <row r="34" customFormat="false" ht="15" hidden="false" customHeight="fals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6" t="str">
        <f aca="false">IF(COUNT(F34:I34)=0,"",LOOKUP(2,1/ISNUMBER(F34:I34),F34:I34))</f>
        <v/>
      </c>
      <c r="K34" s="26" t="str">
        <f aca="false">IF(OR(E34="",J34=""),"",E34-J34)</f>
        <v/>
      </c>
      <c r="L34" s="20"/>
      <c r="M34" s="20"/>
    </row>
    <row r="35" customFormat="false" ht="15" hidden="false" customHeight="fals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6" t="str">
        <f aca="false">IF(COUNT(F35:I35)=0,"",LOOKUP(2,1/ISNUMBER(F35:I35),F35:I35))</f>
        <v/>
      </c>
      <c r="K35" s="26" t="str">
        <f aca="false">IF(OR(E35="",J35=""),"",E35-J35)</f>
        <v/>
      </c>
      <c r="L35" s="20"/>
      <c r="M35" s="20"/>
    </row>
    <row r="36" customFormat="false" ht="15" hidden="false" customHeight="fals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6" t="str">
        <f aca="false">IF(COUNT(F36:I36)=0,"",LOOKUP(2,1/ISNUMBER(F36:I36),F36:I36))</f>
        <v/>
      </c>
      <c r="K36" s="26" t="str">
        <f aca="false">IF(OR(E36="",J36=""),"",E36-J36)</f>
        <v/>
      </c>
      <c r="L36" s="20"/>
      <c r="M36" s="20"/>
    </row>
    <row r="37" customFormat="false" ht="15" hidden="false" customHeight="fals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6" t="str">
        <f aca="false">IF(COUNT(F37:I37)=0,"",LOOKUP(2,1/ISNUMBER(F37:I37),F37:I37))</f>
        <v/>
      </c>
      <c r="K37" s="26" t="str">
        <f aca="false">IF(OR(E37="",J37=""),"",E37-J37)</f>
        <v/>
      </c>
      <c r="L37" s="20"/>
      <c r="M37" s="20"/>
    </row>
    <row r="38" customFormat="false" ht="15" hidden="false" customHeight="fals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6" t="str">
        <f aca="false">IF(COUNT(F38:I38)=0,"",LOOKUP(2,1/ISNUMBER(F38:I38),F38:I38))</f>
        <v/>
      </c>
      <c r="K38" s="26" t="str">
        <f aca="false">IF(OR(E38="",J38=""),"",E38-J38)</f>
        <v/>
      </c>
      <c r="L38" s="20"/>
      <c r="M38" s="20"/>
    </row>
    <row r="39" customFormat="false" ht="15" hidden="false" customHeight="fals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6" t="str">
        <f aca="false">IF(COUNT(F39:I39)=0,"",LOOKUP(2,1/ISNUMBER(F39:I39),F39:I39))</f>
        <v/>
      </c>
      <c r="K39" s="26" t="str">
        <f aca="false">IF(OR(E39="",J39=""),"",E39-J39)</f>
        <v/>
      </c>
      <c r="L39" s="20"/>
      <c r="M39" s="20"/>
    </row>
    <row r="40" customFormat="false" ht="15" hidden="false" customHeight="fals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6" t="str">
        <f aca="false">IF(COUNT(F40:I40)=0,"",LOOKUP(2,1/ISNUMBER(F40:I40),F40:I40))</f>
        <v/>
      </c>
      <c r="K40" s="26" t="str">
        <f aca="false">IF(OR(E40="",J40=""),"",E40-J40)</f>
        <v/>
      </c>
      <c r="L40" s="20"/>
      <c r="M40" s="20"/>
    </row>
    <row r="41" customFormat="false" ht="15" hidden="false" customHeight="fals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6" t="str">
        <f aca="false">IF(COUNT(F41:I41)=0,"",LOOKUP(2,1/ISNUMBER(F41:I41),F41:I41))</f>
        <v/>
      </c>
      <c r="K41" s="26" t="str">
        <f aca="false">IF(OR(E41="",J41=""),"",E41-J41)</f>
        <v/>
      </c>
      <c r="L41" s="20"/>
      <c r="M41" s="20"/>
    </row>
    <row r="42" customFormat="false" ht="15" hidden="false" customHeight="fals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6" t="str">
        <f aca="false">IF(COUNT(F42:I42)=0,"",LOOKUP(2,1/ISNUMBER(F42:I42),F42:I42))</f>
        <v/>
      </c>
      <c r="K42" s="26" t="str">
        <f aca="false">IF(OR(E42="",J42=""),"",E42-J42)</f>
        <v/>
      </c>
      <c r="L42" s="20"/>
      <c r="M42" s="20"/>
    </row>
    <row r="43" customFormat="false" ht="15" hidden="false" customHeight="fals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6" t="str">
        <f aca="false">IF(COUNT(F43:I43)=0,"",LOOKUP(2,1/ISNUMBER(F43:I43),F43:I43))</f>
        <v/>
      </c>
      <c r="K43" s="26" t="str">
        <f aca="false">IF(OR(E43="",J43=""),"",E43-J43)</f>
        <v/>
      </c>
      <c r="L43" s="20"/>
      <c r="M43" s="20"/>
    </row>
    <row r="44" customFormat="false" ht="15" hidden="false" customHeight="fals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6" t="str">
        <f aca="false">IF(COUNT(F44:I44)=0,"",LOOKUP(2,1/ISNUMBER(F44:I44),F44:I44))</f>
        <v/>
      </c>
      <c r="K44" s="26" t="str">
        <f aca="false">IF(OR(E44="",J44=""),"",E44-J44)</f>
        <v/>
      </c>
      <c r="L44" s="20"/>
      <c r="M44" s="20"/>
    </row>
    <row r="45" customFormat="false" ht="15" hidden="false" customHeight="fals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6" t="str">
        <f aca="false">IF(COUNT(F45:I45)=0,"",LOOKUP(2,1/ISNUMBER(F45:I45),F45:I45))</f>
        <v/>
      </c>
      <c r="K45" s="26" t="str">
        <f aca="false">IF(OR(E45="",J45=""),"",E45-J45)</f>
        <v/>
      </c>
      <c r="L45" s="20"/>
      <c r="M45" s="20"/>
    </row>
    <row r="46" customFormat="false" ht="15" hidden="false" customHeight="fals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6" t="str">
        <f aca="false">IF(COUNT(F46:I46)=0,"",LOOKUP(2,1/ISNUMBER(F46:I46),F46:I46))</f>
        <v/>
      </c>
      <c r="K46" s="26" t="str">
        <f aca="false">IF(OR(E46="",J46=""),"",E46-J46)</f>
        <v/>
      </c>
      <c r="L46" s="20"/>
      <c r="M46" s="20"/>
    </row>
    <row r="47" customFormat="false" ht="15" hidden="false" customHeight="fals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6" t="str">
        <f aca="false">IF(COUNT(F47:I47)=0,"",LOOKUP(2,1/ISNUMBER(F47:I47),F47:I47))</f>
        <v/>
      </c>
      <c r="K47" s="26" t="str">
        <f aca="false">IF(OR(E47="",J47=""),"",E47-J47)</f>
        <v/>
      </c>
      <c r="L47" s="20"/>
      <c r="M47" s="20"/>
    </row>
    <row r="48" customFormat="false" ht="15" hidden="false" customHeight="fals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6" t="str">
        <f aca="false">IF(COUNT(F48:I48)=0,"",LOOKUP(2,1/ISNUMBER(F48:I48),F48:I48))</f>
        <v/>
      </c>
      <c r="K48" s="26" t="str">
        <f aca="false">IF(OR(E48="",J48=""),"",E48-J48)</f>
        <v/>
      </c>
      <c r="L48" s="20"/>
      <c r="M48" s="20"/>
    </row>
    <row r="49" customFormat="false" ht="15" hidden="false" customHeight="fals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6" t="str">
        <f aca="false">IF(COUNT(F49:I49)=0,"",LOOKUP(2,1/ISNUMBER(F49:I49),F49:I49))</f>
        <v/>
      </c>
      <c r="K49" s="26" t="str">
        <f aca="false">IF(OR(E49="",J49=""),"",E49-J49)</f>
        <v/>
      </c>
      <c r="L49" s="20"/>
      <c r="M49" s="20"/>
    </row>
    <row r="50" customFormat="false" ht="15" hidden="false" customHeight="fals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6" t="str">
        <f aca="false">IF(COUNT(F50:I50)=0,"",LOOKUP(2,1/ISNUMBER(F50:I50),F50:I50))</f>
        <v/>
      </c>
      <c r="K50" s="26" t="str">
        <f aca="false">IF(OR(E50="",J50=""),"",E50-J50)</f>
        <v/>
      </c>
      <c r="L50" s="20"/>
      <c r="M50" s="20"/>
    </row>
    <row r="51" customFormat="false" ht="15" hidden="false" customHeight="fals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6" t="str">
        <f aca="false">IF(COUNT(F51:I51)=0,"",LOOKUP(2,1/ISNUMBER(F51:I51),F51:I51))</f>
        <v/>
      </c>
      <c r="K51" s="26" t="str">
        <f aca="false">IF(OR(E51="",J51=""),"",E51-J51)</f>
        <v/>
      </c>
      <c r="L51" s="20"/>
      <c r="M51" s="20"/>
    </row>
    <row r="52" customFormat="false" ht="15" hidden="false" customHeight="fals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6" t="str">
        <f aca="false">IF(COUNT(F52:I52)=0,"",LOOKUP(2,1/ISNUMBER(F52:I52),F52:I52))</f>
        <v/>
      </c>
      <c r="K52" s="26" t="str">
        <f aca="false">IF(OR(E52="",J52=""),"",E52-J52)</f>
        <v/>
      </c>
      <c r="L52" s="20"/>
      <c r="M52" s="20"/>
    </row>
    <row r="53" customFormat="false" ht="15" hidden="false" customHeight="fals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6" t="str">
        <f aca="false">IF(COUNT(F53:I53)=0,"",LOOKUP(2,1/ISNUMBER(F53:I53),F53:I53))</f>
        <v/>
      </c>
      <c r="K53" s="26" t="str">
        <f aca="false">IF(OR(E53="",J53=""),"",E53-J53)</f>
        <v/>
      </c>
      <c r="L53" s="20"/>
      <c r="M53" s="20"/>
    </row>
    <row r="54" customFormat="false" ht="15" hidden="false" customHeight="fals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6" t="str">
        <f aca="false">IF(COUNT(F54:I54)=0,"",LOOKUP(2,1/ISNUMBER(F54:I54),F54:I54))</f>
        <v/>
      </c>
      <c r="K54" s="26" t="str">
        <f aca="false">IF(OR(E54="",J54=""),"",E54-J54)</f>
        <v/>
      </c>
      <c r="L54" s="20"/>
      <c r="M54" s="20"/>
    </row>
    <row r="55" customFormat="false" ht="15" hidden="false" customHeight="fals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6" t="str">
        <f aca="false">IF(COUNT(F55:I55)=0,"",LOOKUP(2,1/ISNUMBER(F55:I55),F55:I55))</f>
        <v/>
      </c>
      <c r="K55" s="26" t="str">
        <f aca="false">IF(OR(E55="",J55=""),"",E55-J55)</f>
        <v/>
      </c>
      <c r="L55" s="20"/>
      <c r="M55" s="20"/>
    </row>
    <row r="56" customFormat="false" ht="15" hidden="false" customHeight="fals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6" t="str">
        <f aca="false">IF(COUNT(F56:I56)=0,"",LOOKUP(2,1/ISNUMBER(F56:I56),F56:I56))</f>
        <v/>
      </c>
      <c r="K56" s="26" t="str">
        <f aca="false">IF(OR(E56="",J56=""),"",E56-J56)</f>
        <v/>
      </c>
      <c r="L56" s="20"/>
      <c r="M56" s="20"/>
    </row>
    <row r="57" customFormat="false" ht="15" hidden="false" customHeight="fals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6" t="str">
        <f aca="false">IF(COUNT(F57:I57)=0,"",LOOKUP(2,1/ISNUMBER(F57:I57),F57:I57))</f>
        <v/>
      </c>
      <c r="K57" s="26" t="str">
        <f aca="false">IF(OR(E57="",J57=""),"",E57-J57)</f>
        <v/>
      </c>
      <c r="L57" s="20"/>
      <c r="M57" s="20"/>
    </row>
    <row r="58" customFormat="false" ht="15" hidden="false" customHeight="fals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6" t="str">
        <f aca="false">IF(COUNT(F58:I58)=0,"",LOOKUP(2,1/ISNUMBER(F58:I58),F58:I58))</f>
        <v/>
      </c>
      <c r="K58" s="26" t="str">
        <f aca="false">IF(OR(E58="",J58=""),"",E58-J58)</f>
        <v/>
      </c>
      <c r="L58" s="20"/>
      <c r="M58" s="20"/>
    </row>
    <row r="59" customFormat="false" ht="15" hidden="false" customHeight="fals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6" t="str">
        <f aca="false">IF(COUNT(F59:I59)=0,"",LOOKUP(2,1/ISNUMBER(F59:I59),F59:I59))</f>
        <v/>
      </c>
      <c r="K59" s="26" t="str">
        <f aca="false">IF(OR(E59="",J59=""),"",E59-J59)</f>
        <v/>
      </c>
      <c r="L59" s="20"/>
      <c r="M59" s="20"/>
    </row>
    <row r="60" customFormat="false" ht="15" hidden="false" customHeight="fals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6" t="str">
        <f aca="false">IF(COUNT(F60:I60)=0,"",LOOKUP(2,1/ISNUMBER(F60:I60),F60:I60))</f>
        <v/>
      </c>
      <c r="K60" s="26" t="str">
        <f aca="false">IF(OR(E60="",J60=""),"",E60-J60)</f>
        <v/>
      </c>
      <c r="L60" s="20"/>
      <c r="M60" s="20"/>
    </row>
    <row r="61" customFormat="false" ht="15" hidden="false" customHeight="fals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6" t="str">
        <f aca="false">IF(COUNT(F61:I61)=0,"",LOOKUP(2,1/ISNUMBER(F61:I61),F61:I61))</f>
        <v/>
      </c>
      <c r="K61" s="26" t="str">
        <f aca="false">IF(OR(E61="",J61=""),"",E61-J61)</f>
        <v/>
      </c>
      <c r="L61" s="20"/>
      <c r="M61" s="20"/>
    </row>
    <row r="62" customFormat="false" ht="15" hidden="false" customHeight="fals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6" t="str">
        <f aca="false">IF(COUNT(F62:I62)=0,"",LOOKUP(2,1/ISNUMBER(F62:I62),F62:I62))</f>
        <v/>
      </c>
      <c r="K62" s="26" t="str">
        <f aca="false">IF(OR(E62="",J62=""),"",E62-J62)</f>
        <v/>
      </c>
      <c r="L62" s="20"/>
      <c r="M62" s="20"/>
    </row>
    <row r="63" customFormat="false" ht="15" hidden="false" customHeight="fals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6" t="str">
        <f aca="false">IF(COUNT(F63:I63)=0,"",LOOKUP(2,1/ISNUMBER(F63:I63),F63:I63))</f>
        <v/>
      </c>
      <c r="K63" s="26" t="str">
        <f aca="false">IF(OR(E63="",J63=""),"",E63-J63)</f>
        <v/>
      </c>
      <c r="L63" s="20"/>
      <c r="M63" s="20"/>
    </row>
    <row r="64" customFormat="false" ht="15" hidden="false" customHeight="fals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6" t="str">
        <f aca="false">IF(COUNT(F64:I64)=0,"",LOOKUP(2,1/ISNUMBER(F64:I64),F64:I64))</f>
        <v/>
      </c>
      <c r="K64" s="26" t="str">
        <f aca="false">IF(OR(E64="",J64=""),"",E64-J64)</f>
        <v/>
      </c>
      <c r="L64" s="20"/>
      <c r="M64" s="20"/>
    </row>
    <row r="65" customFormat="false" ht="15" hidden="false" customHeight="fals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6" t="str">
        <f aca="false">IF(COUNT(F65:I65)=0,"",LOOKUP(2,1/ISNUMBER(F65:I65),F65:I65))</f>
        <v/>
      </c>
      <c r="K65" s="26" t="str">
        <f aca="false">IF(OR(E65="",J65=""),"",E65-J65)</f>
        <v/>
      </c>
      <c r="L65" s="20"/>
      <c r="M65" s="20"/>
    </row>
    <row r="66" customFormat="false" ht="15" hidden="false" customHeight="fals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6" t="str">
        <f aca="false">IF(COUNT(F66:I66)=0,"",LOOKUP(2,1/ISNUMBER(F66:I66),F66:I66))</f>
        <v/>
      </c>
      <c r="K66" s="26" t="str">
        <f aca="false">IF(OR(E66="",J66=""),"",E66-J66)</f>
        <v/>
      </c>
      <c r="L66" s="20"/>
      <c r="M66" s="20"/>
    </row>
    <row r="67" customFormat="false" ht="15" hidden="false" customHeight="fals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6" t="str">
        <f aca="false">IF(COUNT(F67:I67)=0,"",LOOKUP(2,1/ISNUMBER(F67:I67),F67:I67))</f>
        <v/>
      </c>
      <c r="K67" s="26" t="str">
        <f aca="false">IF(OR(E67="",J67=""),"",E67-J67)</f>
        <v/>
      </c>
      <c r="L67" s="20"/>
      <c r="M67" s="20"/>
    </row>
    <row r="68" customFormat="false" ht="15" hidden="false" customHeight="fals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6" t="str">
        <f aca="false">IF(COUNT(F68:I68)=0,"",LOOKUP(2,1/ISNUMBER(F68:I68),F68:I68))</f>
        <v/>
      </c>
      <c r="K68" s="26" t="str">
        <f aca="false">IF(OR(E68="",J68=""),"",E68-J68)</f>
        <v/>
      </c>
      <c r="L68" s="20"/>
      <c r="M68" s="20"/>
    </row>
    <row r="69" customFormat="false" ht="15" hidden="false" customHeight="fals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6" t="str">
        <f aca="false">IF(COUNT(F69:I69)=0,"",LOOKUP(2,1/ISNUMBER(F69:I69),F69:I69))</f>
        <v/>
      </c>
      <c r="K69" s="26" t="str">
        <f aca="false">IF(OR(E69="",J69=""),"",E69-J69)</f>
        <v/>
      </c>
      <c r="L69" s="20"/>
      <c r="M69" s="20"/>
    </row>
    <row r="70" customFormat="false" ht="15" hidden="false" customHeight="fals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6" t="str">
        <f aca="false">IF(COUNT(F70:I70)=0,"",LOOKUP(2,1/ISNUMBER(F70:I70),F70:I70))</f>
        <v/>
      </c>
      <c r="K70" s="26" t="str">
        <f aca="false">IF(OR(E70="",J70=""),"",E70-J70)</f>
        <v/>
      </c>
      <c r="L70" s="20"/>
      <c r="M70" s="20"/>
    </row>
    <row r="71" customFormat="false" ht="15" hidden="false" customHeight="fals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6" t="str">
        <f aca="false">IF(COUNT(F71:I71)=0,"",LOOKUP(2,1/ISNUMBER(F71:I71),F71:I71))</f>
        <v/>
      </c>
      <c r="K71" s="26" t="str">
        <f aca="false">IF(OR(E71="",J71=""),"",E71-J71)</f>
        <v/>
      </c>
      <c r="L71" s="20"/>
      <c r="M71" s="20"/>
    </row>
    <row r="72" customFormat="false" ht="15" hidden="false" customHeight="fals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6" t="str">
        <f aca="false">IF(COUNT(F72:I72)=0,"",LOOKUP(2,1/ISNUMBER(F72:I72),F72:I72))</f>
        <v/>
      </c>
      <c r="K72" s="26" t="str">
        <f aca="false">IF(OR(E72="",J72=""),"",E72-J72)</f>
        <v/>
      </c>
      <c r="L72" s="20"/>
      <c r="M72" s="20"/>
    </row>
    <row r="73" customFormat="false" ht="15" hidden="false" customHeight="fals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6" t="str">
        <f aca="false">IF(COUNT(F73:I73)=0,"",LOOKUP(2,1/ISNUMBER(F73:I73),F73:I73))</f>
        <v/>
      </c>
      <c r="K73" s="26" t="str">
        <f aca="false">IF(OR(E73="",J73=""),"",E73-J73)</f>
        <v/>
      </c>
      <c r="L73" s="20"/>
      <c r="M73" s="20"/>
    </row>
    <row r="74" customFormat="false" ht="15" hidden="false" customHeight="fals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6" t="str">
        <f aca="false">IF(COUNT(F74:I74)=0,"",LOOKUP(2,1/ISNUMBER(F74:I74),F74:I74))</f>
        <v/>
      </c>
      <c r="K74" s="26" t="str">
        <f aca="false">IF(OR(E74="",J74=""),"",E74-J74)</f>
        <v/>
      </c>
      <c r="L74" s="20"/>
      <c r="M74" s="20"/>
    </row>
    <row r="75" customFormat="false" ht="15" hidden="false" customHeight="fals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6" t="str">
        <f aca="false">IF(COUNT(F75:I75)=0,"",LOOKUP(2,1/ISNUMBER(F75:I75),F75:I75))</f>
        <v/>
      </c>
      <c r="K75" s="26" t="str">
        <f aca="false">IF(OR(E75="",J75=""),"",E75-J75)</f>
        <v/>
      </c>
      <c r="L75" s="20"/>
      <c r="M75" s="20"/>
    </row>
    <row r="76" customFormat="false" ht="15" hidden="false" customHeight="fals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6" t="str">
        <f aca="false">IF(COUNT(F76:I76)=0,"",LOOKUP(2,1/ISNUMBER(F76:I76),F76:I76))</f>
        <v/>
      </c>
      <c r="K76" s="26" t="str">
        <f aca="false">IF(OR(E76="",J76=""),"",E76-J76)</f>
        <v/>
      </c>
      <c r="L76" s="20"/>
      <c r="M76" s="20"/>
    </row>
    <row r="77" customFormat="false" ht="15" hidden="false" customHeight="fals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6" t="str">
        <f aca="false">IF(COUNT(F77:I77)=0,"",LOOKUP(2,1/ISNUMBER(F77:I77),F77:I77))</f>
        <v/>
      </c>
      <c r="K77" s="26" t="str">
        <f aca="false">IF(OR(E77="",J77=""),"",E77-J77)</f>
        <v/>
      </c>
      <c r="L77" s="20"/>
      <c r="M77" s="20"/>
    </row>
    <row r="78" customFormat="false" ht="15" hidden="false" customHeight="fals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6" t="str">
        <f aca="false">IF(COUNT(F78:I78)=0,"",LOOKUP(2,1/ISNUMBER(F78:I78),F78:I78))</f>
        <v/>
      </c>
      <c r="K78" s="26" t="str">
        <f aca="false">IF(OR(E78="",J78=""),"",E78-J78)</f>
        <v/>
      </c>
      <c r="L78" s="20"/>
      <c r="M78" s="20"/>
    </row>
    <row r="79" customFormat="false" ht="15" hidden="false" customHeight="fals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6" t="str">
        <f aca="false">IF(COUNT(F79:I79)=0,"",LOOKUP(2,1/ISNUMBER(F79:I79),F79:I79))</f>
        <v/>
      </c>
      <c r="K79" s="26" t="str">
        <f aca="false">IF(OR(E79="",J79=""),"",E79-J79)</f>
        <v/>
      </c>
      <c r="L79" s="20"/>
      <c r="M79" s="20"/>
    </row>
    <row r="80" customFormat="false" ht="15" hidden="false" customHeight="fals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6" t="str">
        <f aca="false">IF(COUNT(F80:I80)=0,"",LOOKUP(2,1/ISNUMBER(F80:I80),F80:I80))</f>
        <v/>
      </c>
      <c r="K80" s="26" t="str">
        <f aca="false">IF(OR(E80="",J80=""),"",E80-J80)</f>
        <v/>
      </c>
      <c r="L80" s="20"/>
      <c r="M80" s="20"/>
    </row>
    <row r="81" customFormat="false" ht="15" hidden="false" customHeight="fals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6" t="str">
        <f aca="false">IF(COUNT(F81:I81)=0,"",LOOKUP(2,1/ISNUMBER(F81:I81),F81:I81))</f>
        <v/>
      </c>
      <c r="K81" s="26" t="str">
        <f aca="false">IF(OR(E81="",J81=""),"",E81-J81)</f>
        <v/>
      </c>
      <c r="L81" s="20"/>
      <c r="M81" s="20"/>
    </row>
    <row r="82" customFormat="false" ht="15" hidden="false" customHeight="fals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6" t="str">
        <f aca="false">IF(COUNT(F82:I82)=0,"",LOOKUP(2,1/ISNUMBER(F82:I82),F82:I82))</f>
        <v/>
      </c>
      <c r="K82" s="26" t="str">
        <f aca="false">IF(OR(E82="",J82=""),"",E82-J82)</f>
        <v/>
      </c>
      <c r="L82" s="20"/>
      <c r="M82" s="20"/>
    </row>
    <row r="83" customFormat="false" ht="15" hidden="false" customHeight="fals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6" t="str">
        <f aca="false">IF(COUNT(F83:I83)=0,"",LOOKUP(2,1/ISNUMBER(F83:I83),F83:I83))</f>
        <v/>
      </c>
      <c r="K83" s="26" t="str">
        <f aca="false">IF(OR(E83="",J83=""),"",E83-J83)</f>
        <v/>
      </c>
      <c r="L83" s="20"/>
      <c r="M83" s="20"/>
    </row>
    <row r="84" customFormat="false" ht="15" hidden="false" customHeight="fals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6" t="str">
        <f aca="false">IF(COUNT(F84:I84)=0,"",LOOKUP(2,1/ISNUMBER(F84:I84),F84:I84))</f>
        <v/>
      </c>
      <c r="K84" s="26" t="str">
        <f aca="false">IF(OR(E84="",J84=""),"",E84-J84)</f>
        <v/>
      </c>
      <c r="L84" s="20"/>
      <c r="M84" s="20"/>
    </row>
    <row r="85" customFormat="false" ht="15" hidden="false" customHeight="fals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6" t="str">
        <f aca="false">IF(COUNT(F85:I85)=0,"",LOOKUP(2,1/ISNUMBER(F85:I85),F85:I85))</f>
        <v/>
      </c>
      <c r="K85" s="26" t="str">
        <f aca="false">IF(OR(E85="",J85=""),"",E85-J85)</f>
        <v/>
      </c>
      <c r="L85" s="20"/>
      <c r="M85" s="20"/>
    </row>
    <row r="86" customFormat="false" ht="15" hidden="false" customHeight="fals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6" t="str">
        <f aca="false">IF(COUNT(F86:I86)=0,"",LOOKUP(2,1/ISNUMBER(F86:I86),F86:I86))</f>
        <v/>
      </c>
      <c r="K86" s="26" t="str">
        <f aca="false">IF(OR(E86="",J86=""),"",E86-J86)</f>
        <v/>
      </c>
      <c r="L86" s="20"/>
      <c r="M86" s="20"/>
    </row>
    <row r="87" customFormat="false" ht="15" hidden="false" customHeight="fals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6" t="str">
        <f aca="false">IF(COUNT(F87:I87)=0,"",LOOKUP(2,1/ISNUMBER(F87:I87),F87:I87))</f>
        <v/>
      </c>
      <c r="K87" s="26" t="str">
        <f aca="false">IF(OR(E87="",J87=""),"",E87-J87)</f>
        <v/>
      </c>
      <c r="L87" s="20"/>
      <c r="M87" s="20"/>
    </row>
    <row r="88" customFormat="false" ht="15" hidden="false" customHeight="fals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6" t="str">
        <f aca="false">IF(COUNT(F88:I88)=0,"",LOOKUP(2,1/ISNUMBER(F88:I88),F88:I88))</f>
        <v/>
      </c>
      <c r="K88" s="26" t="str">
        <f aca="false">IF(OR(E88="",J88=""),"",E88-J88)</f>
        <v/>
      </c>
      <c r="L88" s="20"/>
      <c r="M88" s="20"/>
    </row>
    <row r="89" customFormat="false" ht="15" hidden="false" customHeight="fals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6" t="str">
        <f aca="false">IF(COUNT(F89:I89)=0,"",LOOKUP(2,1/ISNUMBER(F89:I89),F89:I89))</f>
        <v/>
      </c>
      <c r="K89" s="26" t="str">
        <f aca="false">IF(OR(E89="",J89=""),"",E89-J89)</f>
        <v/>
      </c>
      <c r="L89" s="20"/>
      <c r="M89" s="20"/>
    </row>
    <row r="90" customFormat="false" ht="15" hidden="false" customHeight="fals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6" t="str">
        <f aca="false">IF(COUNT(F90:I90)=0,"",LOOKUP(2,1/ISNUMBER(F90:I90),F90:I90))</f>
        <v/>
      </c>
      <c r="K90" s="26" t="str">
        <f aca="false">IF(OR(E90="",J90=""),"",E90-J90)</f>
        <v/>
      </c>
      <c r="L90" s="20"/>
      <c r="M90" s="20"/>
    </row>
    <row r="91" customFormat="false" ht="15" hidden="false" customHeight="fals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6" t="str">
        <f aca="false">IF(COUNT(F91:I91)=0,"",LOOKUP(2,1/ISNUMBER(F91:I91),F91:I91))</f>
        <v/>
      </c>
      <c r="K91" s="26" t="str">
        <f aca="false">IF(OR(E91="",J91=""),"",E91-J91)</f>
        <v/>
      </c>
      <c r="L91" s="20"/>
      <c r="M91" s="20"/>
    </row>
    <row r="92" customFormat="false" ht="15" hidden="false" customHeight="fals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6" t="str">
        <f aca="false">IF(COUNT(F92:I92)=0,"",LOOKUP(2,1/ISNUMBER(F92:I92),F92:I92))</f>
        <v/>
      </c>
      <c r="K92" s="26" t="str">
        <f aca="false">IF(OR(E92="",J92=""),"",E92-J92)</f>
        <v/>
      </c>
      <c r="L92" s="20"/>
      <c r="M92" s="20"/>
    </row>
    <row r="93" customFormat="false" ht="15" hidden="false" customHeight="fals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6" t="str">
        <f aca="false">IF(COUNT(F93:I93)=0,"",LOOKUP(2,1/ISNUMBER(F93:I93),F93:I93))</f>
        <v/>
      </c>
      <c r="K93" s="26" t="str">
        <f aca="false">IF(OR(E93="",J93=""),"",E93-J93)</f>
        <v/>
      </c>
      <c r="L93" s="20"/>
      <c r="M93" s="20"/>
    </row>
    <row r="94" customFormat="false" ht="15" hidden="false" customHeight="fals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6" t="str">
        <f aca="false">IF(COUNT(F94:I94)=0,"",LOOKUP(2,1/ISNUMBER(F94:I94),F94:I94))</f>
        <v/>
      </c>
      <c r="K94" s="26" t="str">
        <f aca="false">IF(OR(E94="",J94=""),"",E94-J94)</f>
        <v/>
      </c>
      <c r="L94" s="20"/>
      <c r="M94" s="20"/>
    </row>
    <row r="95" customFormat="false" ht="15" hidden="false" customHeight="fals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6" t="str">
        <f aca="false">IF(COUNT(F95:I95)=0,"",LOOKUP(2,1/ISNUMBER(F95:I95),F95:I95))</f>
        <v/>
      </c>
      <c r="K95" s="26" t="str">
        <f aca="false">IF(OR(E95="",J95=""),"",E95-J95)</f>
        <v/>
      </c>
      <c r="L95" s="20"/>
      <c r="M95" s="20"/>
    </row>
    <row r="96" customFormat="false" ht="15" hidden="false" customHeight="fals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6" t="str">
        <f aca="false">IF(COUNT(F96:I96)=0,"",LOOKUP(2,1/ISNUMBER(F96:I96),F96:I96))</f>
        <v/>
      </c>
      <c r="K96" s="26" t="str">
        <f aca="false">IF(OR(E96="",J96=""),"",E96-J96)</f>
        <v/>
      </c>
      <c r="L96" s="20"/>
      <c r="M96" s="20"/>
    </row>
    <row r="97" customFormat="false" ht="15" hidden="false" customHeight="fals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6" t="str">
        <f aca="false">IF(COUNT(F97:I97)=0,"",LOOKUP(2,1/ISNUMBER(F97:I97),F97:I97))</f>
        <v/>
      </c>
      <c r="K97" s="26" t="str">
        <f aca="false">IF(OR(E97="",J97=""),"",E97-J97)</f>
        <v/>
      </c>
      <c r="L97" s="20"/>
      <c r="M97" s="20"/>
    </row>
    <row r="98" customFormat="false" ht="15" hidden="false" customHeight="fals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6" t="str">
        <f aca="false">IF(COUNT(F98:I98)=0,"",LOOKUP(2,1/ISNUMBER(F98:I98),F98:I98))</f>
        <v/>
      </c>
      <c r="K98" s="26" t="str">
        <f aca="false">IF(OR(E98="",J98=""),"",E98-J98)</f>
        <v/>
      </c>
      <c r="L98" s="20"/>
      <c r="M98" s="20"/>
    </row>
    <row r="99" customFormat="false" ht="15" hidden="false" customHeight="fals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6" t="str">
        <f aca="false">IF(COUNT(F99:I99)=0,"",LOOKUP(2,1/ISNUMBER(F99:I99),F99:I99))</f>
        <v/>
      </c>
      <c r="K99" s="26" t="str">
        <f aca="false">IF(OR(E99="",J99=""),"",E99-J99)</f>
        <v/>
      </c>
      <c r="L99" s="20"/>
      <c r="M99" s="20"/>
    </row>
    <row r="100" customFormat="false" ht="15" hidden="false" customHeight="fals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6" t="str">
        <f aca="false">IF(COUNT(F100:I100)=0,"",LOOKUP(2,1/ISNUMBER(F100:I100),F100:I100))</f>
        <v/>
      </c>
      <c r="K100" s="26" t="str">
        <f aca="false">IF(OR(E100="",J100=""),"",E100-J100)</f>
        <v/>
      </c>
      <c r="L100" s="20"/>
      <c r="M100" s="20"/>
    </row>
    <row r="101" customFormat="false" ht="15" hidden="false" customHeight="fals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6" t="str">
        <f aca="false">IF(COUNT(F101:I101)=0,"",LOOKUP(2,1/ISNUMBER(F101:I101),F101:I101))</f>
        <v/>
      </c>
      <c r="K101" s="26" t="str">
        <f aca="false">IF(OR(E101="",J101=""),"",E101-J101)</f>
        <v/>
      </c>
      <c r="L101" s="20"/>
      <c r="M101" s="20"/>
    </row>
    <row r="102" customFormat="false" ht="15" hidden="false" customHeight="fals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6" t="str">
        <f aca="false">IF(COUNT(F102:I102)=0,"",LOOKUP(2,1/ISNUMBER(F102:I102),F102:I102))</f>
        <v/>
      </c>
      <c r="K102" s="26" t="str">
        <f aca="false">IF(OR(E102="",J102=""),"",E102-J102)</f>
        <v/>
      </c>
      <c r="L102" s="20"/>
      <c r="M102" s="20"/>
    </row>
    <row r="103" customFormat="false" ht="15" hidden="false" customHeight="fals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6" t="str">
        <f aca="false">IF(COUNT(F103:I103)=0,"",LOOKUP(2,1/ISNUMBER(F103:I103),F103:I103))</f>
        <v/>
      </c>
      <c r="K103" s="26" t="str">
        <f aca="false">IF(OR(E103="",J103=""),"",E103-J103)</f>
        <v/>
      </c>
      <c r="L103" s="20"/>
      <c r="M103" s="20"/>
    </row>
    <row r="104" customFormat="false" ht="15" hidden="false" customHeight="fals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6" t="str">
        <f aca="false">IF(COUNT(F104:I104)=0,"",LOOKUP(2,1/ISNUMBER(F104:I104),F104:I104))</f>
        <v/>
      </c>
      <c r="K104" s="26" t="str">
        <f aca="false">IF(OR(E104="",J104=""),"",E104-J104)</f>
        <v/>
      </c>
      <c r="L104" s="20"/>
      <c r="M104" s="20"/>
    </row>
    <row r="105" customFormat="false" ht="15" hidden="false" customHeight="fals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6" t="str">
        <f aca="false">IF(COUNT(F105:I105)=0,"",LOOKUP(2,1/ISNUMBER(F105:I105),F105:I105))</f>
        <v/>
      </c>
      <c r="K105" s="26" t="str">
        <f aca="false">IF(OR(E105="",J105=""),"",E105-J105)</f>
        <v/>
      </c>
      <c r="L105" s="20"/>
      <c r="M105" s="20"/>
    </row>
    <row r="106" customFormat="false" ht="15" hidden="false" customHeight="fals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6" t="str">
        <f aca="false">IF(COUNT(F106:I106)=0,"",LOOKUP(2,1/ISNUMBER(F106:I106),F106:I106))</f>
        <v/>
      </c>
      <c r="K106" s="26" t="str">
        <f aca="false">IF(OR(E106="",J106=""),"",E106-J106)</f>
        <v/>
      </c>
      <c r="L106" s="20"/>
      <c r="M106" s="20"/>
    </row>
    <row r="107" customFormat="false" ht="15" hidden="false" customHeight="fals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6" t="str">
        <f aca="false">IF(COUNT(F107:I107)=0,"",LOOKUP(2,1/ISNUMBER(F107:I107),F107:I107))</f>
        <v/>
      </c>
      <c r="K107" s="26" t="str">
        <f aca="false">IF(OR(E107="",J107=""),"",E107-J107)</f>
        <v/>
      </c>
      <c r="L107" s="20"/>
      <c r="M107" s="20"/>
    </row>
    <row r="108" customFormat="false" ht="15" hidden="false" customHeight="fals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6" t="str">
        <f aca="false">IF(COUNT(F108:I108)=0,"",LOOKUP(2,1/ISNUMBER(F108:I108),F108:I108))</f>
        <v/>
      </c>
      <c r="K108" s="26" t="str">
        <f aca="false">IF(OR(E108="",J108=""),"",E108-J108)</f>
        <v/>
      </c>
      <c r="L108" s="20"/>
      <c r="M108" s="20"/>
    </row>
    <row r="109" customFormat="false" ht="15" hidden="false" customHeight="fals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6" t="str">
        <f aca="false">IF(COUNT(F109:I109)=0,"",LOOKUP(2,1/ISNUMBER(F109:I109),F109:I109))</f>
        <v/>
      </c>
      <c r="K109" s="26" t="str">
        <f aca="false">IF(OR(E109="",J109=""),"",E109-J109)</f>
        <v/>
      </c>
      <c r="L109" s="20"/>
      <c r="M109" s="20"/>
    </row>
    <row r="110" customFormat="false" ht="15" hidden="false" customHeight="fals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6" t="str">
        <f aca="false">IF(COUNT(F110:I110)=0,"",LOOKUP(2,1/ISNUMBER(F110:I110),F110:I110))</f>
        <v/>
      </c>
      <c r="K110" s="26" t="str">
        <f aca="false">IF(OR(E110="",J110=""),"",E110-J110)</f>
        <v/>
      </c>
      <c r="L110" s="20"/>
      <c r="M110" s="20"/>
    </row>
    <row r="111" customFormat="false" ht="15" hidden="false" customHeight="fals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6" t="str">
        <f aca="false">IF(COUNT(F111:I111)=0,"",LOOKUP(2,1/ISNUMBER(F111:I111),F111:I111))</f>
        <v/>
      </c>
      <c r="K111" s="26" t="str">
        <f aca="false">IF(OR(E111="",J111=""),"",E111-J111)</f>
        <v/>
      </c>
      <c r="L111" s="20"/>
      <c r="M111" s="20"/>
    </row>
    <row r="112" customFormat="false" ht="15" hidden="false" customHeight="fals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6" t="str">
        <f aca="false">IF(COUNT(F112:I112)=0,"",LOOKUP(2,1/ISNUMBER(F112:I112),F112:I112))</f>
        <v/>
      </c>
      <c r="K112" s="26" t="str">
        <f aca="false">IF(OR(E112="",J112=""),"",E112-J112)</f>
        <v/>
      </c>
      <c r="L112" s="20"/>
      <c r="M112" s="20"/>
    </row>
    <row r="113" customFormat="false" ht="15" hidden="false" customHeight="fals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6" t="str">
        <f aca="false">IF(COUNT(F113:I113)=0,"",LOOKUP(2,1/ISNUMBER(F113:I113),F113:I113))</f>
        <v/>
      </c>
      <c r="K113" s="26" t="str">
        <f aca="false">IF(OR(E113="",J113=""),"",E113-J113)</f>
        <v/>
      </c>
      <c r="L113" s="20"/>
      <c r="M113" s="20"/>
    </row>
    <row r="114" customFormat="false" ht="15" hidden="false" customHeight="fals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6" t="str">
        <f aca="false">IF(COUNT(F114:I114)=0,"",LOOKUP(2,1/ISNUMBER(F114:I114),F114:I114))</f>
        <v/>
      </c>
      <c r="K114" s="26" t="str">
        <f aca="false">IF(OR(E114="",J114=""),"",E114-J114)</f>
        <v/>
      </c>
      <c r="L114" s="20"/>
      <c r="M114" s="20"/>
    </row>
    <row r="115" customFormat="false" ht="15" hidden="false" customHeight="fals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6" t="str">
        <f aca="false">IF(COUNT(F115:I115)=0,"",LOOKUP(2,1/ISNUMBER(F115:I115),F115:I115))</f>
        <v/>
      </c>
      <c r="K115" s="26" t="str">
        <f aca="false">IF(OR(E115="",J115=""),"",E115-J115)</f>
        <v/>
      </c>
      <c r="L115" s="20"/>
      <c r="M115" s="20"/>
    </row>
    <row r="116" customFormat="false" ht="15" hidden="false" customHeight="fals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6" t="str">
        <f aca="false">IF(COUNT(F116:I116)=0,"",LOOKUP(2,1/ISNUMBER(F116:I116),F116:I116))</f>
        <v/>
      </c>
      <c r="K116" s="26" t="str">
        <f aca="false">IF(OR(E116="",J116=""),"",E116-J116)</f>
        <v/>
      </c>
      <c r="L116" s="20"/>
      <c r="M116" s="20"/>
    </row>
    <row r="117" customFormat="false" ht="15" hidden="false" customHeight="fals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6" t="str">
        <f aca="false">IF(COUNT(F117:I117)=0,"",LOOKUP(2,1/ISNUMBER(F117:I117),F117:I117))</f>
        <v/>
      </c>
      <c r="K117" s="26" t="str">
        <f aca="false">IF(OR(E117="",J117=""),"",E117-J117)</f>
        <v/>
      </c>
      <c r="L117" s="20"/>
      <c r="M117" s="20"/>
    </row>
    <row r="118" customFormat="false" ht="15" hidden="false" customHeight="fals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6" t="str">
        <f aca="false">IF(COUNT(F118:I118)=0,"",LOOKUP(2,1/ISNUMBER(F118:I118),F118:I118))</f>
        <v/>
      </c>
      <c r="K118" s="26" t="str">
        <f aca="false">IF(OR(E118="",J118=""),"",E118-J118)</f>
        <v/>
      </c>
      <c r="L118" s="20"/>
      <c r="M118" s="20"/>
    </row>
    <row r="119" customFormat="false" ht="15" hidden="false" customHeight="fals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6" t="str">
        <f aca="false">IF(COUNT(F119:I119)=0,"",LOOKUP(2,1/ISNUMBER(F119:I119),F119:I119))</f>
        <v/>
      </c>
      <c r="K119" s="26" t="str">
        <f aca="false">IF(OR(E119="",J119=""),"",E119-J119)</f>
        <v/>
      </c>
      <c r="L119" s="20"/>
      <c r="M119" s="20"/>
    </row>
    <row r="120" customFormat="false" ht="15" hidden="false" customHeight="fals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6" t="str">
        <f aca="false">IF(COUNT(F120:I120)=0,"",LOOKUP(2,1/ISNUMBER(F120:I120),F120:I120))</f>
        <v/>
      </c>
      <c r="K120" s="26" t="str">
        <f aca="false">IF(OR(E120="",J120=""),"",E120-J120)</f>
        <v/>
      </c>
      <c r="L120" s="20"/>
      <c r="M120" s="20"/>
    </row>
    <row r="121" customFormat="false" ht="15" hidden="false" customHeight="fals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6" t="str">
        <f aca="false">IF(COUNT(F121:I121)=0,"",LOOKUP(2,1/ISNUMBER(F121:I121),F121:I121))</f>
        <v/>
      </c>
      <c r="K121" s="26" t="str">
        <f aca="false">IF(OR(E121="",J121=""),"",E121-J121)</f>
        <v/>
      </c>
      <c r="L121" s="20"/>
      <c r="M121" s="20"/>
    </row>
    <row r="122" customFormat="false" ht="15" hidden="false" customHeight="fals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6" t="str">
        <f aca="false">IF(COUNT(F122:I122)=0,"",LOOKUP(2,1/ISNUMBER(F122:I122),F122:I122))</f>
        <v/>
      </c>
      <c r="K122" s="26" t="str">
        <f aca="false">IF(OR(E122="",J122=""),"",E122-J122)</f>
        <v/>
      </c>
      <c r="L122" s="20"/>
      <c r="M122" s="20"/>
    </row>
    <row r="123" customFormat="false" ht="15" hidden="false" customHeight="fals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6" t="str">
        <f aca="false">IF(COUNT(F123:I123)=0,"",LOOKUP(2,1/ISNUMBER(F123:I123),F123:I123))</f>
        <v/>
      </c>
      <c r="K123" s="26" t="str">
        <f aca="false">IF(OR(E123="",J123=""),"",E123-J123)</f>
        <v/>
      </c>
      <c r="L123" s="20"/>
      <c r="M123" s="20"/>
    </row>
    <row r="124" customFormat="false" ht="15" hidden="false" customHeight="fals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6" t="str">
        <f aca="false">IF(COUNT(F124:I124)=0,"",LOOKUP(2,1/ISNUMBER(F124:I124),F124:I124))</f>
        <v/>
      </c>
      <c r="K124" s="26" t="str">
        <f aca="false">IF(OR(E124="",J124=""),"",E124-J124)</f>
        <v/>
      </c>
      <c r="L124" s="20"/>
      <c r="M124" s="20"/>
    </row>
    <row r="125" customFormat="false" ht="15" hidden="false" customHeight="fals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6" t="str">
        <f aca="false">IF(COUNT(F125:I125)=0,"",LOOKUP(2,1/ISNUMBER(F125:I125),F125:I125))</f>
        <v/>
      </c>
      <c r="K125" s="26" t="str">
        <f aca="false">IF(OR(E125="",J125=""),"",E125-J125)</f>
        <v/>
      </c>
      <c r="L125" s="20"/>
      <c r="M125" s="20"/>
    </row>
    <row r="126" customFormat="false" ht="15" hidden="false" customHeight="fals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6" t="str">
        <f aca="false">IF(COUNT(F126:I126)=0,"",LOOKUP(2,1/ISNUMBER(F126:I126),F126:I126))</f>
        <v/>
      </c>
      <c r="K126" s="26" t="str">
        <f aca="false">IF(OR(E126="",J126=""),"",E126-J126)</f>
        <v/>
      </c>
      <c r="L126" s="20"/>
      <c r="M126" s="20"/>
    </row>
    <row r="127" customFormat="false" ht="15" hidden="false" customHeight="fals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6" t="str">
        <f aca="false">IF(COUNT(F127:I127)=0,"",LOOKUP(2,1/ISNUMBER(F127:I127),F127:I127))</f>
        <v/>
      </c>
      <c r="K127" s="26" t="str">
        <f aca="false">IF(OR(E127="",J127=""),"",E127-J127)</f>
        <v/>
      </c>
      <c r="L127" s="20"/>
      <c r="M127" s="20"/>
    </row>
    <row r="128" customFormat="false" ht="15" hidden="false" customHeight="fals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6" t="str">
        <f aca="false">IF(COUNT(F128:I128)=0,"",LOOKUP(2,1/ISNUMBER(F128:I128),F128:I128))</f>
        <v/>
      </c>
      <c r="K128" s="26" t="str">
        <f aca="false">IF(OR(E128="",J128=""),"",E128-J128)</f>
        <v/>
      </c>
      <c r="L128" s="20"/>
      <c r="M128" s="20"/>
    </row>
    <row r="129" customFormat="false" ht="15" hidden="false" customHeight="fals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6" t="str">
        <f aca="false">IF(COUNT(F129:I129)=0,"",LOOKUP(2,1/ISNUMBER(F129:I129),F129:I129))</f>
        <v/>
      </c>
      <c r="K129" s="26" t="str">
        <f aca="false">IF(OR(E129="",J129=""),"",E129-J129)</f>
        <v/>
      </c>
      <c r="L129" s="20"/>
      <c r="M129" s="20"/>
    </row>
    <row r="130" customFormat="false" ht="15" hidden="false" customHeight="fals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6" t="str">
        <f aca="false">IF(COUNT(F130:I130)=0,"",LOOKUP(2,1/ISNUMBER(F130:I130),F130:I130))</f>
        <v/>
      </c>
      <c r="K130" s="26" t="str">
        <f aca="false">IF(OR(E130="",J130=""),"",E130-J130)</f>
        <v/>
      </c>
      <c r="L130" s="20"/>
      <c r="M130" s="20"/>
    </row>
    <row r="131" customFormat="false" ht="15" hidden="false" customHeight="fals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6" t="str">
        <f aca="false">IF(COUNT(F131:I131)=0,"",LOOKUP(2,1/ISNUMBER(F131:I131),F131:I131))</f>
        <v/>
      </c>
      <c r="K131" s="26" t="str">
        <f aca="false">IF(OR(E131="",J131=""),"",E131-J131)</f>
        <v/>
      </c>
      <c r="L131" s="20"/>
      <c r="M131" s="20"/>
    </row>
    <row r="132" customFormat="false" ht="15" hidden="false" customHeight="fals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6" t="str">
        <f aca="false">IF(COUNT(F132:I132)=0,"",LOOKUP(2,1/ISNUMBER(F132:I132),F132:I132))</f>
        <v/>
      </c>
      <c r="K132" s="26" t="str">
        <f aca="false">IF(OR(E132="",J132=""),"",E132-J132)</f>
        <v/>
      </c>
      <c r="L132" s="20"/>
      <c r="M132" s="20"/>
    </row>
    <row r="133" customFormat="false" ht="15" hidden="false" customHeight="fals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6" t="str">
        <f aca="false">IF(COUNT(F133:I133)=0,"",LOOKUP(2,1/ISNUMBER(F133:I133),F133:I133))</f>
        <v/>
      </c>
      <c r="K133" s="26" t="str">
        <f aca="false">IF(OR(E133="",J133=""),"",E133-J133)</f>
        <v/>
      </c>
      <c r="L133" s="20"/>
      <c r="M133" s="20"/>
    </row>
    <row r="134" customFormat="false" ht="15" hidden="false" customHeight="fals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6" t="str">
        <f aca="false">IF(COUNT(F134:I134)=0,"",LOOKUP(2,1/ISNUMBER(F134:I134),F134:I134))</f>
        <v/>
      </c>
      <c r="K134" s="26" t="str">
        <f aca="false">IF(OR(E134="",J134=""),"",E134-J134)</f>
        <v/>
      </c>
      <c r="L134" s="20"/>
      <c r="M134" s="20"/>
    </row>
    <row r="135" customFormat="false" ht="15" hidden="false" customHeight="fals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6" t="str">
        <f aca="false">IF(COUNT(F135:I135)=0,"",LOOKUP(2,1/ISNUMBER(F135:I135),F135:I135))</f>
        <v/>
      </c>
      <c r="K135" s="26" t="str">
        <f aca="false">IF(OR(E135="",J135=""),"",E135-J135)</f>
        <v/>
      </c>
      <c r="L135" s="20"/>
      <c r="M135" s="20"/>
    </row>
    <row r="136" customFormat="false" ht="15" hidden="false" customHeight="fals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6" t="str">
        <f aca="false">IF(COUNT(F136:I136)=0,"",LOOKUP(2,1/ISNUMBER(F136:I136),F136:I136))</f>
        <v/>
      </c>
      <c r="K136" s="26" t="str">
        <f aca="false">IF(OR(E136="",J136=""),"",E136-J136)</f>
        <v/>
      </c>
      <c r="L136" s="20"/>
      <c r="M136" s="20"/>
    </row>
    <row r="137" customFormat="false" ht="15" hidden="false" customHeight="fals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6" t="str">
        <f aca="false">IF(COUNT(F137:I137)=0,"",LOOKUP(2,1/ISNUMBER(F137:I137),F137:I137))</f>
        <v/>
      </c>
      <c r="K137" s="26" t="str">
        <f aca="false">IF(OR(E137="",J137=""),"",E137-J137)</f>
        <v/>
      </c>
      <c r="L137" s="20"/>
      <c r="M137" s="20"/>
    </row>
    <row r="138" customFormat="false" ht="15" hidden="false" customHeight="fals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6" t="str">
        <f aca="false">IF(COUNT(F138:I138)=0,"",LOOKUP(2,1/ISNUMBER(F138:I138),F138:I138))</f>
        <v/>
      </c>
      <c r="K138" s="26" t="str">
        <f aca="false">IF(OR(E138="",J138=""),"",E138-J138)</f>
        <v/>
      </c>
      <c r="L138" s="20"/>
      <c r="M138" s="20"/>
    </row>
    <row r="139" customFormat="false" ht="15" hidden="false" customHeight="fals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6" t="str">
        <f aca="false">IF(COUNT(F139:I139)=0,"",LOOKUP(2,1/ISNUMBER(F139:I139),F139:I139))</f>
        <v/>
      </c>
      <c r="K139" s="26" t="str">
        <f aca="false">IF(OR(E139="",J139=""),"",E139-J139)</f>
        <v/>
      </c>
      <c r="L139" s="20"/>
      <c r="M139" s="20"/>
    </row>
    <row r="140" customFormat="false" ht="15" hidden="false" customHeight="fals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6" t="str">
        <f aca="false">IF(COUNT(F140:I140)=0,"",LOOKUP(2,1/ISNUMBER(F140:I140),F140:I140))</f>
        <v/>
      </c>
      <c r="K140" s="26" t="str">
        <f aca="false">IF(OR(E140="",J140=""),"",E140-J140)</f>
        <v/>
      </c>
      <c r="L140" s="20"/>
      <c r="M140" s="20"/>
    </row>
    <row r="141" customFormat="false" ht="15" hidden="false" customHeight="fals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6" t="str">
        <f aca="false">IF(COUNT(F141:I141)=0,"",LOOKUP(2,1/ISNUMBER(F141:I141),F141:I141))</f>
        <v/>
      </c>
      <c r="K141" s="26" t="str">
        <f aca="false">IF(OR(E141="",J141=""),"",E141-J141)</f>
        <v/>
      </c>
      <c r="L141" s="20"/>
      <c r="M141" s="20"/>
    </row>
    <row r="142" customFormat="false" ht="15" hidden="false" customHeight="fals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6" t="str">
        <f aca="false">IF(COUNT(F142:I142)=0,"",LOOKUP(2,1/ISNUMBER(F142:I142),F142:I142))</f>
        <v/>
      </c>
      <c r="K142" s="26" t="str">
        <f aca="false">IF(OR(E142="",J142=""),"",E142-J142)</f>
        <v/>
      </c>
      <c r="L142" s="20"/>
      <c r="M142" s="20"/>
    </row>
    <row r="143" customFormat="false" ht="15" hidden="false" customHeight="fals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6" t="str">
        <f aca="false">IF(COUNT(F143:I143)=0,"",LOOKUP(2,1/ISNUMBER(F143:I143),F143:I143))</f>
        <v/>
      </c>
      <c r="K143" s="26" t="str">
        <f aca="false">IF(OR(E143="",J143=""),"",E143-J143)</f>
        <v/>
      </c>
      <c r="L143" s="20"/>
      <c r="M143" s="20"/>
    </row>
    <row r="144" customFormat="false" ht="15" hidden="false" customHeight="fals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6" t="str">
        <f aca="false">IF(COUNT(F144:I144)=0,"",LOOKUP(2,1/ISNUMBER(F144:I144),F144:I144))</f>
        <v/>
      </c>
      <c r="K144" s="26" t="str">
        <f aca="false">IF(OR(E144="",J144=""),"",E144-J144)</f>
        <v/>
      </c>
      <c r="L144" s="20"/>
      <c r="M144" s="20"/>
    </row>
    <row r="145" customFormat="false" ht="15" hidden="false" customHeight="fals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6" t="str">
        <f aca="false">IF(COUNT(F145:I145)=0,"",LOOKUP(2,1/ISNUMBER(F145:I145),F145:I145))</f>
        <v/>
      </c>
      <c r="K145" s="26" t="str">
        <f aca="false">IF(OR(E145="",J145=""),"",E145-J145)</f>
        <v/>
      </c>
      <c r="L145" s="20"/>
      <c r="M145" s="20"/>
    </row>
    <row r="146" customFormat="false" ht="15" hidden="false" customHeight="fals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6" t="str">
        <f aca="false">IF(COUNT(F146:I146)=0,"",LOOKUP(2,1/ISNUMBER(F146:I146),F146:I146))</f>
        <v/>
      </c>
      <c r="K146" s="26" t="str">
        <f aca="false">IF(OR(E146="",J146=""),"",E146-J146)</f>
        <v/>
      </c>
      <c r="L146" s="20"/>
      <c r="M146" s="20"/>
    </row>
    <row r="147" customFormat="false" ht="15" hidden="false" customHeight="fals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6" t="str">
        <f aca="false">IF(COUNT(F147:I147)=0,"",LOOKUP(2,1/ISNUMBER(F147:I147),F147:I147))</f>
        <v/>
      </c>
      <c r="K147" s="26" t="str">
        <f aca="false">IF(OR(E147="",J147=""),"",E147-J147)</f>
        <v/>
      </c>
      <c r="L147" s="20"/>
      <c r="M147" s="20"/>
    </row>
    <row r="148" customFormat="false" ht="15" hidden="false" customHeight="fals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6" t="str">
        <f aca="false">IF(COUNT(F148:I148)=0,"",LOOKUP(2,1/ISNUMBER(F148:I148),F148:I148))</f>
        <v/>
      </c>
      <c r="K148" s="26" t="str">
        <f aca="false">IF(OR(E148="",J148=""),"",E148-J148)</f>
        <v/>
      </c>
      <c r="L148" s="20"/>
      <c r="M148" s="20"/>
    </row>
    <row r="149" customFormat="false" ht="15" hidden="false" customHeight="fals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6" t="str">
        <f aca="false">IF(COUNT(F149:I149)=0,"",LOOKUP(2,1/ISNUMBER(F149:I149),F149:I149))</f>
        <v/>
      </c>
      <c r="K149" s="26" t="str">
        <f aca="false">IF(OR(E149="",J149=""),"",E149-J149)</f>
        <v/>
      </c>
      <c r="L149" s="20"/>
      <c r="M149" s="20"/>
    </row>
    <row r="150" customFormat="false" ht="15" hidden="false" customHeight="fals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6" t="str">
        <f aca="false">IF(COUNT(F150:I150)=0,"",LOOKUP(2,1/ISNUMBER(F150:I150),F150:I150))</f>
        <v/>
      </c>
      <c r="K150" s="26" t="str">
        <f aca="false">IF(OR(E150="",J150=""),"",E150-J150)</f>
        <v/>
      </c>
      <c r="L150" s="20"/>
      <c r="M150" s="20"/>
    </row>
    <row r="151" customFormat="false" ht="15" hidden="false" customHeight="fals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6" t="str">
        <f aca="false">IF(COUNT(F151:I151)=0,"",LOOKUP(2,1/ISNUMBER(F151:I151),F151:I151))</f>
        <v/>
      </c>
      <c r="K151" s="26" t="str">
        <f aca="false">IF(OR(E151="",J151=""),"",E151-J151)</f>
        <v/>
      </c>
      <c r="L151" s="20"/>
      <c r="M151" s="20"/>
    </row>
    <row r="152" customFormat="false" ht="15" hidden="false" customHeight="fals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6" t="str">
        <f aca="false">IF(COUNT(F152:I152)=0,"",LOOKUP(2,1/ISNUMBER(F152:I152),F152:I152))</f>
        <v/>
      </c>
      <c r="K152" s="26" t="str">
        <f aca="false">IF(OR(E152="",J152=""),"",E152-J152)</f>
        <v/>
      </c>
      <c r="L152" s="20"/>
      <c r="M152" s="20"/>
    </row>
    <row r="153" customFormat="false" ht="15" hidden="false" customHeight="fals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6" t="str">
        <f aca="false">IF(COUNT(F153:I153)=0,"",LOOKUP(2,1/ISNUMBER(F153:I153),F153:I153))</f>
        <v/>
      </c>
      <c r="K153" s="26" t="str">
        <f aca="false">IF(OR(E153="",J153=""),"",E153-J153)</f>
        <v/>
      </c>
      <c r="L153" s="20"/>
      <c r="M153" s="20"/>
    </row>
    <row r="154" customFormat="false" ht="15" hidden="false" customHeight="fals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6" t="str">
        <f aca="false">IF(COUNT(F154:I154)=0,"",LOOKUP(2,1/ISNUMBER(F154:I154),F154:I154))</f>
        <v/>
      </c>
      <c r="K154" s="26" t="str">
        <f aca="false">IF(OR(E154="",J154=""),"",E154-J154)</f>
        <v/>
      </c>
      <c r="L154" s="20"/>
      <c r="M154" s="20"/>
    </row>
    <row r="155" customFormat="false" ht="15" hidden="false" customHeight="fals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6" t="str">
        <f aca="false">IF(COUNT(F155:I155)=0,"",LOOKUP(2,1/ISNUMBER(F155:I155),F155:I155))</f>
        <v/>
      </c>
      <c r="K155" s="26" t="str">
        <f aca="false">IF(OR(E155="",J155=""),"",E155-J155)</f>
        <v/>
      </c>
      <c r="L155" s="20"/>
      <c r="M155" s="20"/>
    </row>
    <row r="156" customFormat="false" ht="15" hidden="false" customHeight="fals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6" t="str">
        <f aca="false">IF(COUNT(F156:I156)=0,"",LOOKUP(2,1/ISNUMBER(F156:I156),F156:I156))</f>
        <v/>
      </c>
      <c r="K156" s="26" t="str">
        <f aca="false">IF(OR(E156="",J156=""),"",E156-J156)</f>
        <v/>
      </c>
      <c r="L156" s="20"/>
      <c r="M156" s="20"/>
    </row>
    <row r="157" customFormat="false" ht="15" hidden="false" customHeight="fals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6" t="str">
        <f aca="false">IF(COUNT(F157:I157)=0,"",LOOKUP(2,1/ISNUMBER(F157:I157),F157:I157))</f>
        <v/>
      </c>
      <c r="K157" s="26" t="str">
        <f aca="false">IF(OR(E157="",J157=""),"",E157-J157)</f>
        <v/>
      </c>
      <c r="L157" s="20"/>
      <c r="M157" s="20"/>
    </row>
    <row r="158" customFormat="false" ht="15" hidden="false" customHeight="fals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6" t="str">
        <f aca="false">IF(COUNT(F158:I158)=0,"",LOOKUP(2,1/ISNUMBER(F158:I158),F158:I158))</f>
        <v/>
      </c>
      <c r="K158" s="26" t="str">
        <f aca="false">IF(OR(E158="",J158=""),"",E158-J158)</f>
        <v/>
      </c>
      <c r="L158" s="20"/>
      <c r="M158" s="20"/>
    </row>
    <row r="159" customFormat="false" ht="15" hidden="false" customHeight="fals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6" t="str">
        <f aca="false">IF(COUNT(F159:I159)=0,"",LOOKUP(2,1/ISNUMBER(F159:I159),F159:I159))</f>
        <v/>
      </c>
      <c r="K159" s="26" t="str">
        <f aca="false">IF(OR(E159="",J159=""),"",E159-J159)</f>
        <v/>
      </c>
      <c r="L159" s="20"/>
      <c r="M159" s="20"/>
    </row>
    <row r="160" customFormat="false" ht="15" hidden="false" customHeight="fals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6" t="str">
        <f aca="false">IF(COUNT(F160:I160)=0,"",LOOKUP(2,1/ISNUMBER(F160:I160),F160:I160))</f>
        <v/>
      </c>
      <c r="K160" s="26" t="str">
        <f aca="false">IF(OR(E160="",J160=""),"",E160-J160)</f>
        <v/>
      </c>
      <c r="L160" s="20"/>
      <c r="M160" s="20"/>
    </row>
    <row r="161" customFormat="false" ht="15" hidden="false" customHeight="fals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6" t="str">
        <f aca="false">IF(COUNT(F161:I161)=0,"",LOOKUP(2,1/ISNUMBER(F161:I161),F161:I161))</f>
        <v/>
      </c>
      <c r="K161" s="26" t="str">
        <f aca="false">IF(OR(E161="",J161=""),"",E161-J161)</f>
        <v/>
      </c>
      <c r="L161" s="20"/>
      <c r="M161" s="20"/>
    </row>
    <row r="162" customFormat="false" ht="15" hidden="false" customHeight="fals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6" t="str">
        <f aca="false">IF(COUNT(F162:I162)=0,"",LOOKUP(2,1/ISNUMBER(F162:I162),F162:I162))</f>
        <v/>
      </c>
      <c r="K162" s="26" t="str">
        <f aca="false">IF(OR(E162="",J162=""),"",E162-J162)</f>
        <v/>
      </c>
      <c r="L162" s="20"/>
      <c r="M162" s="20"/>
    </row>
    <row r="163" customFormat="false" ht="15" hidden="false" customHeight="fals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6" t="str">
        <f aca="false">IF(COUNT(F163:I163)=0,"",LOOKUP(2,1/ISNUMBER(F163:I163),F163:I163))</f>
        <v/>
      </c>
      <c r="K163" s="26" t="str">
        <f aca="false">IF(OR(E163="",J163=""),"",E163-J163)</f>
        <v/>
      </c>
      <c r="L163" s="20"/>
      <c r="M163" s="20"/>
    </row>
    <row r="164" customFormat="false" ht="15" hidden="false" customHeight="fals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6" t="str">
        <f aca="false">IF(COUNT(F164:I164)=0,"",LOOKUP(2,1/ISNUMBER(F164:I164),F164:I164))</f>
        <v/>
      </c>
      <c r="K164" s="26" t="str">
        <f aca="false">IF(OR(E164="",J164=""),"",E164-J164)</f>
        <v/>
      </c>
      <c r="L164" s="20"/>
      <c r="M164" s="20"/>
    </row>
    <row r="165" customFormat="false" ht="15" hidden="false" customHeight="fals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6" t="str">
        <f aca="false">IF(COUNT(F165:I165)=0,"",LOOKUP(2,1/ISNUMBER(F165:I165),F165:I165))</f>
        <v/>
      </c>
      <c r="K165" s="26" t="str">
        <f aca="false">IF(OR(E165="",J165=""),"",E165-J165)</f>
        <v/>
      </c>
      <c r="L165" s="20"/>
      <c r="M165" s="20"/>
    </row>
    <row r="166" customFormat="false" ht="15" hidden="false" customHeight="fals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6" t="str">
        <f aca="false">IF(COUNT(F166:I166)=0,"",LOOKUP(2,1/ISNUMBER(F166:I166),F166:I166))</f>
        <v/>
      </c>
      <c r="K166" s="26" t="str">
        <f aca="false">IF(OR(E166="",J166=""),"",E166-J166)</f>
        <v/>
      </c>
      <c r="L166" s="20"/>
      <c r="M166" s="20"/>
    </row>
    <row r="167" customFormat="false" ht="15" hidden="false" customHeight="fals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6" t="str">
        <f aca="false">IF(COUNT(F167:I167)=0,"",LOOKUP(2,1/ISNUMBER(F167:I167),F167:I167))</f>
        <v/>
      </c>
      <c r="K167" s="26" t="str">
        <f aca="false">IF(OR(E167="",J167=""),"",E167-J167)</f>
        <v/>
      </c>
      <c r="L167" s="20"/>
      <c r="M167" s="20"/>
    </row>
    <row r="168" customFormat="false" ht="15" hidden="false" customHeight="fals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6" t="str">
        <f aca="false">IF(COUNT(F168:I168)=0,"",LOOKUP(2,1/ISNUMBER(F168:I168),F168:I168))</f>
        <v/>
      </c>
      <c r="K168" s="26" t="str">
        <f aca="false">IF(OR(E168="",J168=""),"",E168-J168)</f>
        <v/>
      </c>
      <c r="L168" s="20"/>
      <c r="M168" s="20"/>
    </row>
    <row r="169" customFormat="false" ht="15" hidden="false" customHeight="fals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6" t="str">
        <f aca="false">IF(COUNT(F169:I169)=0,"",LOOKUP(2,1/ISNUMBER(F169:I169),F169:I169))</f>
        <v/>
      </c>
      <c r="K169" s="26" t="str">
        <f aca="false">IF(OR(E169="",J169=""),"",E169-J169)</f>
        <v/>
      </c>
      <c r="L169" s="20"/>
      <c r="M169" s="20"/>
    </row>
    <row r="170" customFormat="false" ht="15" hidden="false" customHeight="fals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6" t="str">
        <f aca="false">IF(COUNT(F170:I170)=0,"",LOOKUP(2,1/ISNUMBER(F170:I170),F170:I170))</f>
        <v/>
      </c>
      <c r="K170" s="26" t="str">
        <f aca="false">IF(OR(E170="",J170=""),"",E170-J170)</f>
        <v/>
      </c>
      <c r="L170" s="20"/>
      <c r="M170" s="20"/>
    </row>
    <row r="171" customFormat="false" ht="15" hidden="false" customHeight="fals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6" t="str">
        <f aca="false">IF(COUNT(F171:I171)=0,"",LOOKUP(2,1/ISNUMBER(F171:I171),F171:I171))</f>
        <v/>
      </c>
      <c r="K171" s="26" t="str">
        <f aca="false">IF(OR(E171="",J171=""),"",E171-J171)</f>
        <v/>
      </c>
      <c r="L171" s="20"/>
      <c r="M171" s="20"/>
    </row>
    <row r="172" customFormat="false" ht="15" hidden="false" customHeight="fals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6" t="str">
        <f aca="false">IF(COUNT(F172:I172)=0,"",LOOKUP(2,1/ISNUMBER(F172:I172),F172:I172))</f>
        <v/>
      </c>
      <c r="K172" s="26" t="str">
        <f aca="false">IF(OR(E172="",J172=""),"",E172-J172)</f>
        <v/>
      </c>
      <c r="L172" s="20"/>
      <c r="M172" s="20"/>
    </row>
    <row r="173" customFormat="false" ht="15" hidden="false" customHeight="fals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6" t="str">
        <f aca="false">IF(COUNT(F173:I173)=0,"",LOOKUP(2,1/ISNUMBER(F173:I173),F173:I173))</f>
        <v/>
      </c>
      <c r="K173" s="26" t="str">
        <f aca="false">IF(OR(E173="",J173=""),"",E173-J173)</f>
        <v/>
      </c>
      <c r="L173" s="20"/>
      <c r="M173" s="20"/>
    </row>
    <row r="174" customFormat="false" ht="15" hidden="false" customHeight="fals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6" t="str">
        <f aca="false">IF(COUNT(F174:I174)=0,"",LOOKUP(2,1/ISNUMBER(F174:I174),F174:I174))</f>
        <v/>
      </c>
      <c r="K174" s="26" t="str">
        <f aca="false">IF(OR(E174="",J174=""),"",E174-J174)</f>
        <v/>
      </c>
      <c r="L174" s="20"/>
      <c r="M174" s="20"/>
    </row>
    <row r="175" customFormat="false" ht="15" hidden="false" customHeight="fals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6" t="str">
        <f aca="false">IF(COUNT(F175:I175)=0,"",LOOKUP(2,1/ISNUMBER(F175:I175),F175:I175))</f>
        <v/>
      </c>
      <c r="K175" s="26" t="str">
        <f aca="false">IF(OR(E175="",J175=""),"",E175-J175)</f>
        <v/>
      </c>
      <c r="L175" s="20"/>
      <c r="M175" s="20"/>
    </row>
    <row r="176" customFormat="false" ht="15" hidden="false" customHeight="fals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6" t="str">
        <f aca="false">IF(COUNT(F176:I176)=0,"",LOOKUP(2,1/ISNUMBER(F176:I176),F176:I176))</f>
        <v/>
      </c>
      <c r="K176" s="26" t="str">
        <f aca="false">IF(OR(E176="",J176=""),"",E176-J176)</f>
        <v/>
      </c>
      <c r="L176" s="20"/>
      <c r="M176" s="20"/>
    </row>
    <row r="177" customFormat="false" ht="15" hidden="false" customHeight="fals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6" t="str">
        <f aca="false">IF(COUNT(F177:I177)=0,"",LOOKUP(2,1/ISNUMBER(F177:I177),F177:I177))</f>
        <v/>
      </c>
      <c r="K177" s="26" t="str">
        <f aca="false">IF(OR(E177="",J177=""),"",E177-J177)</f>
        <v/>
      </c>
      <c r="L177" s="20"/>
      <c r="M177" s="20"/>
    </row>
    <row r="178" customFormat="false" ht="15" hidden="false" customHeight="fals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6" t="str">
        <f aca="false">IF(COUNT(F178:I178)=0,"",LOOKUP(2,1/ISNUMBER(F178:I178),F178:I178))</f>
        <v/>
      </c>
      <c r="K178" s="26" t="str">
        <f aca="false">IF(OR(E178="",J178=""),"",E178-J178)</f>
        <v/>
      </c>
      <c r="L178" s="20"/>
      <c r="M178" s="20"/>
    </row>
    <row r="179" customFormat="false" ht="15" hidden="false" customHeight="fals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6" t="str">
        <f aca="false">IF(COUNT(F179:I179)=0,"",LOOKUP(2,1/ISNUMBER(F179:I179),F179:I179))</f>
        <v/>
      </c>
      <c r="K179" s="26" t="str">
        <f aca="false">IF(OR(E179="",J179=""),"",E179-J179)</f>
        <v/>
      </c>
      <c r="L179" s="20"/>
      <c r="M179" s="20"/>
    </row>
    <row r="180" customFormat="false" ht="15" hidden="false" customHeight="fals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6" t="str">
        <f aca="false">IF(COUNT(F180:I180)=0,"",LOOKUP(2,1/ISNUMBER(F180:I180),F180:I180))</f>
        <v/>
      </c>
      <c r="K180" s="26" t="str">
        <f aca="false">IF(OR(E180="",J180=""),"",E180-J180)</f>
        <v/>
      </c>
      <c r="L180" s="20"/>
      <c r="M180" s="20"/>
    </row>
    <row r="181" customFormat="false" ht="15" hidden="false" customHeight="fals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6" t="str">
        <f aca="false">IF(COUNT(F181:I181)=0,"",LOOKUP(2,1/ISNUMBER(F181:I181),F181:I181))</f>
        <v/>
      </c>
      <c r="K181" s="26" t="str">
        <f aca="false">IF(OR(E181="",J181=""),"",E181-J181)</f>
        <v/>
      </c>
      <c r="L181" s="20"/>
      <c r="M181" s="20"/>
    </row>
    <row r="182" customFormat="false" ht="15" hidden="false" customHeight="fals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6" t="str">
        <f aca="false">IF(COUNT(F182:I182)=0,"",LOOKUP(2,1/ISNUMBER(F182:I182),F182:I182))</f>
        <v/>
      </c>
      <c r="K182" s="26" t="str">
        <f aca="false">IF(OR(E182="",J182=""),"",E182-J182)</f>
        <v/>
      </c>
      <c r="L182" s="20"/>
      <c r="M182" s="20"/>
    </row>
    <row r="183" customFormat="false" ht="15" hidden="false" customHeight="fals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6" t="str">
        <f aca="false">IF(COUNT(F183:I183)=0,"",LOOKUP(2,1/ISNUMBER(F183:I183),F183:I183))</f>
        <v/>
      </c>
      <c r="K183" s="26" t="str">
        <f aca="false">IF(OR(E183="",J183=""),"",E183-J183)</f>
        <v/>
      </c>
      <c r="L183" s="20"/>
      <c r="M183" s="20"/>
    </row>
    <row r="184" customFormat="false" ht="15" hidden="false" customHeight="fals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6" t="str">
        <f aca="false">IF(COUNT(F184:I184)=0,"",LOOKUP(2,1/ISNUMBER(F184:I184),F184:I184))</f>
        <v/>
      </c>
      <c r="K184" s="26" t="str">
        <f aca="false">IF(OR(E184="",J184=""),"",E184-J184)</f>
        <v/>
      </c>
      <c r="L184" s="20"/>
      <c r="M184" s="20"/>
    </row>
    <row r="185" customFormat="false" ht="15" hidden="false" customHeight="fals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6" t="str">
        <f aca="false">IF(COUNT(F185:I185)=0,"",LOOKUP(2,1/ISNUMBER(F185:I185),F185:I185))</f>
        <v/>
      </c>
      <c r="K185" s="26" t="str">
        <f aca="false">IF(OR(E185="",J185=""),"",E185-J185)</f>
        <v/>
      </c>
      <c r="L185" s="20"/>
      <c r="M185" s="20"/>
    </row>
    <row r="186" customFormat="false" ht="15" hidden="false" customHeight="fals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6" t="str">
        <f aca="false">IF(COUNT(F186:I186)=0,"",LOOKUP(2,1/ISNUMBER(F186:I186),F186:I186))</f>
        <v/>
      </c>
      <c r="K186" s="26" t="str">
        <f aca="false">IF(OR(E186="",J186=""),"",E186-J186)</f>
        <v/>
      </c>
      <c r="L186" s="20"/>
      <c r="M186" s="20"/>
    </row>
    <row r="187" customFormat="false" ht="15" hidden="false" customHeight="fals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6" t="str">
        <f aca="false">IF(COUNT(F187:I187)=0,"",LOOKUP(2,1/ISNUMBER(F187:I187),F187:I187))</f>
        <v/>
      </c>
      <c r="K187" s="26" t="str">
        <f aca="false">IF(OR(E187="",J187=""),"",E187-J187)</f>
        <v/>
      </c>
      <c r="L187" s="20"/>
      <c r="M187" s="20"/>
    </row>
    <row r="188" customFormat="false" ht="15" hidden="false" customHeight="fals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6" t="str">
        <f aca="false">IF(COUNT(F188:I188)=0,"",LOOKUP(2,1/ISNUMBER(F188:I188),F188:I188))</f>
        <v/>
      </c>
      <c r="K188" s="26" t="str">
        <f aca="false">IF(OR(E188="",J188=""),"",E188-J188)</f>
        <v/>
      </c>
      <c r="L188" s="20"/>
      <c r="M188" s="20"/>
    </row>
    <row r="189" customFormat="false" ht="15" hidden="false" customHeight="fals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6" t="str">
        <f aca="false">IF(COUNT(F189:I189)=0,"",LOOKUP(2,1/ISNUMBER(F189:I189),F189:I189))</f>
        <v/>
      </c>
      <c r="K189" s="26" t="str">
        <f aca="false">IF(OR(E189="",J189=""),"",E189-J189)</f>
        <v/>
      </c>
      <c r="L189" s="20"/>
      <c r="M189" s="20"/>
    </row>
    <row r="190" customFormat="false" ht="15" hidden="false" customHeight="fals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6" t="str">
        <f aca="false">IF(COUNT(F190:I190)=0,"",LOOKUP(2,1/ISNUMBER(F190:I190),F190:I190))</f>
        <v/>
      </c>
      <c r="K190" s="26" t="str">
        <f aca="false">IF(OR(E190="",J190=""),"",E190-J190)</f>
        <v/>
      </c>
      <c r="L190" s="20"/>
      <c r="M190" s="20"/>
    </row>
    <row r="191" customFormat="false" ht="15" hidden="false" customHeight="fals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6" t="str">
        <f aca="false">IF(COUNT(F191:I191)=0,"",LOOKUP(2,1/ISNUMBER(F191:I191),F191:I191))</f>
        <v/>
      </c>
      <c r="K191" s="26" t="str">
        <f aca="false">IF(OR(E191="",J191=""),"",E191-J191)</f>
        <v/>
      </c>
      <c r="L191" s="20"/>
      <c r="M191" s="20"/>
    </row>
    <row r="192" customFormat="false" ht="15" hidden="false" customHeight="fals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6" t="str">
        <f aca="false">IF(COUNT(F192:I192)=0,"",LOOKUP(2,1/ISNUMBER(F192:I192),F192:I192))</f>
        <v/>
      </c>
      <c r="K192" s="26" t="str">
        <f aca="false">IF(OR(E192="",J192=""),"",E192-J192)</f>
        <v/>
      </c>
      <c r="L192" s="20"/>
      <c r="M192" s="20"/>
    </row>
    <row r="193" customFormat="false" ht="15" hidden="false" customHeight="fals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6" t="str">
        <f aca="false">IF(COUNT(F193:I193)=0,"",LOOKUP(2,1/ISNUMBER(F193:I193),F193:I193))</f>
        <v/>
      </c>
      <c r="K193" s="26" t="str">
        <f aca="false">IF(OR(E193="",J193=""),"",E193-J193)</f>
        <v/>
      </c>
      <c r="L193" s="20"/>
      <c r="M193" s="20"/>
    </row>
    <row r="194" customFormat="false" ht="15" hidden="false" customHeight="fals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6" t="str">
        <f aca="false">IF(COUNT(F194:I194)=0,"",LOOKUP(2,1/ISNUMBER(F194:I194),F194:I194))</f>
        <v/>
      </c>
      <c r="K194" s="26" t="str">
        <f aca="false">IF(OR(E194="",J194=""),"",E194-J194)</f>
        <v/>
      </c>
      <c r="L194" s="20"/>
      <c r="M194" s="20"/>
    </row>
    <row r="195" customFormat="false" ht="15" hidden="false" customHeight="fals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6" t="str">
        <f aca="false">IF(COUNT(F195:I195)=0,"",LOOKUP(2,1/ISNUMBER(F195:I195),F195:I195))</f>
        <v/>
      </c>
      <c r="K195" s="26" t="str">
        <f aca="false">IF(OR(E195="",J195=""),"",E195-J195)</f>
        <v/>
      </c>
      <c r="L195" s="20"/>
      <c r="M195" s="20"/>
    </row>
    <row r="196" customFormat="false" ht="15" hidden="false" customHeight="fals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6" t="str">
        <f aca="false">IF(COUNT(F196:I196)=0,"",LOOKUP(2,1/ISNUMBER(F196:I196),F196:I196))</f>
        <v/>
      </c>
      <c r="K196" s="26" t="str">
        <f aca="false">IF(OR(E196="",J196=""),"",E196-J196)</f>
        <v/>
      </c>
      <c r="L196" s="20"/>
      <c r="M196" s="20"/>
    </row>
    <row r="197" customFormat="false" ht="15" hidden="false" customHeight="fals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6" t="str">
        <f aca="false">IF(COUNT(F197:I197)=0,"",LOOKUP(2,1/ISNUMBER(F197:I197),F197:I197))</f>
        <v/>
      </c>
      <c r="K197" s="26" t="str">
        <f aca="false">IF(OR(E197="",J197=""),"",E197-J197)</f>
        <v/>
      </c>
      <c r="L197" s="20"/>
      <c r="M197" s="20"/>
    </row>
    <row r="198" customFormat="false" ht="15" hidden="false" customHeight="fals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6" t="str">
        <f aca="false">IF(COUNT(F198:I198)=0,"",LOOKUP(2,1/ISNUMBER(F198:I198),F198:I198))</f>
        <v/>
      </c>
      <c r="K198" s="26" t="str">
        <f aca="false">IF(OR(E198="",J198=""),"",E198-J198)</f>
        <v/>
      </c>
      <c r="L198" s="20"/>
      <c r="M198" s="20"/>
    </row>
    <row r="199" customFormat="false" ht="15" hidden="false" customHeight="fals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6" t="str">
        <f aca="false">IF(COUNT(F199:I199)=0,"",LOOKUP(2,1/ISNUMBER(F199:I199),F199:I199))</f>
        <v/>
      </c>
      <c r="K199" s="26" t="str">
        <f aca="false">IF(OR(E199="",J199=""),"",E199-J199)</f>
        <v/>
      </c>
      <c r="L199" s="20"/>
      <c r="M199" s="20"/>
    </row>
    <row r="200" customFormat="false" ht="15" hidden="false" customHeight="fals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6" t="str">
        <f aca="false">IF(COUNT(F200:I200)=0,"",LOOKUP(2,1/ISNUMBER(F200:I200),F200:I200))</f>
        <v/>
      </c>
      <c r="K200" s="26" t="str">
        <f aca="false">IF(OR(E200="",J200=""),"",E200-J200)</f>
        <v/>
      </c>
      <c r="L200" s="20"/>
      <c r="M200" s="20"/>
    </row>
    <row r="201" customFormat="false" ht="15" hidden="false" customHeight="fals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6" t="str">
        <f aca="false">IF(COUNT(F201:I201)=0,"",LOOKUP(2,1/ISNUMBER(F201:I201),F201:I201))</f>
        <v/>
      </c>
      <c r="K201" s="26" t="str">
        <f aca="false">IF(OR(E201="",J201=""),"",E201-J201)</f>
        <v/>
      </c>
      <c r="L201" s="20"/>
      <c r="M201" s="20"/>
    </row>
    <row r="202" customFormat="false" ht="15" hidden="false" customHeight="fals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6" t="str">
        <f aca="false">IF(COUNT(F202:I202)=0,"",LOOKUP(2,1/ISNUMBER(F202:I202),F202:I202))</f>
        <v/>
      </c>
      <c r="K202" s="26" t="str">
        <f aca="false">IF(OR(E202="",J202=""),"",E202-J202)</f>
        <v/>
      </c>
      <c r="L202" s="20"/>
      <c r="M202" s="20"/>
    </row>
    <row r="203" customFormat="false" ht="15" hidden="false" customHeight="fals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6" t="str">
        <f aca="false">IF(COUNT(F203:I203)=0,"",LOOKUP(2,1/ISNUMBER(F203:I203),F203:I203))</f>
        <v/>
      </c>
      <c r="K203" s="26" t="str">
        <f aca="false">IF(OR(E203="",J203=""),"",E203-J203)</f>
        <v/>
      </c>
      <c r="L203" s="20"/>
      <c r="M203" s="20"/>
    </row>
    <row r="204" customFormat="false" ht="15" hidden="false" customHeight="fals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6" t="str">
        <f aca="false">IF(COUNT(F204:I204)=0,"",LOOKUP(2,1/ISNUMBER(F204:I204),F204:I204))</f>
        <v/>
      </c>
      <c r="K204" s="26" t="str">
        <f aca="false">IF(OR(E204="",J204=""),"",E204-J204)</f>
        <v/>
      </c>
      <c r="L204" s="20"/>
      <c r="M204" s="20"/>
    </row>
    <row r="205" customFormat="false" ht="15" hidden="false" customHeight="fals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6" t="str">
        <f aca="false">IF(COUNT(F205:I205)=0,"",LOOKUP(2,1/ISNUMBER(F205:I205),F205:I205))</f>
        <v/>
      </c>
      <c r="K205" s="26" t="str">
        <f aca="false">IF(OR(E205="",J205=""),"",E205-J205)</f>
        <v/>
      </c>
      <c r="L205" s="20"/>
      <c r="M205" s="20"/>
    </row>
    <row r="206" customFormat="false" ht="15" hidden="false" customHeight="fals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6" t="str">
        <f aca="false">IF(COUNT(F206:I206)=0,"",LOOKUP(2,1/ISNUMBER(F206:I206),F206:I206))</f>
        <v/>
      </c>
      <c r="K206" s="26" t="str">
        <f aca="false">IF(OR(E206="",J206=""),"",E206-J206)</f>
        <v/>
      </c>
      <c r="L206" s="20"/>
      <c r="M206" s="20"/>
    </row>
    <row r="207" customFormat="false" ht="15" hidden="false" customHeight="fals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6" t="str">
        <f aca="false">IF(COUNT(F207:I207)=0,"",LOOKUP(2,1/ISNUMBER(F207:I207),F207:I207))</f>
        <v/>
      </c>
      <c r="K207" s="26" t="str">
        <f aca="false">IF(OR(E207="",J207=""),"",E207-J207)</f>
        <v/>
      </c>
      <c r="L207" s="20"/>
      <c r="M207" s="20"/>
    </row>
    <row r="208" customFormat="false" ht="15" hidden="false" customHeight="fals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6" t="str">
        <f aca="false">IF(COUNT(F208:I208)=0,"",LOOKUP(2,1/ISNUMBER(F208:I208),F208:I208))</f>
        <v/>
      </c>
      <c r="K208" s="26" t="str">
        <f aca="false">IF(OR(E208="",J208=""),"",E208-J208)</f>
        <v/>
      </c>
      <c r="L208" s="20"/>
      <c r="M208" s="20"/>
    </row>
    <row r="209" customFormat="false" ht="15" hidden="false" customHeight="fals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6" t="str">
        <f aca="false">IF(COUNT(F209:I209)=0,"",LOOKUP(2,1/ISNUMBER(F209:I209),F209:I209))</f>
        <v/>
      </c>
      <c r="K209" s="26" t="str">
        <f aca="false">IF(OR(E209="",J209=""),"",E209-J209)</f>
        <v/>
      </c>
      <c r="L209" s="20"/>
      <c r="M209" s="20"/>
    </row>
    <row r="210" customFormat="false" ht="15" hidden="false" customHeight="fals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6" t="str">
        <f aca="false">IF(COUNT(F210:I210)=0,"",LOOKUP(2,1/ISNUMBER(F210:I210),F210:I210))</f>
        <v/>
      </c>
      <c r="K210" s="26" t="str">
        <f aca="false">IF(OR(E210="",J210=""),"",E210-J210)</f>
        <v/>
      </c>
      <c r="L210" s="20"/>
      <c r="M210" s="20"/>
    </row>
    <row r="211" customFormat="false" ht="15" hidden="false" customHeight="fals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6" t="str">
        <f aca="false">IF(COUNT(F211:I211)=0,"",LOOKUP(2,1/ISNUMBER(F211:I211),F211:I211))</f>
        <v/>
      </c>
      <c r="K211" s="26" t="str">
        <f aca="false">IF(OR(E211="",J211=""),"",E211-J211)</f>
        <v/>
      </c>
      <c r="L211" s="20"/>
      <c r="M211" s="20"/>
    </row>
    <row r="212" customFormat="false" ht="15" hidden="false" customHeight="fals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6" t="str">
        <f aca="false">IF(COUNT(F212:I212)=0,"",LOOKUP(2,1/ISNUMBER(F212:I212),F212:I212))</f>
        <v/>
      </c>
      <c r="K212" s="26" t="str">
        <f aca="false">IF(OR(E212="",J212=""),"",E212-J212)</f>
        <v/>
      </c>
      <c r="L212" s="20"/>
      <c r="M212" s="20"/>
    </row>
    <row r="213" customFormat="false" ht="15" hidden="false" customHeight="fals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6" t="str">
        <f aca="false">IF(COUNT(F213:I213)=0,"",LOOKUP(2,1/ISNUMBER(F213:I213),F213:I213))</f>
        <v/>
      </c>
      <c r="K213" s="26" t="str">
        <f aca="false">IF(OR(E213="",J213=""),"",E213-J213)</f>
        <v/>
      </c>
      <c r="L213" s="20"/>
      <c r="M213" s="20"/>
    </row>
    <row r="214" customFormat="false" ht="15" hidden="false" customHeight="fals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6" t="str">
        <f aca="false">IF(COUNT(F214:I214)=0,"",LOOKUP(2,1/ISNUMBER(F214:I214),F214:I214))</f>
        <v/>
      </c>
      <c r="K214" s="26" t="str">
        <f aca="false">IF(OR(E214="",J214=""),"",E214-J214)</f>
        <v/>
      </c>
      <c r="L214" s="20"/>
      <c r="M214" s="20"/>
    </row>
    <row r="215" customFormat="false" ht="15" hidden="false" customHeight="fals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6" t="str">
        <f aca="false">IF(COUNT(F215:I215)=0,"",LOOKUP(2,1/ISNUMBER(F215:I215),F215:I215))</f>
        <v/>
      </c>
      <c r="K215" s="26" t="str">
        <f aca="false">IF(OR(E215="",J215=""),"",E215-J215)</f>
        <v/>
      </c>
      <c r="L215" s="20"/>
      <c r="M215" s="20"/>
    </row>
    <row r="216" customFormat="false" ht="15" hidden="false" customHeight="fals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6" t="str">
        <f aca="false">IF(COUNT(F216:I216)=0,"",LOOKUP(2,1/ISNUMBER(F216:I216),F216:I216))</f>
        <v/>
      </c>
      <c r="K216" s="26" t="str">
        <f aca="false">IF(OR(E216="",J216=""),"",E216-J216)</f>
        <v/>
      </c>
      <c r="L216" s="20"/>
      <c r="M216" s="20"/>
    </row>
    <row r="217" customFormat="false" ht="15" hidden="false" customHeight="fals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6" t="str">
        <f aca="false">IF(COUNT(F217:I217)=0,"",LOOKUP(2,1/ISNUMBER(F217:I217),F217:I217))</f>
        <v/>
      </c>
      <c r="K217" s="26" t="str">
        <f aca="false">IF(OR(E217="",J217=""),"",E217-J217)</f>
        <v/>
      </c>
      <c r="L217" s="20"/>
      <c r="M217" s="20"/>
    </row>
    <row r="218" customFormat="false" ht="15" hidden="false" customHeight="fals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6" t="str">
        <f aca="false">IF(COUNT(F218:I218)=0,"",LOOKUP(2,1/ISNUMBER(F218:I218),F218:I218))</f>
        <v/>
      </c>
      <c r="K218" s="26" t="str">
        <f aca="false">IF(OR(E218="",J218=""),"",E218-J218)</f>
        <v/>
      </c>
      <c r="L218" s="20"/>
      <c r="M218" s="20"/>
    </row>
    <row r="219" customFormat="false" ht="15" hidden="false" customHeight="fals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6" t="str">
        <f aca="false">IF(COUNT(F219:I219)=0,"",LOOKUP(2,1/ISNUMBER(F219:I219),F219:I219))</f>
        <v/>
      </c>
      <c r="K219" s="26" t="str">
        <f aca="false">IF(OR(E219="",J219=""),"",E219-J219)</f>
        <v/>
      </c>
      <c r="L219" s="20"/>
      <c r="M219" s="20"/>
    </row>
    <row r="220" customFormat="false" ht="15" hidden="false" customHeight="fals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6" t="str">
        <f aca="false">IF(COUNT(F220:I220)=0,"",LOOKUP(2,1/ISNUMBER(F220:I220),F220:I220))</f>
        <v/>
      </c>
      <c r="K220" s="26" t="str">
        <f aca="false">IF(OR(E220="",J220=""),"",E220-J220)</f>
        <v/>
      </c>
      <c r="L220" s="20"/>
      <c r="M220" s="20"/>
    </row>
    <row r="221" customFormat="false" ht="15" hidden="false" customHeight="fals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6" t="str">
        <f aca="false">IF(COUNT(F221:I221)=0,"",LOOKUP(2,1/ISNUMBER(F221:I221),F221:I221))</f>
        <v/>
      </c>
      <c r="K221" s="26" t="str">
        <f aca="false">IF(OR(E221="",J221=""),"",E221-J221)</f>
        <v/>
      </c>
      <c r="L221" s="20"/>
      <c r="M221" s="20"/>
    </row>
    <row r="222" customFormat="false" ht="15" hidden="false" customHeight="fals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6" t="str">
        <f aca="false">IF(COUNT(F222:I222)=0,"",LOOKUP(2,1/ISNUMBER(F222:I222),F222:I222))</f>
        <v/>
      </c>
      <c r="K222" s="26" t="str">
        <f aca="false">IF(OR(E222="",J222=""),"",E222-J222)</f>
        <v/>
      </c>
      <c r="L222" s="20"/>
      <c r="M222" s="20"/>
    </row>
    <row r="223" customFormat="false" ht="15" hidden="false" customHeight="fals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6" t="str">
        <f aca="false">IF(COUNT(F223:I223)=0,"",LOOKUP(2,1/ISNUMBER(F223:I223),F223:I223))</f>
        <v/>
      </c>
      <c r="K223" s="26" t="str">
        <f aca="false">IF(OR(E223="",J223=""),"",E223-J223)</f>
        <v/>
      </c>
      <c r="L223" s="20"/>
      <c r="M223" s="20"/>
    </row>
    <row r="224" customFormat="false" ht="15" hidden="false" customHeight="fals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6" t="str">
        <f aca="false">IF(COUNT(F224:I224)=0,"",LOOKUP(2,1/ISNUMBER(F224:I224),F224:I224))</f>
        <v/>
      </c>
      <c r="K224" s="26" t="str">
        <f aca="false">IF(OR(E224="",J224=""),"",E224-J224)</f>
        <v/>
      </c>
      <c r="L224" s="20"/>
      <c r="M224" s="20"/>
    </row>
    <row r="225" customFormat="false" ht="15" hidden="false" customHeight="fals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6" t="str">
        <f aca="false">IF(COUNT(F225:I225)=0,"",LOOKUP(2,1/ISNUMBER(F225:I225),F225:I225))</f>
        <v/>
      </c>
      <c r="K225" s="26" t="str">
        <f aca="false">IF(OR(E225="",J225=""),"",E225-J225)</f>
        <v/>
      </c>
      <c r="L225" s="20"/>
      <c r="M225" s="20"/>
    </row>
    <row r="226" customFormat="false" ht="15" hidden="false" customHeight="fals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6" t="str">
        <f aca="false">IF(COUNT(F226:I226)=0,"",LOOKUP(2,1/ISNUMBER(F226:I226),F226:I226))</f>
        <v/>
      </c>
      <c r="K226" s="26" t="str">
        <f aca="false">IF(OR(E226="",J226=""),"",E226-J226)</f>
        <v/>
      </c>
      <c r="L226" s="20"/>
      <c r="M226" s="20"/>
    </row>
    <row r="227" customFormat="false" ht="15" hidden="false" customHeight="fals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6" t="str">
        <f aca="false">IF(COUNT(F227:I227)=0,"",LOOKUP(2,1/ISNUMBER(F227:I227),F227:I227))</f>
        <v/>
      </c>
      <c r="K227" s="26" t="str">
        <f aca="false">IF(OR(E227="",J227=""),"",E227-J227)</f>
        <v/>
      </c>
      <c r="L227" s="20"/>
      <c r="M227" s="20"/>
    </row>
    <row r="228" customFormat="false" ht="15" hidden="false" customHeight="fals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6" t="str">
        <f aca="false">IF(COUNT(F228:I228)=0,"",LOOKUP(2,1/ISNUMBER(F228:I228),F228:I228))</f>
        <v/>
      </c>
      <c r="K228" s="26" t="str">
        <f aca="false">IF(OR(E228="",J228=""),"",E228-J228)</f>
        <v/>
      </c>
      <c r="L228" s="20"/>
      <c r="M228" s="20"/>
    </row>
    <row r="229" customFormat="false" ht="15" hidden="false" customHeight="fals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6" t="str">
        <f aca="false">IF(COUNT(F229:I229)=0,"",LOOKUP(2,1/ISNUMBER(F229:I229),F229:I229))</f>
        <v/>
      </c>
      <c r="K229" s="26" t="str">
        <f aca="false">IF(OR(E229="",J229=""),"",E229-J229)</f>
        <v/>
      </c>
      <c r="L229" s="20"/>
      <c r="M229" s="20"/>
    </row>
    <row r="230" customFormat="false" ht="15" hidden="false" customHeight="fals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6" t="str">
        <f aca="false">IF(COUNT(F230:I230)=0,"",LOOKUP(2,1/ISNUMBER(F230:I230),F230:I230))</f>
        <v/>
      </c>
      <c r="K230" s="26" t="str">
        <f aca="false">IF(OR(E230="",J230=""),"",E230-J230)</f>
        <v/>
      </c>
      <c r="L230" s="20"/>
      <c r="M230" s="20"/>
    </row>
    <row r="231" customFormat="false" ht="15" hidden="false" customHeight="fals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6" t="str">
        <f aca="false">IF(COUNT(F231:I231)=0,"",LOOKUP(2,1/ISNUMBER(F231:I231),F231:I231))</f>
        <v/>
      </c>
      <c r="K231" s="26" t="str">
        <f aca="false">IF(OR(E231="",J231=""),"",E231-J231)</f>
        <v/>
      </c>
      <c r="L231" s="20"/>
      <c r="M231" s="20"/>
    </row>
    <row r="232" customFormat="false" ht="15" hidden="false" customHeight="fals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6" t="str">
        <f aca="false">IF(COUNT(F232:I232)=0,"",LOOKUP(2,1/ISNUMBER(F232:I232),F232:I232))</f>
        <v/>
      </c>
      <c r="K232" s="26" t="str">
        <f aca="false">IF(OR(E232="",J232=""),"",E232-J232)</f>
        <v/>
      </c>
      <c r="L232" s="20"/>
      <c r="M232" s="20"/>
    </row>
    <row r="233" customFormat="false" ht="15" hidden="false" customHeight="fals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6" t="str">
        <f aca="false">IF(COUNT(F233:I233)=0,"",LOOKUP(2,1/ISNUMBER(F233:I233),F233:I233))</f>
        <v/>
      </c>
      <c r="K233" s="26" t="str">
        <f aca="false">IF(OR(E233="",J233=""),"",E233-J233)</f>
        <v/>
      </c>
      <c r="L233" s="20"/>
      <c r="M233" s="20"/>
    </row>
    <row r="234" customFormat="false" ht="15" hidden="false" customHeight="fals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6" t="str">
        <f aca="false">IF(COUNT(F234:I234)=0,"",LOOKUP(2,1/ISNUMBER(F234:I234),F234:I234))</f>
        <v/>
      </c>
      <c r="K234" s="26" t="str">
        <f aca="false">IF(OR(E234="",J234=""),"",E234-J234)</f>
        <v/>
      </c>
      <c r="L234" s="20"/>
      <c r="M234" s="20"/>
    </row>
    <row r="235" customFormat="false" ht="15" hidden="false" customHeight="fals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6" t="str">
        <f aca="false">IF(COUNT(F235:I235)=0,"",LOOKUP(2,1/ISNUMBER(F235:I235),F235:I235))</f>
        <v/>
      </c>
      <c r="K235" s="26" t="str">
        <f aca="false">IF(OR(E235="",J235=""),"",E235-J235)</f>
        <v/>
      </c>
      <c r="L235" s="20"/>
      <c r="M235" s="20"/>
    </row>
    <row r="236" customFormat="false" ht="15" hidden="false" customHeight="fals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6" t="str">
        <f aca="false">IF(COUNT(F236:I236)=0,"",LOOKUP(2,1/ISNUMBER(F236:I236),F236:I236))</f>
        <v/>
      </c>
      <c r="K236" s="26" t="str">
        <f aca="false">IF(OR(E236="",J236=""),"",E236-J236)</f>
        <v/>
      </c>
      <c r="L236" s="20"/>
      <c r="M236" s="20"/>
    </row>
    <row r="237" customFormat="false" ht="15" hidden="false" customHeight="fals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6" t="str">
        <f aca="false">IF(COUNT(F237:I237)=0,"",LOOKUP(2,1/ISNUMBER(F237:I237),F237:I237))</f>
        <v/>
      </c>
      <c r="K237" s="26" t="str">
        <f aca="false">IF(OR(E237="",J237=""),"",E237-J237)</f>
        <v/>
      </c>
      <c r="L237" s="20"/>
      <c r="M237" s="20"/>
    </row>
    <row r="238" customFormat="false" ht="15" hidden="false" customHeight="fals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6" t="str">
        <f aca="false">IF(COUNT(F238:I238)=0,"",LOOKUP(2,1/ISNUMBER(F238:I238),F238:I238))</f>
        <v/>
      </c>
      <c r="K238" s="26" t="str">
        <f aca="false">IF(OR(E238="",J238=""),"",E238-J238)</f>
        <v/>
      </c>
      <c r="L238" s="20"/>
      <c r="M238" s="20"/>
    </row>
    <row r="239" customFormat="false" ht="15" hidden="false" customHeight="fals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6" t="str">
        <f aca="false">IF(COUNT(F239:I239)=0,"",LOOKUP(2,1/ISNUMBER(F239:I239),F239:I239))</f>
        <v/>
      </c>
      <c r="K239" s="26" t="str">
        <f aca="false">IF(OR(E239="",J239=""),"",E239-J239)</f>
        <v/>
      </c>
      <c r="L239" s="20"/>
      <c r="M239" s="20"/>
    </row>
    <row r="240" customFormat="false" ht="15" hidden="false" customHeight="fals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6" t="str">
        <f aca="false">IF(COUNT(F240:I240)=0,"",LOOKUP(2,1/ISNUMBER(F240:I240),F240:I240))</f>
        <v/>
      </c>
      <c r="K240" s="26" t="str">
        <f aca="false">IF(OR(E240="",J240=""),"",E240-J240)</f>
        <v/>
      </c>
      <c r="L240" s="20"/>
      <c r="M240" s="20"/>
    </row>
    <row r="241" customFormat="false" ht="15" hidden="false" customHeight="fals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6" t="str">
        <f aca="false">IF(COUNT(F241:I241)=0,"",LOOKUP(2,1/ISNUMBER(F241:I241),F241:I241))</f>
        <v/>
      </c>
      <c r="K241" s="26" t="str">
        <f aca="false">IF(OR(E241="",J241=""),"",E241-J241)</f>
        <v/>
      </c>
      <c r="L241" s="20"/>
      <c r="M241" s="20"/>
    </row>
    <row r="242" customFormat="false" ht="15" hidden="false" customHeight="fals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6" t="str">
        <f aca="false">IF(COUNT(F242:I242)=0,"",LOOKUP(2,1/ISNUMBER(F242:I242),F242:I242))</f>
        <v/>
      </c>
      <c r="K242" s="26" t="str">
        <f aca="false">IF(OR(E242="",J242=""),"",E242-J242)</f>
        <v/>
      </c>
      <c r="L242" s="20"/>
      <c r="M242" s="20"/>
    </row>
    <row r="243" customFormat="false" ht="15" hidden="false" customHeight="fals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6" t="str">
        <f aca="false">IF(COUNT(F243:I243)=0,"",LOOKUP(2,1/ISNUMBER(F243:I243),F243:I243))</f>
        <v/>
      </c>
      <c r="K243" s="26" t="str">
        <f aca="false">IF(OR(E243="",J243=""),"",E243-J243)</f>
        <v/>
      </c>
      <c r="L243" s="20"/>
      <c r="M243" s="20"/>
    </row>
    <row r="244" customFormat="false" ht="15" hidden="false" customHeight="fals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6" t="str">
        <f aca="false">IF(COUNT(F244:I244)=0,"",LOOKUP(2,1/ISNUMBER(F244:I244),F244:I244))</f>
        <v/>
      </c>
      <c r="K244" s="26" t="str">
        <f aca="false">IF(OR(E244="",J244=""),"",E244-J244)</f>
        <v/>
      </c>
      <c r="L244" s="20"/>
      <c r="M244" s="20"/>
    </row>
    <row r="245" customFormat="false" ht="15" hidden="false" customHeight="fals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6" t="str">
        <f aca="false">IF(COUNT(F245:I245)=0,"",LOOKUP(2,1/ISNUMBER(F245:I245),F245:I245))</f>
        <v/>
      </c>
      <c r="K245" s="26" t="str">
        <f aca="false">IF(OR(E245="",J245=""),"",E245-J245)</f>
        <v/>
      </c>
      <c r="L245" s="20"/>
      <c r="M245" s="20"/>
    </row>
    <row r="246" customFormat="false" ht="15" hidden="false" customHeight="fals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6" t="str">
        <f aca="false">IF(COUNT(F246:I246)=0,"",LOOKUP(2,1/ISNUMBER(F246:I246),F246:I246))</f>
        <v/>
      </c>
      <c r="K246" s="26" t="str">
        <f aca="false">IF(OR(E246="",J246=""),"",E246-J246)</f>
        <v/>
      </c>
      <c r="L246" s="20"/>
      <c r="M246" s="20"/>
    </row>
    <row r="247" customFormat="false" ht="15" hidden="false" customHeight="fals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6" t="str">
        <f aca="false">IF(COUNT(F247:I247)=0,"",LOOKUP(2,1/ISNUMBER(F247:I247),F247:I247))</f>
        <v/>
      </c>
      <c r="K247" s="26" t="str">
        <f aca="false">IF(OR(E247="",J247=""),"",E247-J247)</f>
        <v/>
      </c>
      <c r="L247" s="20"/>
      <c r="M247" s="20"/>
    </row>
    <row r="248" customFormat="false" ht="15" hidden="false" customHeight="fals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6" t="str">
        <f aca="false">IF(COUNT(F248:I248)=0,"",LOOKUP(2,1/ISNUMBER(F248:I248),F248:I248))</f>
        <v/>
      </c>
      <c r="K248" s="26" t="str">
        <f aca="false">IF(OR(E248="",J248=""),"",E248-J248)</f>
        <v/>
      </c>
      <c r="L248" s="20"/>
      <c r="M248" s="20"/>
    </row>
    <row r="249" customFormat="false" ht="15" hidden="false" customHeight="fals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6" t="str">
        <f aca="false">IF(COUNT(F249:I249)=0,"",LOOKUP(2,1/ISNUMBER(F249:I249),F249:I249))</f>
        <v/>
      </c>
      <c r="K249" s="26" t="str">
        <f aca="false">IF(OR(E249="",J249=""),"",E249-J249)</f>
        <v/>
      </c>
      <c r="L249" s="20"/>
      <c r="M249" s="20"/>
    </row>
    <row r="250" customFormat="false" ht="15" hidden="false" customHeight="fals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6" t="str">
        <f aca="false">IF(COUNT(F250:I250)=0,"",LOOKUP(2,1/ISNUMBER(F250:I250),F250:I250))</f>
        <v/>
      </c>
      <c r="K250" s="26" t="str">
        <f aca="false">IF(OR(E250="",J250=""),"",E250-J250)</f>
        <v/>
      </c>
      <c r="L250" s="20"/>
      <c r="M250" s="20"/>
    </row>
    <row r="251" customFormat="false" ht="15" hidden="false" customHeight="fals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6" t="str">
        <f aca="false">IF(COUNT(F251:I251)=0,"",LOOKUP(2,1/ISNUMBER(F251:I251),F251:I251))</f>
        <v/>
      </c>
      <c r="K251" s="26" t="str">
        <f aca="false">IF(OR(E251="",J251=""),"",E251-J251)</f>
        <v/>
      </c>
      <c r="L251" s="20"/>
      <c r="M251" s="20"/>
    </row>
    <row r="252" customFormat="false" ht="15" hidden="false" customHeight="fals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6" t="str">
        <f aca="false">IF(COUNT(F252:I252)=0,"",LOOKUP(2,1/ISNUMBER(F252:I252),F252:I252))</f>
        <v/>
      </c>
      <c r="K252" s="26" t="str">
        <f aca="false">IF(OR(E252="",J252=""),"",E252-J252)</f>
        <v/>
      </c>
      <c r="L252" s="20"/>
      <c r="M252" s="20"/>
    </row>
    <row r="253" customFormat="false" ht="15" hidden="false" customHeight="fals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6" t="str">
        <f aca="false">IF(COUNT(F253:I253)=0,"",LOOKUP(2,1/ISNUMBER(F253:I253),F253:I253))</f>
        <v/>
      </c>
      <c r="K253" s="26" t="str">
        <f aca="false">IF(OR(E253="",J253=""),"",E253-J253)</f>
        <v/>
      </c>
      <c r="L253" s="20"/>
      <c r="M253" s="20"/>
    </row>
    <row r="254" customFormat="false" ht="15" hidden="false" customHeight="fals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6" t="str">
        <f aca="false">IF(COUNT(F254:I254)=0,"",LOOKUP(2,1/ISNUMBER(F254:I254),F254:I254))</f>
        <v/>
      </c>
      <c r="K254" s="26" t="str">
        <f aca="false">IF(OR(E254="",J254=""),"",E254-J254)</f>
        <v/>
      </c>
      <c r="L254" s="20"/>
      <c r="M254" s="20"/>
    </row>
    <row r="255" customFormat="false" ht="15" hidden="false" customHeight="fals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6" t="str">
        <f aca="false">IF(COUNT(F255:I255)=0,"",LOOKUP(2,1/ISNUMBER(F255:I255),F255:I255))</f>
        <v/>
      </c>
      <c r="K255" s="26" t="str">
        <f aca="false">IF(OR(E255="",J255=""),"",E255-J255)</f>
        <v/>
      </c>
      <c r="L255" s="20"/>
      <c r="M255" s="20"/>
    </row>
    <row r="256" customFormat="false" ht="15" hidden="false" customHeight="fals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6" t="str">
        <f aca="false">IF(COUNT(F256:I256)=0,"",LOOKUP(2,1/ISNUMBER(F256:I256),F256:I256))</f>
        <v/>
      </c>
      <c r="K256" s="26" t="str">
        <f aca="false">IF(OR(E256="",J256=""),"",E256-J256)</f>
        <v/>
      </c>
      <c r="L256" s="20"/>
      <c r="M256" s="20"/>
    </row>
    <row r="257" customFormat="false" ht="15" hidden="false" customHeight="fals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6" t="str">
        <f aca="false">IF(COUNT(F257:I257)=0,"",LOOKUP(2,1/ISNUMBER(F257:I257),F257:I257))</f>
        <v/>
      </c>
      <c r="K257" s="26" t="str">
        <f aca="false">IF(OR(E257="",J257=""),"",E257-J257)</f>
        <v/>
      </c>
      <c r="L257" s="20"/>
      <c r="M257" s="20"/>
    </row>
    <row r="258" customFormat="false" ht="15" hidden="false" customHeight="fals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6" t="str">
        <f aca="false">IF(COUNT(F258:I258)=0,"",LOOKUP(2,1/ISNUMBER(F258:I258),F258:I258))</f>
        <v/>
      </c>
      <c r="K258" s="26" t="str">
        <f aca="false">IF(OR(E258="",J258=""),"",E258-J258)</f>
        <v/>
      </c>
      <c r="L258" s="20"/>
      <c r="M258" s="20"/>
    </row>
    <row r="259" customFormat="false" ht="15" hidden="false" customHeight="fals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6" t="str">
        <f aca="false">IF(COUNT(F259:I259)=0,"",LOOKUP(2,1/ISNUMBER(F259:I259),F259:I259))</f>
        <v/>
      </c>
      <c r="K259" s="26" t="str">
        <f aca="false">IF(OR(E259="",J259=""),"",E259-J259)</f>
        <v/>
      </c>
      <c r="L259" s="20"/>
      <c r="M259" s="20"/>
    </row>
    <row r="260" customFormat="false" ht="15" hidden="false" customHeight="fals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6" t="str">
        <f aca="false">IF(COUNT(F260:I260)=0,"",LOOKUP(2,1/ISNUMBER(F260:I260),F260:I260))</f>
        <v/>
      </c>
      <c r="K260" s="26" t="str">
        <f aca="false">IF(OR(E260="",J260=""),"",E260-J260)</f>
        <v/>
      </c>
      <c r="L260" s="20"/>
      <c r="M260" s="20"/>
    </row>
    <row r="261" customFormat="false" ht="15" hidden="false" customHeight="fals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6" t="str">
        <f aca="false">IF(COUNT(F261:I261)=0,"",LOOKUP(2,1/ISNUMBER(F261:I261),F261:I261))</f>
        <v/>
      </c>
      <c r="K261" s="26" t="str">
        <f aca="false">IF(OR(E261="",J261=""),"",E261-J261)</f>
        <v/>
      </c>
      <c r="L261" s="20"/>
      <c r="M261" s="20"/>
    </row>
    <row r="262" customFormat="false" ht="15" hidden="false" customHeight="fals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6" t="str">
        <f aca="false">IF(COUNT(F262:I262)=0,"",LOOKUP(2,1/ISNUMBER(F262:I262),F262:I262))</f>
        <v/>
      </c>
      <c r="K262" s="26" t="str">
        <f aca="false">IF(OR(E262="",J262=""),"",E262-J262)</f>
        <v/>
      </c>
      <c r="L262" s="20"/>
      <c r="M262" s="20"/>
    </row>
    <row r="263" customFormat="false" ht="15" hidden="false" customHeight="fals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6" t="str">
        <f aca="false">IF(COUNT(F263:I263)=0,"",LOOKUP(2,1/ISNUMBER(F263:I263),F263:I263))</f>
        <v/>
      </c>
      <c r="K263" s="26" t="str">
        <f aca="false">IF(OR(E263="",J263=""),"",E263-J263)</f>
        <v/>
      </c>
      <c r="L263" s="20"/>
      <c r="M263" s="20"/>
    </row>
    <row r="264" customFormat="false" ht="15" hidden="false" customHeight="fals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6" t="str">
        <f aca="false">IF(COUNT(F264:I264)=0,"",LOOKUP(2,1/ISNUMBER(F264:I264),F264:I264))</f>
        <v/>
      </c>
      <c r="K264" s="26" t="str">
        <f aca="false">IF(OR(E264="",J264=""),"",E264-J264)</f>
        <v/>
      </c>
      <c r="L264" s="20"/>
      <c r="M264" s="20"/>
    </row>
    <row r="265" customFormat="false" ht="15" hidden="false" customHeight="fals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6" t="str">
        <f aca="false">IF(COUNT(F265:I265)=0,"",LOOKUP(2,1/ISNUMBER(F265:I265),F265:I265))</f>
        <v/>
      </c>
      <c r="K265" s="26" t="str">
        <f aca="false">IF(OR(E265="",J265=""),"",E265-J265)</f>
        <v/>
      </c>
      <c r="L265" s="20"/>
      <c r="M265" s="20"/>
    </row>
    <row r="266" customFormat="false" ht="15" hidden="false" customHeight="fals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6" t="str">
        <f aca="false">IF(COUNT(F266:I266)=0,"",LOOKUP(2,1/ISNUMBER(F266:I266),F266:I266))</f>
        <v/>
      </c>
      <c r="K266" s="26" t="str">
        <f aca="false">IF(OR(E266="",J266=""),"",E266-J266)</f>
        <v/>
      </c>
      <c r="L266" s="20"/>
      <c r="M266" s="20"/>
    </row>
    <row r="267" customFormat="false" ht="15" hidden="false" customHeight="fals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6" t="str">
        <f aca="false">IF(COUNT(F267:I267)=0,"",LOOKUP(2,1/ISNUMBER(F267:I267),F267:I267))</f>
        <v/>
      </c>
      <c r="K267" s="26" t="str">
        <f aca="false">IF(OR(E267="",J267=""),"",E267-J267)</f>
        <v/>
      </c>
      <c r="L267" s="20"/>
      <c r="M267" s="20"/>
    </row>
    <row r="268" customFormat="false" ht="15" hidden="false" customHeight="fals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6" t="str">
        <f aca="false">IF(COUNT(F268:I268)=0,"",LOOKUP(2,1/ISNUMBER(F268:I268),F268:I268))</f>
        <v/>
      </c>
      <c r="K268" s="26" t="str">
        <f aca="false">IF(OR(E268="",J268=""),"",E268-J268)</f>
        <v/>
      </c>
      <c r="L268" s="20"/>
      <c r="M268" s="20"/>
    </row>
    <row r="269" customFormat="false" ht="15" hidden="false" customHeight="fals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6" t="str">
        <f aca="false">IF(COUNT(F269:I269)=0,"",LOOKUP(2,1/ISNUMBER(F269:I269),F269:I269))</f>
        <v/>
      </c>
      <c r="K269" s="26" t="str">
        <f aca="false">IF(OR(E269="",J269=""),"",E269-J269)</f>
        <v/>
      </c>
      <c r="L269" s="20"/>
      <c r="M269" s="20"/>
    </row>
    <row r="270" customFormat="false" ht="15" hidden="false" customHeight="fals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6" t="str">
        <f aca="false">IF(COUNT(F270:I270)=0,"",LOOKUP(2,1/ISNUMBER(F270:I270),F270:I270))</f>
        <v/>
      </c>
      <c r="K270" s="26" t="str">
        <f aca="false">IF(OR(E270="",J270=""),"",E270-J270)</f>
        <v/>
      </c>
      <c r="L270" s="20"/>
      <c r="M270" s="20"/>
    </row>
    <row r="271" customFormat="false" ht="15" hidden="false" customHeight="fals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6" t="str">
        <f aca="false">IF(COUNT(F271:I271)=0,"",LOOKUP(2,1/ISNUMBER(F271:I271),F271:I271))</f>
        <v/>
      </c>
      <c r="K271" s="26" t="str">
        <f aca="false">IF(OR(E271="",J271=""),"",E271-J271)</f>
        <v/>
      </c>
      <c r="L271" s="20"/>
      <c r="M271" s="20"/>
    </row>
    <row r="272" customFormat="false" ht="15" hidden="false" customHeight="fals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6" t="str">
        <f aca="false">IF(COUNT(F272:I272)=0,"",LOOKUP(2,1/ISNUMBER(F272:I272),F272:I272))</f>
        <v/>
      </c>
      <c r="K272" s="26" t="str">
        <f aca="false">IF(OR(E272="",J272=""),"",E272-J272)</f>
        <v/>
      </c>
      <c r="L272" s="20"/>
      <c r="M272" s="20"/>
    </row>
    <row r="273" customFormat="false" ht="15" hidden="false" customHeight="fals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6" t="str">
        <f aca="false">IF(COUNT(F273:I273)=0,"",LOOKUP(2,1/ISNUMBER(F273:I273),F273:I273))</f>
        <v/>
      </c>
      <c r="K273" s="26" t="str">
        <f aca="false">IF(OR(E273="",J273=""),"",E273-J273)</f>
        <v/>
      </c>
      <c r="L273" s="20"/>
      <c r="M273" s="20"/>
    </row>
    <row r="274" customFormat="false" ht="15" hidden="false" customHeight="fals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6" t="str">
        <f aca="false">IF(COUNT(F274:I274)=0,"",LOOKUP(2,1/ISNUMBER(F274:I274),F274:I274))</f>
        <v/>
      </c>
      <c r="K274" s="26" t="str">
        <f aca="false">IF(OR(E274="",J274=""),"",E274-J274)</f>
        <v/>
      </c>
      <c r="L274" s="20"/>
      <c r="M274" s="20"/>
    </row>
    <row r="275" customFormat="false" ht="15" hidden="false" customHeight="fals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6" t="str">
        <f aca="false">IF(COUNT(F275:I275)=0,"",LOOKUP(2,1/ISNUMBER(F275:I275),F275:I275))</f>
        <v/>
      </c>
      <c r="K275" s="26" t="str">
        <f aca="false">IF(OR(E275="",J275=""),"",E275-J275)</f>
        <v/>
      </c>
      <c r="L275" s="20"/>
      <c r="M275" s="20"/>
    </row>
    <row r="276" customFormat="false" ht="15" hidden="false" customHeight="fals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6" t="str">
        <f aca="false">IF(COUNT(F276:I276)=0,"",LOOKUP(2,1/ISNUMBER(F276:I276),F276:I276))</f>
        <v/>
      </c>
      <c r="K276" s="26" t="str">
        <f aca="false">IF(OR(E276="",J276=""),"",E276-J276)</f>
        <v/>
      </c>
      <c r="L276" s="20"/>
      <c r="M276" s="20"/>
    </row>
    <row r="277" customFormat="false" ht="15" hidden="false" customHeight="fals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6" t="str">
        <f aca="false">IF(COUNT(F277:I277)=0,"",LOOKUP(2,1/ISNUMBER(F277:I277),F277:I277))</f>
        <v/>
      </c>
      <c r="K277" s="26" t="str">
        <f aca="false">IF(OR(E277="",J277=""),"",E277-J277)</f>
        <v/>
      </c>
      <c r="L277" s="20"/>
      <c r="M277" s="20"/>
    </row>
    <row r="278" customFormat="false" ht="15" hidden="false" customHeight="fals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6" t="str">
        <f aca="false">IF(COUNT(F278:I278)=0,"",LOOKUP(2,1/ISNUMBER(F278:I278),F278:I278))</f>
        <v/>
      </c>
      <c r="K278" s="26" t="str">
        <f aca="false">IF(OR(E278="",J278=""),"",E278-J278)</f>
        <v/>
      </c>
      <c r="L278" s="20"/>
      <c r="M278" s="20"/>
    </row>
    <row r="279" customFormat="false" ht="15" hidden="false" customHeight="fals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6" t="str">
        <f aca="false">IF(COUNT(F279:I279)=0,"",LOOKUP(2,1/ISNUMBER(F279:I279),F279:I279))</f>
        <v/>
      </c>
      <c r="K279" s="26" t="str">
        <f aca="false">IF(OR(E279="",J279=""),"",E279-J279)</f>
        <v/>
      </c>
      <c r="L279" s="20"/>
      <c r="M279" s="20"/>
    </row>
    <row r="280" customFormat="false" ht="15" hidden="false" customHeight="fals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6" t="str">
        <f aca="false">IF(COUNT(F280:I280)=0,"",LOOKUP(2,1/ISNUMBER(F280:I280),F280:I280))</f>
        <v/>
      </c>
      <c r="K280" s="26" t="str">
        <f aca="false">IF(OR(E280="",J280=""),"",E280-J280)</f>
        <v/>
      </c>
      <c r="L280" s="20"/>
      <c r="M280" s="20"/>
    </row>
    <row r="281" customFormat="false" ht="15" hidden="false" customHeight="fals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6" t="str">
        <f aca="false">IF(COUNT(F281:I281)=0,"",LOOKUP(2,1/ISNUMBER(F281:I281),F281:I281))</f>
        <v/>
      </c>
      <c r="K281" s="26" t="str">
        <f aca="false">IF(OR(E281="",J281=""),"",E281-J281)</f>
        <v/>
      </c>
      <c r="L281" s="20"/>
      <c r="M281" s="20"/>
    </row>
    <row r="282" customFormat="false" ht="15" hidden="false" customHeight="fals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6" t="str">
        <f aca="false">IF(COUNT(F282:I282)=0,"",LOOKUP(2,1/ISNUMBER(F282:I282),F282:I282))</f>
        <v/>
      </c>
      <c r="K282" s="26" t="str">
        <f aca="false">IF(OR(E282="",J282=""),"",E282-J282)</f>
        <v/>
      </c>
      <c r="L282" s="20"/>
      <c r="M282" s="20"/>
    </row>
    <row r="283" customFormat="false" ht="15" hidden="false" customHeight="fals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6" t="str">
        <f aca="false">IF(COUNT(F283:I283)=0,"",LOOKUP(2,1/ISNUMBER(F283:I283),F283:I283))</f>
        <v/>
      </c>
      <c r="K283" s="26" t="str">
        <f aca="false">IF(OR(E283="",J283=""),"",E283-J283)</f>
        <v/>
      </c>
      <c r="L283" s="20"/>
      <c r="M283" s="20"/>
    </row>
    <row r="284" customFormat="false" ht="15" hidden="false" customHeight="fals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6" t="str">
        <f aca="false">IF(COUNT(F284:I284)=0,"",LOOKUP(2,1/ISNUMBER(F284:I284),F284:I284))</f>
        <v/>
      </c>
      <c r="K284" s="26" t="str">
        <f aca="false">IF(OR(E284="",J284=""),"",E284-J284)</f>
        <v/>
      </c>
      <c r="L284" s="20"/>
      <c r="M284" s="20"/>
    </row>
    <row r="285" customFormat="false" ht="15" hidden="false" customHeight="fals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6" t="str">
        <f aca="false">IF(COUNT(F285:I285)=0,"",LOOKUP(2,1/ISNUMBER(F285:I285),F285:I285))</f>
        <v/>
      </c>
      <c r="K285" s="26" t="str">
        <f aca="false">IF(OR(E285="",J285=""),"",E285-J285)</f>
        <v/>
      </c>
      <c r="L285" s="20"/>
      <c r="M285" s="20"/>
    </row>
    <row r="286" customFormat="false" ht="15" hidden="false" customHeight="fals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6" t="str">
        <f aca="false">IF(COUNT(F286:I286)=0,"",LOOKUP(2,1/ISNUMBER(F286:I286),F286:I286))</f>
        <v/>
      </c>
      <c r="K286" s="26" t="str">
        <f aca="false">IF(OR(E286="",J286=""),"",E286-J286)</f>
        <v/>
      </c>
      <c r="L286" s="20"/>
      <c r="M286" s="20"/>
    </row>
    <row r="287" customFormat="false" ht="15" hidden="false" customHeight="fals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6" t="str">
        <f aca="false">IF(COUNT(F287:I287)=0,"",LOOKUP(2,1/ISNUMBER(F287:I287),F287:I287))</f>
        <v/>
      </c>
      <c r="K287" s="26" t="str">
        <f aca="false">IF(OR(E287="",J287=""),"",E287-J287)</f>
        <v/>
      </c>
      <c r="L287" s="20"/>
      <c r="M287" s="20"/>
    </row>
    <row r="288" customFormat="false" ht="15" hidden="false" customHeight="fals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6" t="str">
        <f aca="false">IF(COUNT(F288:I288)=0,"",LOOKUP(2,1/ISNUMBER(F288:I288),F288:I288))</f>
        <v/>
      </c>
      <c r="K288" s="26" t="str">
        <f aca="false">IF(OR(E288="",J288=""),"",E288-J288)</f>
        <v/>
      </c>
      <c r="L288" s="20"/>
      <c r="M288" s="20"/>
    </row>
    <row r="289" customFormat="false" ht="15" hidden="false" customHeight="fals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6" t="str">
        <f aca="false">IF(COUNT(F289:I289)=0,"",LOOKUP(2,1/ISNUMBER(F289:I289),F289:I289))</f>
        <v/>
      </c>
      <c r="K289" s="26" t="str">
        <f aca="false">IF(OR(E289="",J289=""),"",E289-J289)</f>
        <v/>
      </c>
      <c r="L289" s="20"/>
      <c r="M289" s="20"/>
    </row>
    <row r="290" customFormat="false" ht="15" hidden="false" customHeight="fals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6" t="str">
        <f aca="false">IF(COUNT(F290:I290)=0,"",LOOKUP(2,1/ISNUMBER(F290:I290),F290:I290))</f>
        <v/>
      </c>
      <c r="K290" s="26" t="str">
        <f aca="false">IF(OR(E290="",J290=""),"",E290-J290)</f>
        <v/>
      </c>
      <c r="L290" s="20"/>
      <c r="M290" s="20"/>
    </row>
    <row r="291" customFormat="false" ht="15" hidden="false" customHeight="fals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6" t="str">
        <f aca="false">IF(COUNT(F291:I291)=0,"",LOOKUP(2,1/ISNUMBER(F291:I291),F291:I291))</f>
        <v/>
      </c>
      <c r="K291" s="26" t="str">
        <f aca="false">IF(OR(E291="",J291=""),"",E291-J291)</f>
        <v/>
      </c>
      <c r="L291" s="20"/>
      <c r="M291" s="20"/>
    </row>
    <row r="292" customFormat="false" ht="15" hidden="false" customHeight="fals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6" t="str">
        <f aca="false">IF(COUNT(F292:I292)=0,"",LOOKUP(2,1/ISNUMBER(F292:I292),F292:I292))</f>
        <v/>
      </c>
      <c r="K292" s="26" t="str">
        <f aca="false">IF(OR(E292="",J292=""),"",E292-J292)</f>
        <v/>
      </c>
      <c r="L292" s="20"/>
      <c r="M292" s="20"/>
    </row>
    <row r="293" customFormat="false" ht="15" hidden="false" customHeight="fals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6" t="str">
        <f aca="false">IF(COUNT(F293:I293)=0,"",LOOKUP(2,1/ISNUMBER(F293:I293),F293:I293))</f>
        <v/>
      </c>
      <c r="K293" s="26" t="str">
        <f aca="false">IF(OR(E293="",J293=""),"",E293-J293)</f>
        <v/>
      </c>
      <c r="L293" s="20"/>
      <c r="M293" s="20"/>
    </row>
    <row r="294" customFormat="false" ht="15" hidden="false" customHeight="fals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6" t="str">
        <f aca="false">IF(COUNT(F294:I294)=0,"",LOOKUP(2,1/ISNUMBER(F294:I294),F294:I294))</f>
        <v/>
      </c>
      <c r="K294" s="26" t="str">
        <f aca="false">IF(OR(E294="",J294=""),"",E294-J294)</f>
        <v/>
      </c>
      <c r="L294" s="20"/>
      <c r="M294" s="20"/>
    </row>
    <row r="295" customFormat="false" ht="15" hidden="false" customHeight="fals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6" t="str">
        <f aca="false">IF(COUNT(F295:I295)=0,"",LOOKUP(2,1/ISNUMBER(F295:I295),F295:I295))</f>
        <v/>
      </c>
      <c r="K295" s="26" t="str">
        <f aca="false">IF(OR(E295="",J295=""),"",E295-J295)</f>
        <v/>
      </c>
      <c r="L295" s="20"/>
      <c r="M295" s="20"/>
    </row>
    <row r="296" customFormat="false" ht="15" hidden="false" customHeight="fals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6" t="str">
        <f aca="false">IF(COUNT(F296:I296)=0,"",LOOKUP(2,1/ISNUMBER(F296:I296),F296:I296))</f>
        <v/>
      </c>
      <c r="K296" s="26" t="str">
        <f aca="false">IF(OR(E296="",J296=""),"",E296-J296)</f>
        <v/>
      </c>
      <c r="L296" s="20"/>
      <c r="M296" s="20"/>
    </row>
    <row r="297" customFormat="false" ht="15" hidden="false" customHeight="fals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6" t="str">
        <f aca="false">IF(COUNT(F297:I297)=0,"",LOOKUP(2,1/ISNUMBER(F297:I297),F297:I297))</f>
        <v/>
      </c>
      <c r="K297" s="26" t="str">
        <f aca="false">IF(OR(E297="",J297=""),"",E297-J297)</f>
        <v/>
      </c>
      <c r="L297" s="20"/>
      <c r="M297" s="20"/>
    </row>
    <row r="298" customFormat="false" ht="15" hidden="false" customHeight="fals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6" t="str">
        <f aca="false">IF(COUNT(F298:I298)=0,"",LOOKUP(2,1/ISNUMBER(F298:I298),F298:I298))</f>
        <v/>
      </c>
      <c r="K298" s="26" t="str">
        <f aca="false">IF(OR(E298="",J298=""),"",E298-J298)</f>
        <v/>
      </c>
      <c r="L298" s="20"/>
      <c r="M298" s="20"/>
    </row>
    <row r="299" customFormat="false" ht="15" hidden="false" customHeight="fals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6" t="str">
        <f aca="false">IF(COUNT(F299:I299)=0,"",LOOKUP(2,1/ISNUMBER(F299:I299),F299:I299))</f>
        <v/>
      </c>
      <c r="K299" s="26" t="str">
        <f aca="false">IF(OR(E299="",J299=""),"",E299-J299)</f>
        <v/>
      </c>
      <c r="L299" s="20"/>
      <c r="M299" s="20"/>
    </row>
    <row r="300" customFormat="false" ht="15" hidden="false" customHeight="fals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6" t="str">
        <f aca="false">IF(COUNT(F300:I300)=0,"",LOOKUP(2,1/ISNUMBER(F300:I300),F300:I300))</f>
        <v/>
      </c>
      <c r="K300" s="26" t="str">
        <f aca="false">IF(OR(E300="",J300=""),"",E300-J300)</f>
        <v/>
      </c>
      <c r="L300" s="20"/>
      <c r="M300" s="20"/>
    </row>
    <row r="301" customFormat="false" ht="15" hidden="false" customHeight="fals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6" t="str">
        <f aca="false">IF(COUNT(F301:I301)=0,"",LOOKUP(2,1/ISNUMBER(F301:I301),F301:I301))</f>
        <v/>
      </c>
      <c r="K301" s="26" t="str">
        <f aca="false">IF(OR(E301="",J301=""),"",E301-J301)</f>
        <v/>
      </c>
      <c r="L301" s="20"/>
      <c r="M301" s="20"/>
    </row>
    <row r="302" customFormat="false" ht="15" hidden="false" customHeight="fals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6" t="str">
        <f aca="false">IF(COUNT(F302:I302)=0,"",LOOKUP(2,1/ISNUMBER(F302:I302),F302:I302))</f>
        <v/>
      </c>
      <c r="K302" s="26" t="str">
        <f aca="false">IF(OR(E302="",J302=""),"",E302-J302)</f>
        <v/>
      </c>
      <c r="L302" s="20"/>
      <c r="M302" s="20"/>
    </row>
    <row r="303" customFormat="false" ht="15" hidden="false" customHeight="fals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6" t="str">
        <f aca="false">IF(COUNT(F303:I303)=0,"",LOOKUP(2,1/ISNUMBER(F303:I303),F303:I303))</f>
        <v/>
      </c>
      <c r="K303" s="26" t="str">
        <f aca="false">IF(OR(E303="",J303=""),"",E303-J303)</f>
        <v/>
      </c>
      <c r="L303" s="20"/>
      <c r="M303" s="20"/>
    </row>
    <row r="304" customFormat="false" ht="15" hidden="false" customHeight="fals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6" t="str">
        <f aca="false">IF(COUNT(F304:I304)=0,"",LOOKUP(2,1/ISNUMBER(F304:I304),F304:I304))</f>
        <v/>
      </c>
      <c r="K304" s="26" t="str">
        <f aca="false">IF(OR(E304="",J304=""),"",E304-J304)</f>
        <v/>
      </c>
      <c r="L304" s="20"/>
      <c r="M304" s="20"/>
    </row>
  </sheetData>
  <autoFilter ref="A4:M304"/>
  <dataValidations count="1">
    <dataValidation allowBlank="true" errorStyle="stop" operator="between" showDropDown="false" showErrorMessage="false" showInputMessage="false" sqref="B5:B304" type="list">
      <formula1>Lists!$F$2:$F$12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2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0"/>
    <col collapsed="false" customWidth="true" hidden="false" outlineLevel="0" max="3" min="3" style="0" width="22"/>
    <col collapsed="false" customWidth="true" hidden="false" outlineLevel="0" max="4" min="4" style="0" width="18"/>
    <col collapsed="false" customWidth="true" hidden="false" outlineLevel="0" max="5" min="5" style="0" width="28"/>
    <col collapsed="false" customWidth="true" hidden="false" outlineLevel="0" max="6" min="6" style="0" width="18"/>
    <col collapsed="false" customWidth="true" hidden="false" outlineLevel="0" max="9" min="7" style="0" width="13"/>
    <col collapsed="false" customWidth="true" hidden="false" outlineLevel="0" max="10" min="10" style="0" width="18"/>
    <col collapsed="false" customWidth="true" hidden="false" outlineLevel="0" max="11" min="11" style="0" width="14"/>
    <col collapsed="false" customWidth="true" hidden="false" outlineLevel="0" max="12" min="12" style="0" width="12"/>
    <col collapsed="false" customWidth="true" hidden="false" outlineLevel="0" max="13" min="13" style="0" width="10"/>
  </cols>
  <sheetData>
    <row r="1" customFormat="false" ht="19.7" hidden="false" customHeight="false" outlineLevel="0" collapsed="false">
      <c r="A1" s="1" t="s">
        <v>55</v>
      </c>
    </row>
    <row r="2" customFormat="false" ht="15" hidden="false" customHeight="false" outlineLevel="0" collapsed="false">
      <c r="A2" s="2" t="s">
        <v>452</v>
      </c>
    </row>
    <row r="4" customFormat="false" ht="31.5" hidden="false" customHeight="true" outlineLevel="0" collapsed="false">
      <c r="A4" s="9" t="s">
        <v>453</v>
      </c>
      <c r="B4" s="9" t="s">
        <v>114</v>
      </c>
      <c r="C4" s="9" t="s">
        <v>454</v>
      </c>
      <c r="D4" s="9" t="s">
        <v>455</v>
      </c>
      <c r="E4" s="9" t="s">
        <v>456</v>
      </c>
      <c r="F4" s="9" t="s">
        <v>457</v>
      </c>
      <c r="G4" s="9" t="s">
        <v>458</v>
      </c>
      <c r="H4" s="9" t="s">
        <v>459</v>
      </c>
      <c r="I4" s="9" t="s">
        <v>460</v>
      </c>
      <c r="J4" s="9" t="s">
        <v>33</v>
      </c>
      <c r="K4" s="9" t="s">
        <v>461</v>
      </c>
      <c r="L4" s="9" t="s">
        <v>462</v>
      </c>
      <c r="M4" s="9" t="s">
        <v>420</v>
      </c>
    </row>
    <row r="5" customFormat="false" ht="15" hidden="false" customHeight="false" outlineLevel="0" collapsed="false">
      <c r="A5" s="20" t="s">
        <v>463</v>
      </c>
      <c r="B5" s="20" t="s">
        <v>464</v>
      </c>
      <c r="C5" s="20" t="s">
        <v>465</v>
      </c>
      <c r="D5" s="20" t="s">
        <v>424</v>
      </c>
      <c r="E5" s="20" t="s">
        <v>428</v>
      </c>
      <c r="F5" s="20"/>
      <c r="G5" s="19"/>
      <c r="H5" s="19"/>
      <c r="I5" s="19"/>
      <c r="J5" s="20" t="s">
        <v>44</v>
      </c>
      <c r="K5" s="20"/>
      <c r="L5" s="20"/>
      <c r="M5" s="20"/>
    </row>
    <row r="6" customFormat="false" ht="23.85" hidden="false" customHeight="false" outlineLevel="0" collapsed="false">
      <c r="A6" s="20" t="s">
        <v>466</v>
      </c>
      <c r="B6" s="20" t="s">
        <v>464</v>
      </c>
      <c r="C6" s="20" t="s">
        <v>465</v>
      </c>
      <c r="D6" s="20" t="s">
        <v>467</v>
      </c>
      <c r="E6" s="20" t="s">
        <v>468</v>
      </c>
      <c r="F6" s="20"/>
      <c r="G6" s="19"/>
      <c r="H6" s="19"/>
      <c r="I6" s="19"/>
      <c r="J6" s="20" t="s">
        <v>44</v>
      </c>
      <c r="K6" s="20"/>
      <c r="L6" s="20"/>
      <c r="M6" s="20"/>
    </row>
    <row r="7" customFormat="false" ht="15" hidden="false" customHeight="false" outlineLevel="0" collapsed="false">
      <c r="A7" s="20" t="s">
        <v>469</v>
      </c>
      <c r="B7" s="20" t="s">
        <v>464</v>
      </c>
      <c r="C7" s="20" t="s">
        <v>470</v>
      </c>
      <c r="D7" s="20" t="s">
        <v>471</v>
      </c>
      <c r="E7" s="20" t="s">
        <v>472</v>
      </c>
      <c r="F7" s="20"/>
      <c r="G7" s="19"/>
      <c r="H7" s="19"/>
      <c r="I7" s="19"/>
      <c r="J7" s="20" t="s">
        <v>44</v>
      </c>
      <c r="K7" s="20"/>
      <c r="L7" s="20"/>
      <c r="M7" s="20"/>
    </row>
    <row r="8" customFormat="false" ht="15" hidden="false" customHeight="false" outlineLevel="0" collapsed="false">
      <c r="A8" s="20"/>
      <c r="B8" s="20"/>
      <c r="C8" s="20"/>
      <c r="D8" s="20"/>
      <c r="E8" s="20"/>
      <c r="F8" s="20"/>
      <c r="G8" s="19"/>
      <c r="H8" s="19"/>
      <c r="I8" s="19"/>
      <c r="J8" s="20"/>
      <c r="K8" s="20"/>
      <c r="L8" s="20"/>
      <c r="M8" s="20"/>
    </row>
    <row r="9" customFormat="false" ht="15" hidden="false" customHeight="false" outlineLevel="0" collapsed="false">
      <c r="A9" s="20"/>
      <c r="B9" s="20"/>
      <c r="C9" s="20"/>
      <c r="D9" s="20"/>
      <c r="E9" s="20"/>
      <c r="F9" s="20"/>
      <c r="G9" s="19"/>
      <c r="H9" s="19"/>
      <c r="I9" s="19"/>
      <c r="J9" s="20"/>
      <c r="K9" s="20"/>
      <c r="L9" s="20"/>
      <c r="M9" s="20"/>
    </row>
    <row r="10" customFormat="false" ht="15" hidden="false" customHeight="false" outlineLevel="0" collapsed="false">
      <c r="A10" s="20"/>
      <c r="B10" s="20"/>
      <c r="C10" s="20"/>
      <c r="D10" s="20"/>
      <c r="E10" s="20"/>
      <c r="F10" s="20"/>
      <c r="G10" s="19"/>
      <c r="H10" s="19"/>
      <c r="I10" s="19"/>
      <c r="J10" s="20"/>
      <c r="K10" s="20"/>
      <c r="L10" s="20"/>
      <c r="M10" s="20"/>
    </row>
    <row r="11" customFormat="false" ht="15" hidden="false" customHeight="false" outlineLevel="0" collapsed="false">
      <c r="A11" s="20"/>
      <c r="B11" s="20"/>
      <c r="C11" s="20"/>
      <c r="D11" s="20"/>
      <c r="E11" s="20"/>
      <c r="F11" s="20"/>
      <c r="G11" s="19"/>
      <c r="H11" s="19"/>
      <c r="I11" s="19"/>
      <c r="J11" s="20"/>
      <c r="K11" s="20"/>
      <c r="L11" s="20"/>
      <c r="M11" s="20"/>
    </row>
    <row r="12" customFormat="false" ht="15" hidden="false" customHeight="false" outlineLevel="0" collapsed="false">
      <c r="A12" s="20"/>
      <c r="B12" s="20"/>
      <c r="C12" s="20"/>
      <c r="D12" s="20"/>
      <c r="E12" s="20"/>
      <c r="F12" s="20"/>
      <c r="G12" s="19"/>
      <c r="H12" s="19"/>
      <c r="I12" s="19"/>
      <c r="J12" s="20"/>
      <c r="K12" s="20"/>
      <c r="L12" s="20"/>
      <c r="M12" s="20"/>
    </row>
    <row r="13" customFormat="false" ht="15" hidden="false" customHeight="false" outlineLevel="0" collapsed="false">
      <c r="A13" s="20"/>
      <c r="B13" s="20"/>
      <c r="C13" s="20"/>
      <c r="D13" s="20"/>
      <c r="E13" s="20"/>
      <c r="F13" s="20"/>
      <c r="G13" s="19"/>
      <c r="H13" s="19"/>
      <c r="I13" s="19"/>
      <c r="J13" s="20"/>
      <c r="K13" s="20"/>
      <c r="L13" s="20"/>
      <c r="M13" s="20"/>
    </row>
    <row r="14" customFormat="false" ht="15" hidden="false" customHeight="false" outlineLevel="0" collapsed="false">
      <c r="A14" s="20"/>
      <c r="B14" s="20"/>
      <c r="C14" s="20"/>
      <c r="D14" s="20"/>
      <c r="E14" s="20"/>
      <c r="F14" s="20"/>
      <c r="G14" s="19"/>
      <c r="H14" s="19"/>
      <c r="I14" s="19"/>
      <c r="J14" s="20"/>
      <c r="K14" s="20"/>
      <c r="L14" s="20"/>
      <c r="M14" s="20"/>
    </row>
    <row r="15" customFormat="false" ht="15" hidden="false" customHeight="false" outlineLevel="0" collapsed="false">
      <c r="A15" s="20"/>
      <c r="B15" s="20"/>
      <c r="C15" s="20"/>
      <c r="D15" s="20"/>
      <c r="E15" s="20"/>
      <c r="F15" s="20"/>
      <c r="G15" s="19"/>
      <c r="H15" s="19"/>
      <c r="I15" s="19"/>
      <c r="J15" s="20"/>
      <c r="K15" s="20"/>
      <c r="L15" s="20"/>
      <c r="M15" s="20"/>
    </row>
    <row r="16" customFormat="false" ht="15" hidden="false" customHeight="false" outlineLevel="0" collapsed="false">
      <c r="A16" s="20"/>
      <c r="B16" s="20"/>
      <c r="C16" s="20"/>
      <c r="D16" s="20"/>
      <c r="E16" s="20"/>
      <c r="F16" s="20"/>
      <c r="G16" s="19"/>
      <c r="H16" s="19"/>
      <c r="I16" s="19"/>
      <c r="J16" s="20"/>
      <c r="K16" s="20"/>
      <c r="L16" s="20"/>
      <c r="M16" s="20"/>
    </row>
    <row r="17" customFormat="false" ht="15" hidden="false" customHeight="false" outlineLevel="0" collapsed="false">
      <c r="A17" s="20"/>
      <c r="B17" s="20"/>
      <c r="C17" s="20"/>
      <c r="D17" s="20"/>
      <c r="E17" s="20"/>
      <c r="F17" s="20"/>
      <c r="G17" s="19"/>
      <c r="H17" s="19"/>
      <c r="I17" s="19"/>
      <c r="J17" s="20"/>
      <c r="K17" s="20"/>
      <c r="L17" s="20"/>
      <c r="M17" s="20"/>
    </row>
    <row r="18" customFormat="false" ht="15" hidden="false" customHeight="false" outlineLevel="0" collapsed="false">
      <c r="A18" s="20"/>
      <c r="B18" s="20"/>
      <c r="C18" s="20"/>
      <c r="D18" s="20"/>
      <c r="E18" s="20"/>
      <c r="F18" s="20"/>
      <c r="G18" s="19"/>
      <c r="H18" s="19"/>
      <c r="I18" s="19"/>
      <c r="J18" s="20"/>
      <c r="K18" s="20"/>
      <c r="L18" s="20"/>
      <c r="M18" s="20"/>
    </row>
    <row r="19" customFormat="false" ht="15" hidden="false" customHeight="false" outlineLevel="0" collapsed="false">
      <c r="A19" s="20"/>
      <c r="B19" s="20"/>
      <c r="C19" s="20"/>
      <c r="D19" s="20"/>
      <c r="E19" s="20"/>
      <c r="F19" s="20"/>
      <c r="G19" s="19"/>
      <c r="H19" s="19"/>
      <c r="I19" s="19"/>
      <c r="J19" s="20"/>
      <c r="K19" s="20"/>
      <c r="L19" s="20"/>
      <c r="M19" s="20"/>
    </row>
    <row r="20" customFormat="false" ht="15" hidden="false" customHeight="false" outlineLevel="0" collapsed="false">
      <c r="A20" s="20"/>
      <c r="B20" s="20"/>
      <c r="C20" s="20"/>
      <c r="D20" s="20"/>
      <c r="E20" s="20"/>
      <c r="F20" s="20"/>
      <c r="G20" s="19"/>
      <c r="H20" s="19"/>
      <c r="I20" s="19"/>
      <c r="J20" s="20"/>
      <c r="K20" s="20"/>
      <c r="L20" s="20"/>
      <c r="M20" s="20"/>
    </row>
    <row r="21" customFormat="false" ht="15" hidden="false" customHeight="false" outlineLevel="0" collapsed="false">
      <c r="A21" s="20"/>
      <c r="B21" s="20"/>
      <c r="C21" s="20"/>
      <c r="D21" s="20"/>
      <c r="E21" s="20"/>
      <c r="F21" s="20"/>
      <c r="G21" s="19"/>
      <c r="H21" s="19"/>
      <c r="I21" s="19"/>
      <c r="J21" s="20"/>
      <c r="K21" s="20"/>
      <c r="L21" s="20"/>
      <c r="M21" s="20"/>
    </row>
    <row r="22" customFormat="false" ht="15" hidden="false" customHeight="false" outlineLevel="0" collapsed="false">
      <c r="A22" s="20"/>
      <c r="B22" s="20"/>
      <c r="C22" s="20"/>
      <c r="D22" s="20"/>
      <c r="E22" s="20"/>
      <c r="F22" s="20"/>
      <c r="G22" s="19"/>
      <c r="H22" s="19"/>
      <c r="I22" s="19"/>
      <c r="J22" s="20"/>
      <c r="K22" s="20"/>
      <c r="L22" s="20"/>
      <c r="M22" s="20"/>
    </row>
    <row r="23" customFormat="false" ht="15" hidden="false" customHeight="false" outlineLevel="0" collapsed="false">
      <c r="A23" s="20"/>
      <c r="B23" s="20"/>
      <c r="C23" s="20"/>
      <c r="D23" s="20"/>
      <c r="E23" s="20"/>
      <c r="F23" s="20"/>
      <c r="G23" s="19"/>
      <c r="H23" s="19"/>
      <c r="I23" s="19"/>
      <c r="J23" s="20"/>
      <c r="K23" s="20"/>
      <c r="L23" s="20"/>
      <c r="M23" s="20"/>
    </row>
    <row r="24" customFormat="false" ht="15" hidden="false" customHeight="false" outlineLevel="0" collapsed="false">
      <c r="A24" s="20"/>
      <c r="B24" s="20"/>
      <c r="C24" s="20"/>
      <c r="D24" s="20"/>
      <c r="E24" s="20"/>
      <c r="F24" s="20"/>
      <c r="G24" s="19"/>
      <c r="H24" s="19"/>
      <c r="I24" s="19"/>
      <c r="J24" s="20"/>
      <c r="K24" s="20"/>
      <c r="L24" s="20"/>
      <c r="M24" s="20"/>
    </row>
    <row r="25" customFormat="false" ht="15" hidden="false" customHeight="false" outlineLevel="0" collapsed="false">
      <c r="A25" s="20"/>
      <c r="B25" s="20"/>
      <c r="C25" s="20"/>
      <c r="D25" s="20"/>
      <c r="E25" s="20"/>
      <c r="F25" s="20"/>
      <c r="G25" s="19"/>
      <c r="H25" s="19"/>
      <c r="I25" s="19"/>
      <c r="J25" s="20"/>
      <c r="K25" s="20"/>
      <c r="L25" s="20"/>
      <c r="M25" s="20"/>
    </row>
    <row r="26" customFormat="false" ht="15" hidden="false" customHeight="false" outlineLevel="0" collapsed="false">
      <c r="A26" s="20"/>
      <c r="B26" s="20"/>
      <c r="C26" s="20"/>
      <c r="D26" s="20"/>
      <c r="E26" s="20"/>
      <c r="F26" s="20"/>
      <c r="G26" s="19"/>
      <c r="H26" s="19"/>
      <c r="I26" s="19"/>
      <c r="J26" s="20"/>
      <c r="K26" s="20"/>
      <c r="L26" s="20"/>
      <c r="M26" s="20"/>
    </row>
    <row r="27" customFormat="false" ht="15" hidden="false" customHeight="false" outlineLevel="0" collapsed="false">
      <c r="A27" s="20"/>
      <c r="B27" s="20"/>
      <c r="C27" s="20"/>
      <c r="D27" s="20"/>
      <c r="E27" s="20"/>
      <c r="F27" s="20"/>
      <c r="G27" s="19"/>
      <c r="H27" s="19"/>
      <c r="I27" s="19"/>
      <c r="J27" s="20"/>
      <c r="K27" s="20"/>
      <c r="L27" s="20"/>
      <c r="M27" s="20"/>
    </row>
    <row r="28" customFormat="false" ht="15" hidden="false" customHeight="false" outlineLevel="0" collapsed="false">
      <c r="A28" s="20"/>
      <c r="B28" s="20"/>
      <c r="C28" s="20"/>
      <c r="D28" s="20"/>
      <c r="E28" s="20"/>
      <c r="F28" s="20"/>
      <c r="G28" s="19"/>
      <c r="H28" s="19"/>
      <c r="I28" s="19"/>
      <c r="J28" s="20"/>
      <c r="K28" s="20"/>
      <c r="L28" s="20"/>
      <c r="M28" s="20"/>
    </row>
    <row r="29" customFormat="false" ht="15" hidden="false" customHeight="false" outlineLevel="0" collapsed="false">
      <c r="A29" s="20"/>
      <c r="B29" s="20"/>
      <c r="C29" s="20"/>
      <c r="D29" s="20"/>
      <c r="E29" s="20"/>
      <c r="F29" s="20"/>
      <c r="G29" s="19"/>
      <c r="H29" s="19"/>
      <c r="I29" s="19"/>
      <c r="J29" s="20"/>
      <c r="K29" s="20"/>
      <c r="L29" s="20"/>
      <c r="M29" s="20"/>
    </row>
    <row r="30" customFormat="false" ht="15" hidden="false" customHeight="false" outlineLevel="0" collapsed="false">
      <c r="A30" s="20"/>
      <c r="B30" s="20"/>
      <c r="C30" s="20"/>
      <c r="D30" s="20"/>
      <c r="E30" s="20"/>
      <c r="F30" s="20"/>
      <c r="G30" s="19"/>
      <c r="H30" s="19"/>
      <c r="I30" s="19"/>
      <c r="J30" s="20"/>
      <c r="K30" s="20"/>
      <c r="L30" s="20"/>
      <c r="M30" s="20"/>
    </row>
    <row r="31" customFormat="false" ht="15" hidden="false" customHeight="false" outlineLevel="0" collapsed="false">
      <c r="A31" s="20"/>
      <c r="B31" s="20"/>
      <c r="C31" s="20"/>
      <c r="D31" s="20"/>
      <c r="E31" s="20"/>
      <c r="F31" s="20"/>
      <c r="G31" s="19"/>
      <c r="H31" s="19"/>
      <c r="I31" s="19"/>
      <c r="J31" s="20"/>
      <c r="K31" s="20"/>
      <c r="L31" s="20"/>
      <c r="M31" s="20"/>
    </row>
    <row r="32" customFormat="false" ht="15" hidden="false" customHeight="false" outlineLevel="0" collapsed="false">
      <c r="A32" s="20"/>
      <c r="B32" s="20"/>
      <c r="C32" s="20"/>
      <c r="D32" s="20"/>
      <c r="E32" s="20"/>
      <c r="F32" s="20"/>
      <c r="G32" s="19"/>
      <c r="H32" s="19"/>
      <c r="I32" s="19"/>
      <c r="J32" s="20"/>
      <c r="K32" s="20"/>
      <c r="L32" s="20"/>
      <c r="M32" s="20"/>
    </row>
    <row r="33" customFormat="false" ht="15" hidden="false" customHeight="false" outlineLevel="0" collapsed="false">
      <c r="A33" s="20"/>
      <c r="B33" s="20"/>
      <c r="C33" s="20"/>
      <c r="D33" s="20"/>
      <c r="E33" s="20"/>
      <c r="F33" s="20"/>
      <c r="G33" s="19"/>
      <c r="H33" s="19"/>
      <c r="I33" s="19"/>
      <c r="J33" s="20"/>
      <c r="K33" s="20"/>
      <c r="L33" s="20"/>
      <c r="M33" s="20"/>
    </row>
    <row r="34" customFormat="false" ht="15" hidden="false" customHeight="false" outlineLevel="0" collapsed="false">
      <c r="A34" s="20"/>
      <c r="B34" s="20"/>
      <c r="C34" s="20"/>
      <c r="D34" s="20"/>
      <c r="E34" s="20"/>
      <c r="F34" s="20"/>
      <c r="G34" s="19"/>
      <c r="H34" s="19"/>
      <c r="I34" s="19"/>
      <c r="J34" s="20"/>
      <c r="K34" s="20"/>
      <c r="L34" s="20"/>
      <c r="M34" s="20"/>
    </row>
    <row r="35" customFormat="false" ht="15" hidden="false" customHeight="false" outlineLevel="0" collapsed="false">
      <c r="A35" s="20"/>
      <c r="B35" s="20"/>
      <c r="C35" s="20"/>
      <c r="D35" s="20"/>
      <c r="E35" s="20"/>
      <c r="F35" s="20"/>
      <c r="G35" s="19"/>
      <c r="H35" s="19"/>
      <c r="I35" s="19"/>
      <c r="J35" s="20"/>
      <c r="K35" s="20"/>
      <c r="L35" s="20"/>
      <c r="M35" s="20"/>
    </row>
    <row r="36" customFormat="false" ht="15" hidden="false" customHeight="false" outlineLevel="0" collapsed="false">
      <c r="A36" s="20"/>
      <c r="B36" s="20"/>
      <c r="C36" s="20"/>
      <c r="D36" s="20"/>
      <c r="E36" s="20"/>
      <c r="F36" s="20"/>
      <c r="G36" s="19"/>
      <c r="H36" s="19"/>
      <c r="I36" s="19"/>
      <c r="J36" s="20"/>
      <c r="K36" s="20"/>
      <c r="L36" s="20"/>
      <c r="M36" s="20"/>
    </row>
    <row r="37" customFormat="false" ht="15" hidden="false" customHeight="false" outlineLevel="0" collapsed="false">
      <c r="A37" s="20"/>
      <c r="B37" s="20"/>
      <c r="C37" s="20"/>
      <c r="D37" s="20"/>
      <c r="E37" s="20"/>
      <c r="F37" s="20"/>
      <c r="G37" s="19"/>
      <c r="H37" s="19"/>
      <c r="I37" s="19"/>
      <c r="J37" s="20"/>
      <c r="K37" s="20"/>
      <c r="L37" s="20"/>
      <c r="M37" s="20"/>
    </row>
    <row r="38" customFormat="false" ht="15" hidden="false" customHeight="false" outlineLevel="0" collapsed="false">
      <c r="A38" s="20"/>
      <c r="B38" s="20"/>
      <c r="C38" s="20"/>
      <c r="D38" s="20"/>
      <c r="E38" s="20"/>
      <c r="F38" s="20"/>
      <c r="G38" s="19"/>
      <c r="H38" s="19"/>
      <c r="I38" s="19"/>
      <c r="J38" s="20"/>
      <c r="K38" s="20"/>
      <c r="L38" s="20"/>
      <c r="M38" s="20"/>
    </row>
    <row r="39" customFormat="false" ht="15" hidden="false" customHeight="false" outlineLevel="0" collapsed="false">
      <c r="A39" s="20"/>
      <c r="B39" s="20"/>
      <c r="C39" s="20"/>
      <c r="D39" s="20"/>
      <c r="E39" s="20"/>
      <c r="F39" s="20"/>
      <c r="G39" s="19"/>
      <c r="H39" s="19"/>
      <c r="I39" s="19"/>
      <c r="J39" s="20"/>
      <c r="K39" s="20"/>
      <c r="L39" s="20"/>
      <c r="M39" s="20"/>
    </row>
    <row r="40" customFormat="false" ht="15" hidden="false" customHeight="false" outlineLevel="0" collapsed="false">
      <c r="A40" s="20"/>
      <c r="B40" s="20"/>
      <c r="C40" s="20"/>
      <c r="D40" s="20"/>
      <c r="E40" s="20"/>
      <c r="F40" s="20"/>
      <c r="G40" s="19"/>
      <c r="H40" s="19"/>
      <c r="I40" s="19"/>
      <c r="J40" s="20"/>
      <c r="K40" s="20"/>
      <c r="L40" s="20"/>
      <c r="M40" s="20"/>
    </row>
    <row r="41" customFormat="false" ht="15" hidden="false" customHeight="false" outlineLevel="0" collapsed="false">
      <c r="A41" s="20"/>
      <c r="B41" s="20"/>
      <c r="C41" s="20"/>
      <c r="D41" s="20"/>
      <c r="E41" s="20"/>
      <c r="F41" s="20"/>
      <c r="G41" s="19"/>
      <c r="H41" s="19"/>
      <c r="I41" s="19"/>
      <c r="J41" s="20"/>
      <c r="K41" s="20"/>
      <c r="L41" s="20"/>
      <c r="M41" s="20"/>
    </row>
    <row r="42" customFormat="false" ht="15" hidden="false" customHeight="false" outlineLevel="0" collapsed="false">
      <c r="A42" s="20"/>
      <c r="B42" s="20"/>
      <c r="C42" s="20"/>
      <c r="D42" s="20"/>
      <c r="E42" s="20"/>
      <c r="F42" s="20"/>
      <c r="G42" s="19"/>
      <c r="H42" s="19"/>
      <c r="I42" s="19"/>
      <c r="J42" s="20"/>
      <c r="K42" s="20"/>
      <c r="L42" s="20"/>
      <c r="M42" s="20"/>
    </row>
    <row r="43" customFormat="false" ht="15" hidden="false" customHeight="false" outlineLevel="0" collapsed="false">
      <c r="A43" s="20"/>
      <c r="B43" s="20"/>
      <c r="C43" s="20"/>
      <c r="D43" s="20"/>
      <c r="E43" s="20"/>
      <c r="F43" s="20"/>
      <c r="G43" s="19"/>
      <c r="H43" s="19"/>
      <c r="I43" s="19"/>
      <c r="J43" s="20"/>
      <c r="K43" s="20"/>
      <c r="L43" s="20"/>
      <c r="M43" s="20"/>
    </row>
    <row r="44" customFormat="false" ht="15" hidden="false" customHeight="false" outlineLevel="0" collapsed="false">
      <c r="A44" s="20"/>
      <c r="B44" s="20"/>
      <c r="C44" s="20"/>
      <c r="D44" s="20"/>
      <c r="E44" s="20"/>
      <c r="F44" s="20"/>
      <c r="G44" s="19"/>
      <c r="H44" s="19"/>
      <c r="I44" s="19"/>
      <c r="J44" s="20"/>
      <c r="K44" s="20"/>
      <c r="L44" s="20"/>
      <c r="M44" s="20"/>
    </row>
    <row r="45" customFormat="false" ht="15" hidden="false" customHeight="false" outlineLevel="0" collapsed="false">
      <c r="A45" s="20"/>
      <c r="B45" s="20"/>
      <c r="C45" s="20"/>
      <c r="D45" s="20"/>
      <c r="E45" s="20"/>
      <c r="F45" s="20"/>
      <c r="G45" s="19"/>
      <c r="H45" s="19"/>
      <c r="I45" s="19"/>
      <c r="J45" s="20"/>
      <c r="K45" s="20"/>
      <c r="L45" s="20"/>
      <c r="M45" s="20"/>
    </row>
    <row r="46" customFormat="false" ht="15" hidden="false" customHeight="false" outlineLevel="0" collapsed="false">
      <c r="A46" s="20"/>
      <c r="B46" s="20"/>
      <c r="C46" s="20"/>
      <c r="D46" s="20"/>
      <c r="E46" s="20"/>
      <c r="F46" s="20"/>
      <c r="G46" s="19"/>
      <c r="H46" s="19"/>
      <c r="I46" s="19"/>
      <c r="J46" s="20"/>
      <c r="K46" s="20"/>
      <c r="L46" s="20"/>
      <c r="M46" s="20"/>
    </row>
    <row r="47" customFormat="false" ht="15" hidden="false" customHeight="false" outlineLevel="0" collapsed="false">
      <c r="A47" s="20"/>
      <c r="B47" s="20"/>
      <c r="C47" s="20"/>
      <c r="D47" s="20"/>
      <c r="E47" s="20"/>
      <c r="F47" s="20"/>
      <c r="G47" s="19"/>
      <c r="H47" s="19"/>
      <c r="I47" s="19"/>
      <c r="J47" s="20"/>
      <c r="K47" s="20"/>
      <c r="L47" s="20"/>
      <c r="M47" s="20"/>
    </row>
    <row r="48" customFormat="false" ht="15" hidden="false" customHeight="false" outlineLevel="0" collapsed="false">
      <c r="A48" s="20"/>
      <c r="B48" s="20"/>
      <c r="C48" s="20"/>
      <c r="D48" s="20"/>
      <c r="E48" s="20"/>
      <c r="F48" s="20"/>
      <c r="G48" s="19"/>
      <c r="H48" s="19"/>
      <c r="I48" s="19"/>
      <c r="J48" s="20"/>
      <c r="K48" s="20"/>
      <c r="L48" s="20"/>
      <c r="M48" s="20"/>
    </row>
    <row r="49" customFormat="false" ht="15" hidden="false" customHeight="false" outlineLevel="0" collapsed="false">
      <c r="A49" s="20"/>
      <c r="B49" s="20"/>
      <c r="C49" s="20"/>
      <c r="D49" s="20"/>
      <c r="E49" s="20"/>
      <c r="F49" s="20"/>
      <c r="G49" s="19"/>
      <c r="H49" s="19"/>
      <c r="I49" s="19"/>
      <c r="J49" s="20"/>
      <c r="K49" s="20"/>
      <c r="L49" s="20"/>
      <c r="M49" s="20"/>
    </row>
    <row r="50" customFormat="false" ht="15" hidden="false" customHeight="false" outlineLevel="0" collapsed="false">
      <c r="A50" s="20"/>
      <c r="B50" s="20"/>
      <c r="C50" s="20"/>
      <c r="D50" s="20"/>
      <c r="E50" s="20"/>
      <c r="F50" s="20"/>
      <c r="G50" s="19"/>
      <c r="H50" s="19"/>
      <c r="I50" s="19"/>
      <c r="J50" s="20"/>
      <c r="K50" s="20"/>
      <c r="L50" s="20"/>
      <c r="M50" s="20"/>
    </row>
    <row r="51" customFormat="false" ht="15" hidden="false" customHeight="false" outlineLevel="0" collapsed="false">
      <c r="A51" s="20"/>
      <c r="B51" s="20"/>
      <c r="C51" s="20"/>
      <c r="D51" s="20"/>
      <c r="E51" s="20"/>
      <c r="F51" s="20"/>
      <c r="G51" s="19"/>
      <c r="H51" s="19"/>
      <c r="I51" s="19"/>
      <c r="J51" s="20"/>
      <c r="K51" s="20"/>
      <c r="L51" s="20"/>
      <c r="M51" s="20"/>
    </row>
    <row r="52" customFormat="false" ht="15" hidden="false" customHeight="false" outlineLevel="0" collapsed="false">
      <c r="A52" s="20"/>
      <c r="B52" s="20"/>
      <c r="C52" s="20"/>
      <c r="D52" s="20"/>
      <c r="E52" s="20"/>
      <c r="F52" s="20"/>
      <c r="G52" s="19"/>
      <c r="H52" s="19"/>
      <c r="I52" s="19"/>
      <c r="J52" s="20"/>
      <c r="K52" s="20"/>
      <c r="L52" s="20"/>
      <c r="M52" s="20"/>
    </row>
    <row r="53" customFormat="false" ht="15" hidden="false" customHeight="false" outlineLevel="0" collapsed="false">
      <c r="A53" s="20"/>
      <c r="B53" s="20"/>
      <c r="C53" s="20"/>
      <c r="D53" s="20"/>
      <c r="E53" s="20"/>
      <c r="F53" s="20"/>
      <c r="G53" s="19"/>
      <c r="H53" s="19"/>
      <c r="I53" s="19"/>
      <c r="J53" s="20"/>
      <c r="K53" s="20"/>
      <c r="L53" s="20"/>
      <c r="M53" s="20"/>
    </row>
    <row r="54" customFormat="false" ht="15" hidden="false" customHeight="false" outlineLevel="0" collapsed="false">
      <c r="A54" s="20"/>
      <c r="B54" s="20"/>
      <c r="C54" s="20"/>
      <c r="D54" s="20"/>
      <c r="E54" s="20"/>
      <c r="F54" s="20"/>
      <c r="G54" s="19"/>
      <c r="H54" s="19"/>
      <c r="I54" s="19"/>
      <c r="J54" s="20"/>
      <c r="K54" s="20"/>
      <c r="L54" s="20"/>
      <c r="M54" s="20"/>
    </row>
    <row r="55" customFormat="false" ht="15" hidden="false" customHeight="false" outlineLevel="0" collapsed="false">
      <c r="A55" s="20"/>
      <c r="B55" s="20"/>
      <c r="C55" s="20"/>
      <c r="D55" s="20"/>
      <c r="E55" s="20"/>
      <c r="F55" s="20"/>
      <c r="G55" s="19"/>
      <c r="H55" s="19"/>
      <c r="I55" s="19"/>
      <c r="J55" s="20"/>
      <c r="K55" s="20"/>
      <c r="L55" s="20"/>
      <c r="M55" s="20"/>
    </row>
    <row r="56" customFormat="false" ht="15" hidden="false" customHeight="false" outlineLevel="0" collapsed="false">
      <c r="A56" s="20"/>
      <c r="B56" s="20"/>
      <c r="C56" s="20"/>
      <c r="D56" s="20"/>
      <c r="E56" s="20"/>
      <c r="F56" s="20"/>
      <c r="G56" s="19"/>
      <c r="H56" s="19"/>
      <c r="I56" s="19"/>
      <c r="J56" s="20"/>
      <c r="K56" s="20"/>
      <c r="L56" s="20"/>
      <c r="M56" s="20"/>
    </row>
    <row r="57" customFormat="false" ht="15" hidden="false" customHeight="false" outlineLevel="0" collapsed="false">
      <c r="A57" s="20"/>
      <c r="B57" s="20"/>
      <c r="C57" s="20"/>
      <c r="D57" s="20"/>
      <c r="E57" s="20"/>
      <c r="F57" s="20"/>
      <c r="G57" s="19"/>
      <c r="H57" s="19"/>
      <c r="I57" s="19"/>
      <c r="J57" s="20"/>
      <c r="K57" s="20"/>
      <c r="L57" s="20"/>
      <c r="M57" s="20"/>
    </row>
    <row r="58" customFormat="false" ht="15" hidden="false" customHeight="false" outlineLevel="0" collapsed="false">
      <c r="A58" s="20"/>
      <c r="B58" s="20"/>
      <c r="C58" s="20"/>
      <c r="D58" s="20"/>
      <c r="E58" s="20"/>
      <c r="F58" s="20"/>
      <c r="G58" s="19"/>
      <c r="H58" s="19"/>
      <c r="I58" s="19"/>
      <c r="J58" s="20"/>
      <c r="K58" s="20"/>
      <c r="L58" s="20"/>
      <c r="M58" s="20"/>
    </row>
    <row r="59" customFormat="false" ht="15" hidden="false" customHeight="false" outlineLevel="0" collapsed="false">
      <c r="A59" s="20"/>
      <c r="B59" s="20"/>
      <c r="C59" s="20"/>
      <c r="D59" s="20"/>
      <c r="E59" s="20"/>
      <c r="F59" s="20"/>
      <c r="G59" s="19"/>
      <c r="H59" s="19"/>
      <c r="I59" s="19"/>
      <c r="J59" s="20"/>
      <c r="K59" s="20"/>
      <c r="L59" s="20"/>
      <c r="M59" s="20"/>
    </row>
    <row r="60" customFormat="false" ht="15" hidden="false" customHeight="false" outlineLevel="0" collapsed="false">
      <c r="A60" s="20"/>
      <c r="B60" s="20"/>
      <c r="C60" s="20"/>
      <c r="D60" s="20"/>
      <c r="E60" s="20"/>
      <c r="F60" s="20"/>
      <c r="G60" s="19"/>
      <c r="H60" s="19"/>
      <c r="I60" s="19"/>
      <c r="J60" s="20"/>
      <c r="K60" s="20"/>
      <c r="L60" s="20"/>
      <c r="M60" s="20"/>
    </row>
    <row r="61" customFormat="false" ht="15" hidden="false" customHeight="false" outlineLevel="0" collapsed="false">
      <c r="A61" s="20"/>
      <c r="B61" s="20"/>
      <c r="C61" s="20"/>
      <c r="D61" s="20"/>
      <c r="E61" s="20"/>
      <c r="F61" s="20"/>
      <c r="G61" s="19"/>
      <c r="H61" s="19"/>
      <c r="I61" s="19"/>
      <c r="J61" s="20"/>
      <c r="K61" s="20"/>
      <c r="L61" s="20"/>
      <c r="M61" s="20"/>
    </row>
    <row r="62" customFormat="false" ht="15" hidden="false" customHeight="false" outlineLevel="0" collapsed="false">
      <c r="A62" s="20"/>
      <c r="B62" s="20"/>
      <c r="C62" s="20"/>
      <c r="D62" s="20"/>
      <c r="E62" s="20"/>
      <c r="F62" s="20"/>
      <c r="G62" s="19"/>
      <c r="H62" s="19"/>
      <c r="I62" s="19"/>
      <c r="J62" s="20"/>
      <c r="K62" s="20"/>
      <c r="L62" s="20"/>
      <c r="M62" s="20"/>
    </row>
    <row r="63" customFormat="false" ht="15" hidden="false" customHeight="false" outlineLevel="0" collapsed="false">
      <c r="A63" s="20"/>
      <c r="B63" s="20"/>
      <c r="C63" s="20"/>
      <c r="D63" s="20"/>
      <c r="E63" s="20"/>
      <c r="F63" s="20"/>
      <c r="G63" s="19"/>
      <c r="H63" s="19"/>
      <c r="I63" s="19"/>
      <c r="J63" s="20"/>
      <c r="K63" s="20"/>
      <c r="L63" s="20"/>
      <c r="M63" s="20"/>
    </row>
    <row r="64" customFormat="false" ht="15" hidden="false" customHeight="false" outlineLevel="0" collapsed="false">
      <c r="A64" s="20"/>
      <c r="B64" s="20"/>
      <c r="C64" s="20"/>
      <c r="D64" s="20"/>
      <c r="E64" s="20"/>
      <c r="F64" s="20"/>
      <c r="G64" s="19"/>
      <c r="H64" s="19"/>
      <c r="I64" s="19"/>
      <c r="J64" s="20"/>
      <c r="K64" s="20"/>
      <c r="L64" s="20"/>
      <c r="M64" s="20"/>
    </row>
    <row r="65" customFormat="false" ht="15" hidden="false" customHeight="false" outlineLevel="0" collapsed="false">
      <c r="A65" s="20"/>
      <c r="B65" s="20"/>
      <c r="C65" s="20"/>
      <c r="D65" s="20"/>
      <c r="E65" s="20"/>
      <c r="F65" s="20"/>
      <c r="G65" s="19"/>
      <c r="H65" s="19"/>
      <c r="I65" s="19"/>
      <c r="J65" s="20"/>
      <c r="K65" s="20"/>
      <c r="L65" s="20"/>
      <c r="M65" s="20"/>
    </row>
    <row r="66" customFormat="false" ht="15" hidden="false" customHeight="false" outlineLevel="0" collapsed="false">
      <c r="A66" s="20"/>
      <c r="B66" s="20"/>
      <c r="C66" s="20"/>
      <c r="D66" s="20"/>
      <c r="E66" s="20"/>
      <c r="F66" s="20"/>
      <c r="G66" s="19"/>
      <c r="H66" s="19"/>
      <c r="I66" s="19"/>
      <c r="J66" s="20"/>
      <c r="K66" s="20"/>
      <c r="L66" s="20"/>
      <c r="M66" s="20"/>
    </row>
    <row r="67" customFormat="false" ht="15" hidden="false" customHeight="false" outlineLevel="0" collapsed="false">
      <c r="A67" s="20"/>
      <c r="B67" s="20"/>
      <c r="C67" s="20"/>
      <c r="D67" s="20"/>
      <c r="E67" s="20"/>
      <c r="F67" s="20"/>
      <c r="G67" s="19"/>
      <c r="H67" s="19"/>
      <c r="I67" s="19"/>
      <c r="J67" s="20"/>
      <c r="K67" s="20"/>
      <c r="L67" s="20"/>
      <c r="M67" s="20"/>
    </row>
    <row r="68" customFormat="false" ht="15" hidden="false" customHeight="false" outlineLevel="0" collapsed="false">
      <c r="A68" s="20"/>
      <c r="B68" s="20"/>
      <c r="C68" s="20"/>
      <c r="D68" s="20"/>
      <c r="E68" s="20"/>
      <c r="F68" s="20"/>
      <c r="G68" s="19"/>
      <c r="H68" s="19"/>
      <c r="I68" s="19"/>
      <c r="J68" s="20"/>
      <c r="K68" s="20"/>
      <c r="L68" s="20"/>
      <c r="M68" s="20"/>
    </row>
    <row r="69" customFormat="false" ht="15" hidden="false" customHeight="false" outlineLevel="0" collapsed="false">
      <c r="A69" s="20"/>
      <c r="B69" s="20"/>
      <c r="C69" s="20"/>
      <c r="D69" s="20"/>
      <c r="E69" s="20"/>
      <c r="F69" s="20"/>
      <c r="G69" s="19"/>
      <c r="H69" s="19"/>
      <c r="I69" s="19"/>
      <c r="J69" s="20"/>
      <c r="K69" s="20"/>
      <c r="L69" s="20"/>
      <c r="M69" s="20"/>
    </row>
    <row r="70" customFormat="false" ht="15" hidden="false" customHeight="false" outlineLevel="0" collapsed="false">
      <c r="A70" s="20"/>
      <c r="B70" s="20"/>
      <c r="C70" s="20"/>
      <c r="D70" s="20"/>
      <c r="E70" s="20"/>
      <c r="F70" s="20"/>
      <c r="G70" s="19"/>
      <c r="H70" s="19"/>
      <c r="I70" s="19"/>
      <c r="J70" s="20"/>
      <c r="K70" s="20"/>
      <c r="L70" s="20"/>
      <c r="M70" s="20"/>
    </row>
    <row r="71" customFormat="false" ht="15" hidden="false" customHeight="false" outlineLevel="0" collapsed="false">
      <c r="A71" s="20"/>
      <c r="B71" s="20"/>
      <c r="C71" s="20"/>
      <c r="D71" s="20"/>
      <c r="E71" s="20"/>
      <c r="F71" s="20"/>
      <c r="G71" s="19"/>
      <c r="H71" s="19"/>
      <c r="I71" s="19"/>
      <c r="J71" s="20"/>
      <c r="K71" s="20"/>
      <c r="L71" s="20"/>
      <c r="M71" s="20"/>
    </row>
    <row r="72" customFormat="false" ht="15" hidden="false" customHeight="false" outlineLevel="0" collapsed="false">
      <c r="A72" s="20"/>
      <c r="B72" s="20"/>
      <c r="C72" s="20"/>
      <c r="D72" s="20"/>
      <c r="E72" s="20"/>
      <c r="F72" s="20"/>
      <c r="G72" s="19"/>
      <c r="H72" s="19"/>
      <c r="I72" s="19"/>
      <c r="J72" s="20"/>
      <c r="K72" s="20"/>
      <c r="L72" s="20"/>
      <c r="M72" s="20"/>
    </row>
    <row r="73" customFormat="false" ht="15" hidden="false" customHeight="false" outlineLevel="0" collapsed="false">
      <c r="A73" s="20"/>
      <c r="B73" s="20"/>
      <c r="C73" s="20"/>
      <c r="D73" s="20"/>
      <c r="E73" s="20"/>
      <c r="F73" s="20"/>
      <c r="G73" s="19"/>
      <c r="H73" s="19"/>
      <c r="I73" s="19"/>
      <c r="J73" s="20"/>
      <c r="K73" s="20"/>
      <c r="L73" s="20"/>
      <c r="M73" s="20"/>
    </row>
    <row r="74" customFormat="false" ht="15" hidden="false" customHeight="false" outlineLevel="0" collapsed="false">
      <c r="A74" s="20"/>
      <c r="B74" s="20"/>
      <c r="C74" s="20"/>
      <c r="D74" s="20"/>
      <c r="E74" s="20"/>
      <c r="F74" s="20"/>
      <c r="G74" s="19"/>
      <c r="H74" s="19"/>
      <c r="I74" s="19"/>
      <c r="J74" s="20"/>
      <c r="K74" s="20"/>
      <c r="L74" s="20"/>
      <c r="M74" s="20"/>
    </row>
    <row r="75" customFormat="false" ht="15" hidden="false" customHeight="false" outlineLevel="0" collapsed="false">
      <c r="A75" s="20"/>
      <c r="B75" s="20"/>
      <c r="C75" s="20"/>
      <c r="D75" s="20"/>
      <c r="E75" s="20"/>
      <c r="F75" s="20"/>
      <c r="G75" s="19"/>
      <c r="H75" s="19"/>
      <c r="I75" s="19"/>
      <c r="J75" s="20"/>
      <c r="K75" s="20"/>
      <c r="L75" s="20"/>
      <c r="M75" s="20"/>
    </row>
    <row r="76" customFormat="false" ht="15" hidden="false" customHeight="false" outlineLevel="0" collapsed="false">
      <c r="A76" s="20"/>
      <c r="B76" s="20"/>
      <c r="C76" s="20"/>
      <c r="D76" s="20"/>
      <c r="E76" s="20"/>
      <c r="F76" s="20"/>
      <c r="G76" s="19"/>
      <c r="H76" s="19"/>
      <c r="I76" s="19"/>
      <c r="J76" s="20"/>
      <c r="K76" s="20"/>
      <c r="L76" s="20"/>
      <c r="M76" s="20"/>
    </row>
    <row r="77" customFormat="false" ht="15" hidden="false" customHeight="false" outlineLevel="0" collapsed="false">
      <c r="A77" s="20"/>
      <c r="B77" s="20"/>
      <c r="C77" s="20"/>
      <c r="D77" s="20"/>
      <c r="E77" s="20"/>
      <c r="F77" s="20"/>
      <c r="G77" s="19"/>
      <c r="H77" s="19"/>
      <c r="I77" s="19"/>
      <c r="J77" s="20"/>
      <c r="K77" s="20"/>
      <c r="L77" s="20"/>
      <c r="M77" s="20"/>
    </row>
    <row r="78" customFormat="false" ht="15" hidden="false" customHeight="false" outlineLevel="0" collapsed="false">
      <c r="A78" s="20"/>
      <c r="B78" s="20"/>
      <c r="C78" s="20"/>
      <c r="D78" s="20"/>
      <c r="E78" s="20"/>
      <c r="F78" s="20"/>
      <c r="G78" s="19"/>
      <c r="H78" s="19"/>
      <c r="I78" s="19"/>
      <c r="J78" s="20"/>
      <c r="K78" s="20"/>
      <c r="L78" s="20"/>
      <c r="M78" s="20"/>
    </row>
    <row r="79" customFormat="false" ht="15" hidden="false" customHeight="false" outlineLevel="0" collapsed="false">
      <c r="A79" s="20"/>
      <c r="B79" s="20"/>
      <c r="C79" s="20"/>
      <c r="D79" s="20"/>
      <c r="E79" s="20"/>
      <c r="F79" s="20"/>
      <c r="G79" s="19"/>
      <c r="H79" s="19"/>
      <c r="I79" s="19"/>
      <c r="J79" s="20"/>
      <c r="K79" s="20"/>
      <c r="L79" s="20"/>
      <c r="M79" s="20"/>
    </row>
    <row r="80" customFormat="false" ht="15" hidden="false" customHeight="false" outlineLevel="0" collapsed="false">
      <c r="A80" s="20"/>
      <c r="B80" s="20"/>
      <c r="C80" s="20"/>
      <c r="D80" s="20"/>
      <c r="E80" s="20"/>
      <c r="F80" s="20"/>
      <c r="G80" s="19"/>
      <c r="H80" s="19"/>
      <c r="I80" s="19"/>
      <c r="J80" s="20"/>
      <c r="K80" s="20"/>
      <c r="L80" s="20"/>
      <c r="M80" s="20"/>
    </row>
    <row r="81" customFormat="false" ht="15" hidden="false" customHeight="false" outlineLevel="0" collapsed="false">
      <c r="A81" s="20"/>
      <c r="B81" s="20"/>
      <c r="C81" s="20"/>
      <c r="D81" s="20"/>
      <c r="E81" s="20"/>
      <c r="F81" s="20"/>
      <c r="G81" s="19"/>
      <c r="H81" s="19"/>
      <c r="I81" s="19"/>
      <c r="J81" s="20"/>
      <c r="K81" s="20"/>
      <c r="L81" s="20"/>
      <c r="M81" s="20"/>
    </row>
    <row r="82" customFormat="false" ht="15" hidden="false" customHeight="false" outlineLevel="0" collapsed="false">
      <c r="A82" s="20"/>
      <c r="B82" s="20"/>
      <c r="C82" s="20"/>
      <c r="D82" s="20"/>
      <c r="E82" s="20"/>
      <c r="F82" s="20"/>
      <c r="G82" s="19"/>
      <c r="H82" s="19"/>
      <c r="I82" s="19"/>
      <c r="J82" s="20"/>
      <c r="K82" s="20"/>
      <c r="L82" s="20"/>
      <c r="M82" s="20"/>
    </row>
    <row r="83" customFormat="false" ht="15" hidden="false" customHeight="false" outlineLevel="0" collapsed="false">
      <c r="A83" s="20"/>
      <c r="B83" s="20"/>
      <c r="C83" s="20"/>
      <c r="D83" s="20"/>
      <c r="E83" s="20"/>
      <c r="F83" s="20"/>
      <c r="G83" s="19"/>
      <c r="H83" s="19"/>
      <c r="I83" s="19"/>
      <c r="J83" s="20"/>
      <c r="K83" s="20"/>
      <c r="L83" s="20"/>
      <c r="M83" s="20"/>
    </row>
    <row r="84" customFormat="false" ht="15" hidden="false" customHeight="false" outlineLevel="0" collapsed="false">
      <c r="A84" s="20"/>
      <c r="B84" s="20"/>
      <c r="C84" s="20"/>
      <c r="D84" s="20"/>
      <c r="E84" s="20"/>
      <c r="F84" s="20"/>
      <c r="G84" s="19"/>
      <c r="H84" s="19"/>
      <c r="I84" s="19"/>
      <c r="J84" s="20"/>
      <c r="K84" s="20"/>
      <c r="L84" s="20"/>
      <c r="M84" s="20"/>
    </row>
    <row r="85" customFormat="false" ht="15" hidden="false" customHeight="false" outlineLevel="0" collapsed="false">
      <c r="A85" s="20"/>
      <c r="B85" s="20"/>
      <c r="C85" s="20"/>
      <c r="D85" s="20"/>
      <c r="E85" s="20"/>
      <c r="F85" s="20"/>
      <c r="G85" s="19"/>
      <c r="H85" s="19"/>
      <c r="I85" s="19"/>
      <c r="J85" s="20"/>
      <c r="K85" s="20"/>
      <c r="L85" s="20"/>
      <c r="M85" s="20"/>
    </row>
    <row r="86" customFormat="false" ht="15" hidden="false" customHeight="false" outlineLevel="0" collapsed="false">
      <c r="A86" s="20"/>
      <c r="B86" s="20"/>
      <c r="C86" s="20"/>
      <c r="D86" s="20"/>
      <c r="E86" s="20"/>
      <c r="F86" s="20"/>
      <c r="G86" s="19"/>
      <c r="H86" s="19"/>
      <c r="I86" s="19"/>
      <c r="J86" s="20"/>
      <c r="K86" s="20"/>
      <c r="L86" s="20"/>
      <c r="M86" s="20"/>
    </row>
    <row r="87" customFormat="false" ht="15" hidden="false" customHeight="false" outlineLevel="0" collapsed="false">
      <c r="A87" s="20"/>
      <c r="B87" s="20"/>
      <c r="C87" s="20"/>
      <c r="D87" s="20"/>
      <c r="E87" s="20"/>
      <c r="F87" s="20"/>
      <c r="G87" s="19"/>
      <c r="H87" s="19"/>
      <c r="I87" s="19"/>
      <c r="J87" s="20"/>
      <c r="K87" s="20"/>
      <c r="L87" s="20"/>
      <c r="M87" s="20"/>
    </row>
    <row r="88" customFormat="false" ht="15" hidden="false" customHeight="false" outlineLevel="0" collapsed="false">
      <c r="A88" s="20"/>
      <c r="B88" s="20"/>
      <c r="C88" s="20"/>
      <c r="D88" s="20"/>
      <c r="E88" s="20"/>
      <c r="F88" s="20"/>
      <c r="G88" s="19"/>
      <c r="H88" s="19"/>
      <c r="I88" s="19"/>
      <c r="J88" s="20"/>
      <c r="K88" s="20"/>
      <c r="L88" s="20"/>
      <c r="M88" s="20"/>
    </row>
    <row r="89" customFormat="false" ht="15" hidden="false" customHeight="false" outlineLevel="0" collapsed="false">
      <c r="A89" s="20"/>
      <c r="B89" s="20"/>
      <c r="C89" s="20"/>
      <c r="D89" s="20"/>
      <c r="E89" s="20"/>
      <c r="F89" s="20"/>
      <c r="G89" s="19"/>
      <c r="H89" s="19"/>
      <c r="I89" s="19"/>
      <c r="J89" s="20"/>
      <c r="K89" s="20"/>
      <c r="L89" s="20"/>
      <c r="M89" s="20"/>
    </row>
    <row r="90" customFormat="false" ht="15" hidden="false" customHeight="false" outlineLevel="0" collapsed="false">
      <c r="A90" s="20"/>
      <c r="B90" s="20"/>
      <c r="C90" s="20"/>
      <c r="D90" s="20"/>
      <c r="E90" s="20"/>
      <c r="F90" s="20"/>
      <c r="G90" s="19"/>
      <c r="H90" s="19"/>
      <c r="I90" s="19"/>
      <c r="J90" s="20"/>
      <c r="K90" s="20"/>
      <c r="L90" s="20"/>
      <c r="M90" s="20"/>
    </row>
    <row r="91" customFormat="false" ht="15" hidden="false" customHeight="false" outlineLevel="0" collapsed="false">
      <c r="A91" s="20"/>
      <c r="B91" s="20"/>
      <c r="C91" s="20"/>
      <c r="D91" s="20"/>
      <c r="E91" s="20"/>
      <c r="F91" s="20"/>
      <c r="G91" s="19"/>
      <c r="H91" s="19"/>
      <c r="I91" s="19"/>
      <c r="J91" s="20"/>
      <c r="K91" s="20"/>
      <c r="L91" s="20"/>
      <c r="M91" s="20"/>
    </row>
    <row r="92" customFormat="false" ht="15" hidden="false" customHeight="false" outlineLevel="0" collapsed="false">
      <c r="A92" s="20"/>
      <c r="B92" s="20"/>
      <c r="C92" s="20"/>
      <c r="D92" s="20"/>
      <c r="E92" s="20"/>
      <c r="F92" s="20"/>
      <c r="G92" s="19"/>
      <c r="H92" s="19"/>
      <c r="I92" s="19"/>
      <c r="J92" s="20"/>
      <c r="K92" s="20"/>
      <c r="L92" s="20"/>
      <c r="M92" s="20"/>
    </row>
    <row r="93" customFormat="false" ht="15" hidden="false" customHeight="false" outlineLevel="0" collapsed="false">
      <c r="A93" s="20"/>
      <c r="B93" s="20"/>
      <c r="C93" s="20"/>
      <c r="D93" s="20"/>
      <c r="E93" s="20"/>
      <c r="F93" s="20"/>
      <c r="G93" s="19"/>
      <c r="H93" s="19"/>
      <c r="I93" s="19"/>
      <c r="J93" s="20"/>
      <c r="K93" s="20"/>
      <c r="L93" s="20"/>
      <c r="M93" s="20"/>
    </row>
    <row r="94" customFormat="false" ht="15" hidden="false" customHeight="false" outlineLevel="0" collapsed="false">
      <c r="A94" s="20"/>
      <c r="B94" s="20"/>
      <c r="C94" s="20"/>
      <c r="D94" s="20"/>
      <c r="E94" s="20"/>
      <c r="F94" s="20"/>
      <c r="G94" s="19"/>
      <c r="H94" s="19"/>
      <c r="I94" s="19"/>
      <c r="J94" s="20"/>
      <c r="K94" s="20"/>
      <c r="L94" s="20"/>
      <c r="M94" s="20"/>
    </row>
    <row r="95" customFormat="false" ht="15" hidden="false" customHeight="false" outlineLevel="0" collapsed="false">
      <c r="A95" s="20"/>
      <c r="B95" s="20"/>
      <c r="C95" s="20"/>
      <c r="D95" s="20"/>
      <c r="E95" s="20"/>
      <c r="F95" s="20"/>
      <c r="G95" s="19"/>
      <c r="H95" s="19"/>
      <c r="I95" s="19"/>
      <c r="J95" s="20"/>
      <c r="K95" s="20"/>
      <c r="L95" s="20"/>
      <c r="M95" s="20"/>
    </row>
    <row r="96" customFormat="false" ht="15" hidden="false" customHeight="false" outlineLevel="0" collapsed="false">
      <c r="A96" s="20"/>
      <c r="B96" s="20"/>
      <c r="C96" s="20"/>
      <c r="D96" s="20"/>
      <c r="E96" s="20"/>
      <c r="F96" s="20"/>
      <c r="G96" s="19"/>
      <c r="H96" s="19"/>
      <c r="I96" s="19"/>
      <c r="J96" s="20"/>
      <c r="K96" s="20"/>
      <c r="L96" s="20"/>
      <c r="M96" s="20"/>
    </row>
    <row r="97" customFormat="false" ht="15" hidden="false" customHeight="false" outlineLevel="0" collapsed="false">
      <c r="A97" s="20"/>
      <c r="B97" s="20"/>
      <c r="C97" s="20"/>
      <c r="D97" s="20"/>
      <c r="E97" s="20"/>
      <c r="F97" s="20"/>
      <c r="G97" s="19"/>
      <c r="H97" s="19"/>
      <c r="I97" s="19"/>
      <c r="J97" s="20"/>
      <c r="K97" s="20"/>
      <c r="L97" s="20"/>
      <c r="M97" s="20"/>
    </row>
    <row r="98" customFormat="false" ht="15" hidden="false" customHeight="false" outlineLevel="0" collapsed="false">
      <c r="A98" s="20"/>
      <c r="B98" s="20"/>
      <c r="C98" s="20"/>
      <c r="D98" s="20"/>
      <c r="E98" s="20"/>
      <c r="F98" s="20"/>
      <c r="G98" s="19"/>
      <c r="H98" s="19"/>
      <c r="I98" s="19"/>
      <c r="J98" s="20"/>
      <c r="K98" s="20"/>
      <c r="L98" s="20"/>
      <c r="M98" s="20"/>
    </row>
    <row r="99" customFormat="false" ht="15" hidden="false" customHeight="false" outlineLevel="0" collapsed="false">
      <c r="A99" s="20"/>
      <c r="B99" s="20"/>
      <c r="C99" s="20"/>
      <c r="D99" s="20"/>
      <c r="E99" s="20"/>
      <c r="F99" s="20"/>
      <c r="G99" s="19"/>
      <c r="H99" s="19"/>
      <c r="I99" s="19"/>
      <c r="J99" s="20"/>
      <c r="K99" s="20"/>
      <c r="L99" s="20"/>
      <c r="M99" s="20"/>
    </row>
    <row r="100" customFormat="false" ht="15" hidden="false" customHeight="false" outlineLevel="0" collapsed="false">
      <c r="A100" s="20"/>
      <c r="B100" s="20"/>
      <c r="C100" s="20"/>
      <c r="D100" s="20"/>
      <c r="E100" s="20"/>
      <c r="F100" s="20"/>
      <c r="G100" s="19"/>
      <c r="H100" s="19"/>
      <c r="I100" s="19"/>
      <c r="J100" s="20"/>
      <c r="K100" s="20"/>
      <c r="L100" s="20"/>
      <c r="M100" s="20"/>
    </row>
    <row r="101" customFormat="false" ht="15" hidden="false" customHeight="false" outlineLevel="0" collapsed="false">
      <c r="A101" s="20"/>
      <c r="B101" s="20"/>
      <c r="C101" s="20"/>
      <c r="D101" s="20"/>
      <c r="E101" s="20"/>
      <c r="F101" s="20"/>
      <c r="G101" s="19"/>
      <c r="H101" s="19"/>
      <c r="I101" s="19"/>
      <c r="J101" s="20"/>
      <c r="K101" s="20"/>
      <c r="L101" s="20"/>
      <c r="M101" s="20"/>
    </row>
    <row r="102" customFormat="false" ht="15" hidden="false" customHeight="false" outlineLevel="0" collapsed="false">
      <c r="A102" s="20"/>
      <c r="B102" s="20"/>
      <c r="C102" s="20"/>
      <c r="D102" s="20"/>
      <c r="E102" s="20"/>
      <c r="F102" s="20"/>
      <c r="G102" s="19"/>
      <c r="H102" s="19"/>
      <c r="I102" s="19"/>
      <c r="J102" s="20"/>
      <c r="K102" s="20"/>
      <c r="L102" s="20"/>
      <c r="M102" s="20"/>
    </row>
    <row r="103" customFormat="false" ht="15" hidden="false" customHeight="false" outlineLevel="0" collapsed="false">
      <c r="A103" s="20"/>
      <c r="B103" s="20"/>
      <c r="C103" s="20"/>
      <c r="D103" s="20"/>
      <c r="E103" s="20"/>
      <c r="F103" s="20"/>
      <c r="G103" s="19"/>
      <c r="H103" s="19"/>
      <c r="I103" s="19"/>
      <c r="J103" s="20"/>
      <c r="K103" s="20"/>
      <c r="L103" s="20"/>
      <c r="M103" s="20"/>
    </row>
    <row r="104" customFormat="false" ht="15" hidden="false" customHeight="false" outlineLevel="0" collapsed="false">
      <c r="A104" s="20"/>
      <c r="B104" s="20"/>
      <c r="C104" s="20"/>
      <c r="D104" s="20"/>
      <c r="E104" s="20"/>
      <c r="F104" s="20"/>
      <c r="G104" s="19"/>
      <c r="H104" s="19"/>
      <c r="I104" s="19"/>
      <c r="J104" s="20"/>
      <c r="K104" s="20"/>
      <c r="L104" s="20"/>
      <c r="M104" s="20"/>
    </row>
    <row r="105" customFormat="false" ht="15" hidden="false" customHeight="false" outlineLevel="0" collapsed="false">
      <c r="A105" s="20"/>
      <c r="B105" s="20"/>
      <c r="C105" s="20"/>
      <c r="D105" s="20"/>
      <c r="E105" s="20"/>
      <c r="F105" s="20"/>
      <c r="G105" s="19"/>
      <c r="H105" s="19"/>
      <c r="I105" s="19"/>
      <c r="J105" s="20"/>
      <c r="K105" s="20"/>
      <c r="L105" s="20"/>
      <c r="M105" s="20"/>
    </row>
    <row r="106" customFormat="false" ht="15" hidden="false" customHeight="false" outlineLevel="0" collapsed="false">
      <c r="A106" s="20"/>
      <c r="B106" s="20"/>
      <c r="C106" s="20"/>
      <c r="D106" s="20"/>
      <c r="E106" s="20"/>
      <c r="F106" s="20"/>
      <c r="G106" s="19"/>
      <c r="H106" s="19"/>
      <c r="I106" s="19"/>
      <c r="J106" s="20"/>
      <c r="K106" s="20"/>
      <c r="L106" s="20"/>
      <c r="M106" s="20"/>
    </row>
    <row r="107" customFormat="false" ht="15" hidden="false" customHeight="false" outlineLevel="0" collapsed="false">
      <c r="A107" s="20"/>
      <c r="B107" s="20"/>
      <c r="C107" s="20"/>
      <c r="D107" s="20"/>
      <c r="E107" s="20"/>
      <c r="F107" s="20"/>
      <c r="G107" s="19"/>
      <c r="H107" s="19"/>
      <c r="I107" s="19"/>
      <c r="J107" s="20"/>
      <c r="K107" s="20"/>
      <c r="L107" s="20"/>
      <c r="M107" s="20"/>
    </row>
    <row r="108" customFormat="false" ht="15" hidden="false" customHeight="false" outlineLevel="0" collapsed="false">
      <c r="A108" s="20"/>
      <c r="B108" s="20"/>
      <c r="C108" s="20"/>
      <c r="D108" s="20"/>
      <c r="E108" s="20"/>
      <c r="F108" s="20"/>
      <c r="G108" s="19"/>
      <c r="H108" s="19"/>
      <c r="I108" s="19"/>
      <c r="J108" s="20"/>
      <c r="K108" s="20"/>
      <c r="L108" s="20"/>
      <c r="M108" s="20"/>
    </row>
    <row r="109" customFormat="false" ht="15" hidden="false" customHeight="false" outlineLevel="0" collapsed="false">
      <c r="A109" s="20"/>
      <c r="B109" s="20"/>
      <c r="C109" s="20"/>
      <c r="D109" s="20"/>
      <c r="E109" s="20"/>
      <c r="F109" s="20"/>
      <c r="G109" s="19"/>
      <c r="H109" s="19"/>
      <c r="I109" s="19"/>
      <c r="J109" s="20"/>
      <c r="K109" s="20"/>
      <c r="L109" s="20"/>
      <c r="M109" s="20"/>
    </row>
    <row r="110" customFormat="false" ht="15" hidden="false" customHeight="false" outlineLevel="0" collapsed="false">
      <c r="A110" s="20"/>
      <c r="B110" s="20"/>
      <c r="C110" s="20"/>
      <c r="D110" s="20"/>
      <c r="E110" s="20"/>
      <c r="F110" s="20"/>
      <c r="G110" s="19"/>
      <c r="H110" s="19"/>
      <c r="I110" s="19"/>
      <c r="J110" s="20"/>
      <c r="K110" s="20"/>
      <c r="L110" s="20"/>
      <c r="M110" s="20"/>
    </row>
    <row r="111" customFormat="false" ht="15" hidden="false" customHeight="false" outlineLevel="0" collapsed="false">
      <c r="A111" s="20"/>
      <c r="B111" s="20"/>
      <c r="C111" s="20"/>
      <c r="D111" s="20"/>
      <c r="E111" s="20"/>
      <c r="F111" s="20"/>
      <c r="G111" s="19"/>
      <c r="H111" s="19"/>
      <c r="I111" s="19"/>
      <c r="J111" s="20"/>
      <c r="K111" s="20"/>
      <c r="L111" s="20"/>
      <c r="M111" s="20"/>
    </row>
    <row r="112" customFormat="false" ht="15" hidden="false" customHeight="false" outlineLevel="0" collapsed="false">
      <c r="A112" s="20"/>
      <c r="B112" s="20"/>
      <c r="C112" s="20"/>
      <c r="D112" s="20"/>
      <c r="E112" s="20"/>
      <c r="F112" s="20"/>
      <c r="G112" s="19"/>
      <c r="H112" s="19"/>
      <c r="I112" s="19"/>
      <c r="J112" s="20"/>
      <c r="K112" s="20"/>
      <c r="L112" s="20"/>
      <c r="M112" s="20"/>
    </row>
    <row r="113" customFormat="false" ht="15" hidden="false" customHeight="false" outlineLevel="0" collapsed="false">
      <c r="A113" s="20"/>
      <c r="B113" s="20"/>
      <c r="C113" s="20"/>
      <c r="D113" s="20"/>
      <c r="E113" s="20"/>
      <c r="F113" s="20"/>
      <c r="G113" s="19"/>
      <c r="H113" s="19"/>
      <c r="I113" s="19"/>
      <c r="J113" s="20"/>
      <c r="K113" s="20"/>
      <c r="L113" s="20"/>
      <c r="M113" s="20"/>
    </row>
    <row r="114" customFormat="false" ht="15" hidden="false" customHeight="false" outlineLevel="0" collapsed="false">
      <c r="A114" s="20"/>
      <c r="B114" s="20"/>
      <c r="C114" s="20"/>
      <c r="D114" s="20"/>
      <c r="E114" s="20"/>
      <c r="F114" s="20"/>
      <c r="G114" s="19"/>
      <c r="H114" s="19"/>
      <c r="I114" s="19"/>
      <c r="J114" s="20"/>
      <c r="K114" s="20"/>
      <c r="L114" s="20"/>
      <c r="M114" s="20"/>
    </row>
    <row r="115" customFormat="false" ht="15" hidden="false" customHeight="false" outlineLevel="0" collapsed="false">
      <c r="A115" s="20"/>
      <c r="B115" s="20"/>
      <c r="C115" s="20"/>
      <c r="D115" s="20"/>
      <c r="E115" s="20"/>
      <c r="F115" s="20"/>
      <c r="G115" s="19"/>
      <c r="H115" s="19"/>
      <c r="I115" s="19"/>
      <c r="J115" s="20"/>
      <c r="K115" s="20"/>
      <c r="L115" s="20"/>
      <c r="M115" s="20"/>
    </row>
    <row r="116" customFormat="false" ht="15" hidden="false" customHeight="false" outlineLevel="0" collapsed="false">
      <c r="A116" s="20"/>
      <c r="B116" s="20"/>
      <c r="C116" s="20"/>
      <c r="D116" s="20"/>
      <c r="E116" s="20"/>
      <c r="F116" s="20"/>
      <c r="G116" s="19"/>
      <c r="H116" s="19"/>
      <c r="I116" s="19"/>
      <c r="J116" s="20"/>
      <c r="K116" s="20"/>
      <c r="L116" s="20"/>
      <c r="M116" s="20"/>
    </row>
    <row r="117" customFormat="false" ht="15" hidden="false" customHeight="false" outlineLevel="0" collapsed="false">
      <c r="A117" s="20"/>
      <c r="B117" s="20"/>
      <c r="C117" s="20"/>
      <c r="D117" s="20"/>
      <c r="E117" s="20"/>
      <c r="F117" s="20"/>
      <c r="G117" s="19"/>
      <c r="H117" s="19"/>
      <c r="I117" s="19"/>
      <c r="J117" s="20"/>
      <c r="K117" s="20"/>
      <c r="L117" s="20"/>
      <c r="M117" s="20"/>
    </row>
    <row r="118" customFormat="false" ht="15" hidden="false" customHeight="false" outlineLevel="0" collapsed="false">
      <c r="A118" s="20"/>
      <c r="B118" s="20"/>
      <c r="C118" s="20"/>
      <c r="D118" s="20"/>
      <c r="E118" s="20"/>
      <c r="F118" s="20"/>
      <c r="G118" s="19"/>
      <c r="H118" s="19"/>
      <c r="I118" s="19"/>
      <c r="J118" s="20"/>
      <c r="K118" s="20"/>
      <c r="L118" s="20"/>
      <c r="M118" s="20"/>
    </row>
    <row r="119" customFormat="false" ht="15" hidden="false" customHeight="false" outlineLevel="0" collapsed="false">
      <c r="A119" s="20"/>
      <c r="B119" s="20"/>
      <c r="C119" s="20"/>
      <c r="D119" s="20"/>
      <c r="E119" s="20"/>
      <c r="F119" s="20"/>
      <c r="G119" s="19"/>
      <c r="H119" s="19"/>
      <c r="I119" s="19"/>
      <c r="J119" s="20"/>
      <c r="K119" s="20"/>
      <c r="L119" s="20"/>
      <c r="M119" s="20"/>
    </row>
    <row r="120" customFormat="false" ht="15" hidden="false" customHeight="false" outlineLevel="0" collapsed="false">
      <c r="A120" s="20"/>
      <c r="B120" s="20"/>
      <c r="C120" s="20"/>
      <c r="D120" s="20"/>
      <c r="E120" s="20"/>
      <c r="F120" s="20"/>
      <c r="G120" s="19"/>
      <c r="H120" s="19"/>
      <c r="I120" s="19"/>
      <c r="J120" s="20"/>
      <c r="K120" s="20"/>
      <c r="L120" s="20"/>
      <c r="M120" s="20"/>
    </row>
    <row r="121" customFormat="false" ht="15" hidden="false" customHeight="false" outlineLevel="0" collapsed="false">
      <c r="A121" s="20"/>
      <c r="B121" s="20"/>
      <c r="C121" s="20"/>
      <c r="D121" s="20"/>
      <c r="E121" s="20"/>
      <c r="F121" s="20"/>
      <c r="G121" s="19"/>
      <c r="H121" s="19"/>
      <c r="I121" s="19"/>
      <c r="J121" s="20"/>
      <c r="K121" s="20"/>
      <c r="L121" s="20"/>
      <c r="M121" s="20"/>
    </row>
    <row r="122" customFormat="false" ht="15" hidden="false" customHeight="false" outlineLevel="0" collapsed="false">
      <c r="A122" s="20"/>
      <c r="B122" s="20"/>
      <c r="C122" s="20"/>
      <c r="D122" s="20"/>
      <c r="E122" s="20"/>
      <c r="F122" s="20"/>
      <c r="G122" s="19"/>
      <c r="H122" s="19"/>
      <c r="I122" s="19"/>
      <c r="J122" s="20"/>
      <c r="K122" s="20"/>
      <c r="L122" s="20"/>
      <c r="M122" s="20"/>
    </row>
    <row r="123" customFormat="false" ht="15" hidden="false" customHeight="false" outlineLevel="0" collapsed="false">
      <c r="A123" s="20"/>
      <c r="B123" s="20"/>
      <c r="C123" s="20"/>
      <c r="D123" s="20"/>
      <c r="E123" s="20"/>
      <c r="F123" s="20"/>
      <c r="G123" s="19"/>
      <c r="H123" s="19"/>
      <c r="I123" s="19"/>
      <c r="J123" s="20"/>
      <c r="K123" s="20"/>
      <c r="L123" s="20"/>
      <c r="M123" s="20"/>
    </row>
    <row r="124" customFormat="false" ht="15" hidden="false" customHeight="false" outlineLevel="0" collapsed="false">
      <c r="A124" s="20"/>
      <c r="B124" s="20"/>
      <c r="C124" s="20"/>
      <c r="D124" s="20"/>
      <c r="E124" s="20"/>
      <c r="F124" s="20"/>
      <c r="G124" s="19"/>
      <c r="H124" s="19"/>
      <c r="I124" s="19"/>
      <c r="J124" s="20"/>
      <c r="K124" s="20"/>
      <c r="L124" s="20"/>
      <c r="M124" s="20"/>
    </row>
    <row r="125" customFormat="false" ht="15" hidden="false" customHeight="false" outlineLevel="0" collapsed="false">
      <c r="A125" s="20"/>
      <c r="B125" s="20"/>
      <c r="C125" s="20"/>
      <c r="D125" s="20"/>
      <c r="E125" s="20"/>
      <c r="F125" s="20"/>
      <c r="G125" s="19"/>
      <c r="H125" s="19"/>
      <c r="I125" s="19"/>
      <c r="J125" s="20"/>
      <c r="K125" s="20"/>
      <c r="L125" s="20"/>
      <c r="M125" s="20"/>
    </row>
    <row r="126" customFormat="false" ht="15" hidden="false" customHeight="false" outlineLevel="0" collapsed="false">
      <c r="A126" s="20"/>
      <c r="B126" s="20"/>
      <c r="C126" s="20"/>
      <c r="D126" s="20"/>
      <c r="E126" s="20"/>
      <c r="F126" s="20"/>
      <c r="G126" s="19"/>
      <c r="H126" s="19"/>
      <c r="I126" s="19"/>
      <c r="J126" s="20"/>
      <c r="K126" s="20"/>
      <c r="L126" s="20"/>
      <c r="M126" s="20"/>
    </row>
    <row r="127" customFormat="false" ht="15" hidden="false" customHeight="false" outlineLevel="0" collapsed="false">
      <c r="A127" s="20"/>
      <c r="B127" s="20"/>
      <c r="C127" s="20"/>
      <c r="D127" s="20"/>
      <c r="E127" s="20"/>
      <c r="F127" s="20"/>
      <c r="G127" s="19"/>
      <c r="H127" s="19"/>
      <c r="I127" s="19"/>
      <c r="J127" s="20"/>
      <c r="K127" s="20"/>
      <c r="L127" s="20"/>
      <c r="M127" s="20"/>
    </row>
    <row r="128" customFormat="false" ht="15" hidden="false" customHeight="false" outlineLevel="0" collapsed="false">
      <c r="A128" s="20"/>
      <c r="B128" s="20"/>
      <c r="C128" s="20"/>
      <c r="D128" s="20"/>
      <c r="E128" s="20"/>
      <c r="F128" s="20"/>
      <c r="G128" s="19"/>
      <c r="H128" s="19"/>
      <c r="I128" s="19"/>
      <c r="J128" s="20"/>
      <c r="K128" s="20"/>
      <c r="L128" s="20"/>
      <c r="M128" s="20"/>
    </row>
    <row r="129" customFormat="false" ht="15" hidden="false" customHeight="false" outlineLevel="0" collapsed="false">
      <c r="A129" s="20"/>
      <c r="B129" s="20"/>
      <c r="C129" s="20"/>
      <c r="D129" s="20"/>
      <c r="E129" s="20"/>
      <c r="F129" s="20"/>
      <c r="G129" s="19"/>
      <c r="H129" s="19"/>
      <c r="I129" s="19"/>
      <c r="J129" s="20"/>
      <c r="K129" s="20"/>
      <c r="L129" s="20"/>
      <c r="M129" s="20"/>
    </row>
    <row r="130" customFormat="false" ht="15" hidden="false" customHeight="false" outlineLevel="0" collapsed="false">
      <c r="A130" s="20"/>
      <c r="B130" s="20"/>
      <c r="C130" s="20"/>
      <c r="D130" s="20"/>
      <c r="E130" s="20"/>
      <c r="F130" s="20"/>
      <c r="G130" s="19"/>
      <c r="H130" s="19"/>
      <c r="I130" s="19"/>
      <c r="J130" s="20"/>
      <c r="K130" s="20"/>
      <c r="L130" s="20"/>
      <c r="M130" s="20"/>
    </row>
    <row r="131" customFormat="false" ht="15" hidden="false" customHeight="false" outlineLevel="0" collapsed="false">
      <c r="A131" s="20"/>
      <c r="B131" s="20"/>
      <c r="C131" s="20"/>
      <c r="D131" s="20"/>
      <c r="E131" s="20"/>
      <c r="F131" s="20"/>
      <c r="G131" s="19"/>
      <c r="H131" s="19"/>
      <c r="I131" s="19"/>
      <c r="J131" s="20"/>
      <c r="K131" s="20"/>
      <c r="L131" s="20"/>
      <c r="M131" s="20"/>
    </row>
    <row r="132" customFormat="false" ht="15" hidden="false" customHeight="false" outlineLevel="0" collapsed="false">
      <c r="A132" s="20"/>
      <c r="B132" s="20"/>
      <c r="C132" s="20"/>
      <c r="D132" s="20"/>
      <c r="E132" s="20"/>
      <c r="F132" s="20"/>
      <c r="G132" s="19"/>
      <c r="H132" s="19"/>
      <c r="I132" s="19"/>
      <c r="J132" s="20"/>
      <c r="K132" s="20"/>
      <c r="L132" s="20"/>
      <c r="M132" s="20"/>
    </row>
    <row r="133" customFormat="false" ht="15" hidden="false" customHeight="false" outlineLevel="0" collapsed="false">
      <c r="A133" s="20"/>
      <c r="B133" s="20"/>
      <c r="C133" s="20"/>
      <c r="D133" s="20"/>
      <c r="E133" s="20"/>
      <c r="F133" s="20"/>
      <c r="G133" s="19"/>
      <c r="H133" s="19"/>
      <c r="I133" s="19"/>
      <c r="J133" s="20"/>
      <c r="K133" s="20"/>
      <c r="L133" s="20"/>
      <c r="M133" s="20"/>
    </row>
    <row r="134" customFormat="false" ht="15" hidden="false" customHeight="false" outlineLevel="0" collapsed="false">
      <c r="A134" s="20"/>
      <c r="B134" s="20"/>
      <c r="C134" s="20"/>
      <c r="D134" s="20"/>
      <c r="E134" s="20"/>
      <c r="F134" s="20"/>
      <c r="G134" s="19"/>
      <c r="H134" s="19"/>
      <c r="I134" s="19"/>
      <c r="J134" s="20"/>
      <c r="K134" s="20"/>
      <c r="L134" s="20"/>
      <c r="M134" s="20"/>
    </row>
    <row r="135" customFormat="false" ht="15" hidden="false" customHeight="false" outlineLevel="0" collapsed="false">
      <c r="A135" s="20"/>
      <c r="B135" s="20"/>
      <c r="C135" s="20"/>
      <c r="D135" s="20"/>
      <c r="E135" s="20"/>
      <c r="F135" s="20"/>
      <c r="G135" s="19"/>
      <c r="H135" s="19"/>
      <c r="I135" s="19"/>
      <c r="J135" s="20"/>
      <c r="K135" s="20"/>
      <c r="L135" s="20"/>
      <c r="M135" s="20"/>
    </row>
    <row r="136" customFormat="false" ht="15" hidden="false" customHeight="false" outlineLevel="0" collapsed="false">
      <c r="A136" s="20"/>
      <c r="B136" s="20"/>
      <c r="C136" s="20"/>
      <c r="D136" s="20"/>
      <c r="E136" s="20"/>
      <c r="F136" s="20"/>
      <c r="G136" s="19"/>
      <c r="H136" s="19"/>
      <c r="I136" s="19"/>
      <c r="J136" s="20"/>
      <c r="K136" s="20"/>
      <c r="L136" s="20"/>
      <c r="M136" s="20"/>
    </row>
    <row r="137" customFormat="false" ht="15" hidden="false" customHeight="false" outlineLevel="0" collapsed="false">
      <c r="A137" s="20"/>
      <c r="B137" s="20"/>
      <c r="C137" s="20"/>
      <c r="D137" s="20"/>
      <c r="E137" s="20"/>
      <c r="F137" s="20"/>
      <c r="G137" s="19"/>
      <c r="H137" s="19"/>
      <c r="I137" s="19"/>
      <c r="J137" s="20"/>
      <c r="K137" s="20"/>
      <c r="L137" s="20"/>
      <c r="M137" s="20"/>
    </row>
    <row r="138" customFormat="false" ht="15" hidden="false" customHeight="false" outlineLevel="0" collapsed="false">
      <c r="A138" s="20"/>
      <c r="B138" s="20"/>
      <c r="C138" s="20"/>
      <c r="D138" s="20"/>
      <c r="E138" s="20"/>
      <c r="F138" s="20"/>
      <c r="G138" s="19"/>
      <c r="H138" s="19"/>
      <c r="I138" s="19"/>
      <c r="J138" s="20"/>
      <c r="K138" s="20"/>
      <c r="L138" s="20"/>
      <c r="M138" s="20"/>
    </row>
    <row r="139" customFormat="false" ht="15" hidden="false" customHeight="false" outlineLevel="0" collapsed="false">
      <c r="A139" s="20"/>
      <c r="B139" s="20"/>
      <c r="C139" s="20"/>
      <c r="D139" s="20"/>
      <c r="E139" s="20"/>
      <c r="F139" s="20"/>
      <c r="G139" s="19"/>
      <c r="H139" s="19"/>
      <c r="I139" s="19"/>
      <c r="J139" s="20"/>
      <c r="K139" s="20"/>
      <c r="L139" s="20"/>
      <c r="M139" s="20"/>
    </row>
    <row r="140" customFormat="false" ht="15" hidden="false" customHeight="false" outlineLevel="0" collapsed="false">
      <c r="A140" s="20"/>
      <c r="B140" s="20"/>
      <c r="C140" s="20"/>
      <c r="D140" s="20"/>
      <c r="E140" s="20"/>
      <c r="F140" s="20"/>
      <c r="G140" s="19"/>
      <c r="H140" s="19"/>
      <c r="I140" s="19"/>
      <c r="J140" s="20"/>
      <c r="K140" s="20"/>
      <c r="L140" s="20"/>
      <c r="M140" s="20"/>
    </row>
    <row r="141" customFormat="false" ht="15" hidden="false" customHeight="false" outlineLevel="0" collapsed="false">
      <c r="A141" s="20"/>
      <c r="B141" s="20"/>
      <c r="C141" s="20"/>
      <c r="D141" s="20"/>
      <c r="E141" s="20"/>
      <c r="F141" s="20"/>
      <c r="G141" s="19"/>
      <c r="H141" s="19"/>
      <c r="I141" s="19"/>
      <c r="J141" s="20"/>
      <c r="K141" s="20"/>
      <c r="L141" s="20"/>
      <c r="M141" s="20"/>
    </row>
    <row r="142" customFormat="false" ht="15" hidden="false" customHeight="false" outlineLevel="0" collapsed="false">
      <c r="A142" s="20"/>
      <c r="B142" s="20"/>
      <c r="C142" s="20"/>
      <c r="D142" s="20"/>
      <c r="E142" s="20"/>
      <c r="F142" s="20"/>
      <c r="G142" s="19"/>
      <c r="H142" s="19"/>
      <c r="I142" s="19"/>
      <c r="J142" s="20"/>
      <c r="K142" s="20"/>
      <c r="L142" s="20"/>
      <c r="M142" s="20"/>
    </row>
    <row r="143" customFormat="false" ht="15" hidden="false" customHeight="false" outlineLevel="0" collapsed="false">
      <c r="A143" s="20"/>
      <c r="B143" s="20"/>
      <c r="C143" s="20"/>
      <c r="D143" s="20"/>
      <c r="E143" s="20"/>
      <c r="F143" s="20"/>
      <c r="G143" s="19"/>
      <c r="H143" s="19"/>
      <c r="I143" s="19"/>
      <c r="J143" s="20"/>
      <c r="K143" s="20"/>
      <c r="L143" s="20"/>
      <c r="M143" s="20"/>
    </row>
    <row r="144" customFormat="false" ht="15" hidden="false" customHeight="false" outlineLevel="0" collapsed="false">
      <c r="A144" s="20"/>
      <c r="B144" s="20"/>
      <c r="C144" s="20"/>
      <c r="D144" s="20"/>
      <c r="E144" s="20"/>
      <c r="F144" s="20"/>
      <c r="G144" s="19"/>
      <c r="H144" s="19"/>
      <c r="I144" s="19"/>
      <c r="J144" s="20"/>
      <c r="K144" s="20"/>
      <c r="L144" s="20"/>
      <c r="M144" s="20"/>
    </row>
    <row r="145" customFormat="false" ht="15" hidden="false" customHeight="false" outlineLevel="0" collapsed="false">
      <c r="A145" s="20"/>
      <c r="B145" s="20"/>
      <c r="C145" s="20"/>
      <c r="D145" s="20"/>
      <c r="E145" s="20"/>
      <c r="F145" s="20"/>
      <c r="G145" s="19"/>
      <c r="H145" s="19"/>
      <c r="I145" s="19"/>
      <c r="J145" s="20"/>
      <c r="K145" s="20"/>
      <c r="L145" s="20"/>
      <c r="M145" s="20"/>
    </row>
    <row r="146" customFormat="false" ht="15" hidden="false" customHeight="false" outlineLevel="0" collapsed="false">
      <c r="A146" s="20"/>
      <c r="B146" s="20"/>
      <c r="C146" s="20"/>
      <c r="D146" s="20"/>
      <c r="E146" s="20"/>
      <c r="F146" s="20"/>
      <c r="G146" s="19"/>
      <c r="H146" s="19"/>
      <c r="I146" s="19"/>
      <c r="J146" s="20"/>
      <c r="K146" s="20"/>
      <c r="L146" s="20"/>
      <c r="M146" s="20"/>
    </row>
    <row r="147" customFormat="false" ht="15" hidden="false" customHeight="false" outlineLevel="0" collapsed="false">
      <c r="A147" s="20"/>
      <c r="B147" s="20"/>
      <c r="C147" s="20"/>
      <c r="D147" s="20"/>
      <c r="E147" s="20"/>
      <c r="F147" s="20"/>
      <c r="G147" s="19"/>
      <c r="H147" s="19"/>
      <c r="I147" s="19"/>
      <c r="J147" s="20"/>
      <c r="K147" s="20"/>
      <c r="L147" s="20"/>
      <c r="M147" s="20"/>
    </row>
    <row r="148" customFormat="false" ht="15" hidden="false" customHeight="false" outlineLevel="0" collapsed="false">
      <c r="A148" s="20"/>
      <c r="B148" s="20"/>
      <c r="C148" s="20"/>
      <c r="D148" s="20"/>
      <c r="E148" s="20"/>
      <c r="F148" s="20"/>
      <c r="G148" s="19"/>
      <c r="H148" s="19"/>
      <c r="I148" s="19"/>
      <c r="J148" s="20"/>
      <c r="K148" s="20"/>
      <c r="L148" s="20"/>
      <c r="M148" s="20"/>
    </row>
    <row r="149" customFormat="false" ht="15" hidden="false" customHeight="false" outlineLevel="0" collapsed="false">
      <c r="A149" s="20"/>
      <c r="B149" s="20"/>
      <c r="C149" s="20"/>
      <c r="D149" s="20"/>
      <c r="E149" s="20"/>
      <c r="F149" s="20"/>
      <c r="G149" s="19"/>
      <c r="H149" s="19"/>
      <c r="I149" s="19"/>
      <c r="J149" s="20"/>
      <c r="K149" s="20"/>
      <c r="L149" s="20"/>
      <c r="M149" s="20"/>
    </row>
    <row r="150" customFormat="false" ht="15" hidden="false" customHeight="false" outlineLevel="0" collapsed="false">
      <c r="A150" s="20"/>
      <c r="B150" s="20"/>
      <c r="C150" s="20"/>
      <c r="D150" s="20"/>
      <c r="E150" s="20"/>
      <c r="F150" s="20"/>
      <c r="G150" s="19"/>
      <c r="H150" s="19"/>
      <c r="I150" s="19"/>
      <c r="J150" s="20"/>
      <c r="K150" s="20"/>
      <c r="L150" s="20"/>
      <c r="M150" s="20"/>
    </row>
    <row r="151" customFormat="false" ht="15" hidden="false" customHeight="false" outlineLevel="0" collapsed="false">
      <c r="A151" s="20"/>
      <c r="B151" s="20"/>
      <c r="C151" s="20"/>
      <c r="D151" s="20"/>
      <c r="E151" s="20"/>
      <c r="F151" s="20"/>
      <c r="G151" s="19"/>
      <c r="H151" s="19"/>
      <c r="I151" s="19"/>
      <c r="J151" s="20"/>
      <c r="K151" s="20"/>
      <c r="L151" s="20"/>
      <c r="M151" s="20"/>
    </row>
    <row r="152" customFormat="false" ht="15" hidden="false" customHeight="false" outlineLevel="0" collapsed="false">
      <c r="A152" s="20"/>
      <c r="B152" s="20"/>
      <c r="C152" s="20"/>
      <c r="D152" s="20"/>
      <c r="E152" s="20"/>
      <c r="F152" s="20"/>
      <c r="G152" s="19"/>
      <c r="H152" s="19"/>
      <c r="I152" s="19"/>
      <c r="J152" s="20"/>
      <c r="K152" s="20"/>
      <c r="L152" s="20"/>
      <c r="M152" s="20"/>
    </row>
    <row r="153" customFormat="false" ht="15" hidden="false" customHeight="false" outlineLevel="0" collapsed="false">
      <c r="A153" s="20"/>
      <c r="B153" s="20"/>
      <c r="C153" s="20"/>
      <c r="D153" s="20"/>
      <c r="E153" s="20"/>
      <c r="F153" s="20"/>
      <c r="G153" s="19"/>
      <c r="H153" s="19"/>
      <c r="I153" s="19"/>
      <c r="J153" s="20"/>
      <c r="K153" s="20"/>
      <c r="L153" s="20"/>
      <c r="M153" s="20"/>
    </row>
    <row r="154" customFormat="false" ht="15" hidden="false" customHeight="false" outlineLevel="0" collapsed="false">
      <c r="A154" s="20"/>
      <c r="B154" s="20"/>
      <c r="C154" s="20"/>
      <c r="D154" s="20"/>
      <c r="E154" s="20"/>
      <c r="F154" s="20"/>
      <c r="G154" s="19"/>
      <c r="H154" s="19"/>
      <c r="I154" s="19"/>
      <c r="J154" s="20"/>
      <c r="K154" s="20"/>
      <c r="L154" s="20"/>
      <c r="M154" s="20"/>
    </row>
    <row r="155" customFormat="false" ht="15" hidden="false" customHeight="false" outlineLevel="0" collapsed="false">
      <c r="A155" s="20"/>
      <c r="B155" s="20"/>
      <c r="C155" s="20"/>
      <c r="D155" s="20"/>
      <c r="E155" s="20"/>
      <c r="F155" s="20"/>
      <c r="G155" s="19"/>
      <c r="H155" s="19"/>
      <c r="I155" s="19"/>
      <c r="J155" s="20"/>
      <c r="K155" s="20"/>
      <c r="L155" s="20"/>
      <c r="M155" s="20"/>
    </row>
    <row r="156" customFormat="false" ht="15" hidden="false" customHeight="false" outlineLevel="0" collapsed="false">
      <c r="A156" s="20"/>
      <c r="B156" s="20"/>
      <c r="C156" s="20"/>
      <c r="D156" s="20"/>
      <c r="E156" s="20"/>
      <c r="F156" s="20"/>
      <c r="G156" s="19"/>
      <c r="H156" s="19"/>
      <c r="I156" s="19"/>
      <c r="J156" s="20"/>
      <c r="K156" s="20"/>
      <c r="L156" s="20"/>
      <c r="M156" s="20"/>
    </row>
    <row r="157" customFormat="false" ht="15" hidden="false" customHeight="false" outlineLevel="0" collapsed="false">
      <c r="A157" s="20"/>
      <c r="B157" s="20"/>
      <c r="C157" s="20"/>
      <c r="D157" s="20"/>
      <c r="E157" s="20"/>
      <c r="F157" s="20"/>
      <c r="G157" s="19"/>
      <c r="H157" s="19"/>
      <c r="I157" s="19"/>
      <c r="J157" s="20"/>
      <c r="K157" s="20"/>
      <c r="L157" s="20"/>
      <c r="M157" s="20"/>
    </row>
    <row r="158" customFormat="false" ht="15" hidden="false" customHeight="false" outlineLevel="0" collapsed="false">
      <c r="A158" s="20"/>
      <c r="B158" s="20"/>
      <c r="C158" s="20"/>
      <c r="D158" s="20"/>
      <c r="E158" s="20"/>
      <c r="F158" s="20"/>
      <c r="G158" s="19"/>
      <c r="H158" s="19"/>
      <c r="I158" s="19"/>
      <c r="J158" s="20"/>
      <c r="K158" s="20"/>
      <c r="L158" s="20"/>
      <c r="M158" s="20"/>
    </row>
    <row r="159" customFormat="false" ht="15" hidden="false" customHeight="false" outlineLevel="0" collapsed="false">
      <c r="A159" s="20"/>
      <c r="B159" s="20"/>
      <c r="C159" s="20"/>
      <c r="D159" s="20"/>
      <c r="E159" s="20"/>
      <c r="F159" s="20"/>
      <c r="G159" s="19"/>
      <c r="H159" s="19"/>
      <c r="I159" s="19"/>
      <c r="J159" s="20"/>
      <c r="K159" s="20"/>
      <c r="L159" s="20"/>
      <c r="M159" s="20"/>
    </row>
    <row r="160" customFormat="false" ht="15" hidden="false" customHeight="false" outlineLevel="0" collapsed="false">
      <c r="A160" s="20"/>
      <c r="B160" s="20"/>
      <c r="C160" s="20"/>
      <c r="D160" s="20"/>
      <c r="E160" s="20"/>
      <c r="F160" s="20"/>
      <c r="G160" s="19"/>
      <c r="H160" s="19"/>
      <c r="I160" s="19"/>
      <c r="J160" s="20"/>
      <c r="K160" s="20"/>
      <c r="L160" s="20"/>
      <c r="M160" s="20"/>
    </row>
    <row r="161" customFormat="false" ht="15" hidden="false" customHeight="false" outlineLevel="0" collapsed="false">
      <c r="A161" s="20"/>
      <c r="B161" s="20"/>
      <c r="C161" s="20"/>
      <c r="D161" s="20"/>
      <c r="E161" s="20"/>
      <c r="F161" s="20"/>
      <c r="G161" s="19"/>
      <c r="H161" s="19"/>
      <c r="I161" s="19"/>
      <c r="J161" s="20"/>
      <c r="K161" s="20"/>
      <c r="L161" s="20"/>
      <c r="M161" s="20"/>
    </row>
    <row r="162" customFormat="false" ht="15" hidden="false" customHeight="false" outlineLevel="0" collapsed="false">
      <c r="A162" s="20"/>
      <c r="B162" s="20"/>
      <c r="C162" s="20"/>
      <c r="D162" s="20"/>
      <c r="E162" s="20"/>
      <c r="F162" s="20"/>
      <c r="G162" s="19"/>
      <c r="H162" s="19"/>
      <c r="I162" s="19"/>
      <c r="J162" s="20"/>
      <c r="K162" s="20"/>
      <c r="L162" s="20"/>
      <c r="M162" s="20"/>
    </row>
    <row r="163" customFormat="false" ht="15" hidden="false" customHeight="false" outlineLevel="0" collapsed="false">
      <c r="A163" s="20"/>
      <c r="B163" s="20"/>
      <c r="C163" s="20"/>
      <c r="D163" s="20"/>
      <c r="E163" s="20"/>
      <c r="F163" s="20"/>
      <c r="G163" s="19"/>
      <c r="H163" s="19"/>
      <c r="I163" s="19"/>
      <c r="J163" s="20"/>
      <c r="K163" s="20"/>
      <c r="L163" s="20"/>
      <c r="M163" s="20"/>
    </row>
    <row r="164" customFormat="false" ht="15" hidden="false" customHeight="false" outlineLevel="0" collapsed="false">
      <c r="A164" s="20"/>
      <c r="B164" s="20"/>
      <c r="C164" s="20"/>
      <c r="D164" s="20"/>
      <c r="E164" s="20"/>
      <c r="F164" s="20"/>
      <c r="G164" s="19"/>
      <c r="H164" s="19"/>
      <c r="I164" s="19"/>
      <c r="J164" s="20"/>
      <c r="K164" s="20"/>
      <c r="L164" s="20"/>
      <c r="M164" s="20"/>
    </row>
    <row r="165" customFormat="false" ht="15" hidden="false" customHeight="false" outlineLevel="0" collapsed="false">
      <c r="A165" s="20"/>
      <c r="B165" s="20"/>
      <c r="C165" s="20"/>
      <c r="D165" s="20"/>
      <c r="E165" s="20"/>
      <c r="F165" s="20"/>
      <c r="G165" s="19"/>
      <c r="H165" s="19"/>
      <c r="I165" s="19"/>
      <c r="J165" s="20"/>
      <c r="K165" s="20"/>
      <c r="L165" s="20"/>
      <c r="M165" s="20"/>
    </row>
    <row r="166" customFormat="false" ht="15" hidden="false" customHeight="false" outlineLevel="0" collapsed="false">
      <c r="A166" s="20"/>
      <c r="B166" s="20"/>
      <c r="C166" s="20"/>
      <c r="D166" s="20"/>
      <c r="E166" s="20"/>
      <c r="F166" s="20"/>
      <c r="G166" s="19"/>
      <c r="H166" s="19"/>
      <c r="I166" s="19"/>
      <c r="J166" s="20"/>
      <c r="K166" s="20"/>
      <c r="L166" s="20"/>
      <c r="M166" s="20"/>
    </row>
    <row r="167" customFormat="false" ht="15" hidden="false" customHeight="false" outlineLevel="0" collapsed="false">
      <c r="A167" s="20"/>
      <c r="B167" s="20"/>
      <c r="C167" s="20"/>
      <c r="D167" s="20"/>
      <c r="E167" s="20"/>
      <c r="F167" s="20"/>
      <c r="G167" s="19"/>
      <c r="H167" s="19"/>
      <c r="I167" s="19"/>
      <c r="J167" s="20"/>
      <c r="K167" s="20"/>
      <c r="L167" s="20"/>
      <c r="M167" s="20"/>
    </row>
    <row r="168" customFormat="false" ht="15" hidden="false" customHeight="false" outlineLevel="0" collapsed="false">
      <c r="A168" s="20"/>
      <c r="B168" s="20"/>
      <c r="C168" s="20"/>
      <c r="D168" s="20"/>
      <c r="E168" s="20"/>
      <c r="F168" s="20"/>
      <c r="G168" s="19"/>
      <c r="H168" s="19"/>
      <c r="I168" s="19"/>
      <c r="J168" s="20"/>
      <c r="K168" s="20"/>
      <c r="L168" s="20"/>
      <c r="M168" s="20"/>
    </row>
    <row r="169" customFormat="false" ht="15" hidden="false" customHeight="false" outlineLevel="0" collapsed="false">
      <c r="A169" s="20"/>
      <c r="B169" s="20"/>
      <c r="C169" s="20"/>
      <c r="D169" s="20"/>
      <c r="E169" s="20"/>
      <c r="F169" s="20"/>
      <c r="G169" s="19"/>
      <c r="H169" s="19"/>
      <c r="I169" s="19"/>
      <c r="J169" s="20"/>
      <c r="K169" s="20"/>
      <c r="L169" s="20"/>
      <c r="M169" s="20"/>
    </row>
    <row r="170" customFormat="false" ht="15" hidden="false" customHeight="false" outlineLevel="0" collapsed="false">
      <c r="A170" s="20"/>
      <c r="B170" s="20"/>
      <c r="C170" s="20"/>
      <c r="D170" s="20"/>
      <c r="E170" s="20"/>
      <c r="F170" s="20"/>
      <c r="G170" s="19"/>
      <c r="H170" s="19"/>
      <c r="I170" s="19"/>
      <c r="J170" s="20"/>
      <c r="K170" s="20"/>
      <c r="L170" s="20"/>
      <c r="M170" s="20"/>
    </row>
    <row r="171" customFormat="false" ht="15" hidden="false" customHeight="false" outlineLevel="0" collapsed="false">
      <c r="A171" s="20"/>
      <c r="B171" s="20"/>
      <c r="C171" s="20"/>
      <c r="D171" s="20"/>
      <c r="E171" s="20"/>
      <c r="F171" s="20"/>
      <c r="G171" s="19"/>
      <c r="H171" s="19"/>
      <c r="I171" s="19"/>
      <c r="J171" s="20"/>
      <c r="K171" s="20"/>
      <c r="L171" s="20"/>
      <c r="M171" s="20"/>
    </row>
    <row r="172" customFormat="false" ht="15" hidden="false" customHeight="false" outlineLevel="0" collapsed="false">
      <c r="A172" s="20"/>
      <c r="B172" s="20"/>
      <c r="C172" s="20"/>
      <c r="D172" s="20"/>
      <c r="E172" s="20"/>
      <c r="F172" s="20"/>
      <c r="G172" s="19"/>
      <c r="H172" s="19"/>
      <c r="I172" s="19"/>
      <c r="J172" s="20"/>
      <c r="K172" s="20"/>
      <c r="L172" s="20"/>
      <c r="M172" s="20"/>
    </row>
    <row r="173" customFormat="false" ht="15" hidden="false" customHeight="false" outlineLevel="0" collapsed="false">
      <c r="A173" s="20"/>
      <c r="B173" s="20"/>
      <c r="C173" s="20"/>
      <c r="D173" s="20"/>
      <c r="E173" s="20"/>
      <c r="F173" s="20"/>
      <c r="G173" s="19"/>
      <c r="H173" s="19"/>
      <c r="I173" s="19"/>
      <c r="J173" s="20"/>
      <c r="K173" s="20"/>
      <c r="L173" s="20"/>
      <c r="M173" s="20"/>
    </row>
    <row r="174" customFormat="false" ht="15" hidden="false" customHeight="false" outlineLevel="0" collapsed="false">
      <c r="A174" s="20"/>
      <c r="B174" s="20"/>
      <c r="C174" s="20"/>
      <c r="D174" s="20"/>
      <c r="E174" s="20"/>
      <c r="F174" s="20"/>
      <c r="G174" s="19"/>
      <c r="H174" s="19"/>
      <c r="I174" s="19"/>
      <c r="J174" s="20"/>
      <c r="K174" s="20"/>
      <c r="L174" s="20"/>
      <c r="M174" s="20"/>
    </row>
    <row r="175" customFormat="false" ht="15" hidden="false" customHeight="false" outlineLevel="0" collapsed="false">
      <c r="A175" s="20"/>
      <c r="B175" s="20"/>
      <c r="C175" s="20"/>
      <c r="D175" s="20"/>
      <c r="E175" s="20"/>
      <c r="F175" s="20"/>
      <c r="G175" s="19"/>
      <c r="H175" s="19"/>
      <c r="I175" s="19"/>
      <c r="J175" s="20"/>
      <c r="K175" s="20"/>
      <c r="L175" s="20"/>
      <c r="M175" s="20"/>
    </row>
    <row r="176" customFormat="false" ht="15" hidden="false" customHeight="false" outlineLevel="0" collapsed="false">
      <c r="A176" s="20"/>
      <c r="B176" s="20"/>
      <c r="C176" s="20"/>
      <c r="D176" s="20"/>
      <c r="E176" s="20"/>
      <c r="F176" s="20"/>
      <c r="G176" s="19"/>
      <c r="H176" s="19"/>
      <c r="I176" s="19"/>
      <c r="J176" s="20"/>
      <c r="K176" s="20"/>
      <c r="L176" s="20"/>
      <c r="M176" s="20"/>
    </row>
    <row r="177" customFormat="false" ht="15" hidden="false" customHeight="false" outlineLevel="0" collapsed="false">
      <c r="A177" s="20"/>
      <c r="B177" s="20"/>
      <c r="C177" s="20"/>
      <c r="D177" s="20"/>
      <c r="E177" s="20"/>
      <c r="F177" s="20"/>
      <c r="G177" s="19"/>
      <c r="H177" s="19"/>
      <c r="I177" s="19"/>
      <c r="J177" s="20"/>
      <c r="K177" s="20"/>
      <c r="L177" s="20"/>
      <c r="M177" s="20"/>
    </row>
    <row r="178" customFormat="false" ht="15" hidden="false" customHeight="false" outlineLevel="0" collapsed="false">
      <c r="A178" s="20"/>
      <c r="B178" s="20"/>
      <c r="C178" s="20"/>
      <c r="D178" s="20"/>
      <c r="E178" s="20"/>
      <c r="F178" s="20"/>
      <c r="G178" s="19"/>
      <c r="H178" s="19"/>
      <c r="I178" s="19"/>
      <c r="J178" s="20"/>
      <c r="K178" s="20"/>
      <c r="L178" s="20"/>
      <c r="M178" s="20"/>
    </row>
    <row r="179" customFormat="false" ht="15" hidden="false" customHeight="false" outlineLevel="0" collapsed="false">
      <c r="A179" s="20"/>
      <c r="B179" s="20"/>
      <c r="C179" s="20"/>
      <c r="D179" s="20"/>
      <c r="E179" s="20"/>
      <c r="F179" s="20"/>
      <c r="G179" s="19"/>
      <c r="H179" s="19"/>
      <c r="I179" s="19"/>
      <c r="J179" s="20"/>
      <c r="K179" s="20"/>
      <c r="L179" s="20"/>
      <c r="M179" s="20"/>
    </row>
    <row r="180" customFormat="false" ht="15" hidden="false" customHeight="false" outlineLevel="0" collapsed="false">
      <c r="A180" s="20"/>
      <c r="B180" s="20"/>
      <c r="C180" s="20"/>
      <c r="D180" s="20"/>
      <c r="E180" s="20"/>
      <c r="F180" s="20"/>
      <c r="G180" s="19"/>
      <c r="H180" s="19"/>
      <c r="I180" s="19"/>
      <c r="J180" s="20"/>
      <c r="K180" s="20"/>
      <c r="L180" s="20"/>
      <c r="M180" s="20"/>
    </row>
    <row r="181" customFormat="false" ht="15" hidden="false" customHeight="false" outlineLevel="0" collapsed="false">
      <c r="A181" s="20"/>
      <c r="B181" s="20"/>
      <c r="C181" s="20"/>
      <c r="D181" s="20"/>
      <c r="E181" s="20"/>
      <c r="F181" s="20"/>
      <c r="G181" s="19"/>
      <c r="H181" s="19"/>
      <c r="I181" s="19"/>
      <c r="J181" s="20"/>
      <c r="K181" s="20"/>
      <c r="L181" s="20"/>
      <c r="M181" s="20"/>
    </row>
    <row r="182" customFormat="false" ht="15" hidden="false" customHeight="false" outlineLevel="0" collapsed="false">
      <c r="A182" s="20"/>
      <c r="B182" s="20"/>
      <c r="C182" s="20"/>
      <c r="D182" s="20"/>
      <c r="E182" s="20"/>
      <c r="F182" s="20"/>
      <c r="G182" s="19"/>
      <c r="H182" s="19"/>
      <c r="I182" s="19"/>
      <c r="J182" s="20"/>
      <c r="K182" s="20"/>
      <c r="L182" s="20"/>
      <c r="M182" s="20"/>
    </row>
    <row r="183" customFormat="false" ht="15" hidden="false" customHeight="false" outlineLevel="0" collapsed="false">
      <c r="A183" s="20"/>
      <c r="B183" s="20"/>
      <c r="C183" s="20"/>
      <c r="D183" s="20"/>
      <c r="E183" s="20"/>
      <c r="F183" s="20"/>
      <c r="G183" s="19"/>
      <c r="H183" s="19"/>
      <c r="I183" s="19"/>
      <c r="J183" s="20"/>
      <c r="K183" s="20"/>
      <c r="L183" s="20"/>
      <c r="M183" s="20"/>
    </row>
    <row r="184" customFormat="false" ht="15" hidden="false" customHeight="false" outlineLevel="0" collapsed="false">
      <c r="A184" s="20"/>
      <c r="B184" s="20"/>
      <c r="C184" s="20"/>
      <c r="D184" s="20"/>
      <c r="E184" s="20"/>
      <c r="F184" s="20"/>
      <c r="G184" s="19"/>
      <c r="H184" s="19"/>
      <c r="I184" s="19"/>
      <c r="J184" s="20"/>
      <c r="K184" s="20"/>
      <c r="L184" s="20"/>
      <c r="M184" s="20"/>
    </row>
    <row r="185" customFormat="false" ht="15" hidden="false" customHeight="false" outlineLevel="0" collapsed="false">
      <c r="A185" s="20"/>
      <c r="B185" s="20"/>
      <c r="C185" s="20"/>
      <c r="D185" s="20"/>
      <c r="E185" s="20"/>
      <c r="F185" s="20"/>
      <c r="G185" s="19"/>
      <c r="H185" s="19"/>
      <c r="I185" s="19"/>
      <c r="J185" s="20"/>
      <c r="K185" s="20"/>
      <c r="L185" s="20"/>
      <c r="M185" s="20"/>
    </row>
    <row r="186" customFormat="false" ht="15" hidden="false" customHeight="false" outlineLevel="0" collapsed="false">
      <c r="A186" s="20"/>
      <c r="B186" s="20"/>
      <c r="C186" s="20"/>
      <c r="D186" s="20"/>
      <c r="E186" s="20"/>
      <c r="F186" s="20"/>
      <c r="G186" s="19"/>
      <c r="H186" s="19"/>
      <c r="I186" s="19"/>
      <c r="J186" s="20"/>
      <c r="K186" s="20"/>
      <c r="L186" s="20"/>
      <c r="M186" s="20"/>
    </row>
    <row r="187" customFormat="false" ht="15" hidden="false" customHeight="false" outlineLevel="0" collapsed="false">
      <c r="A187" s="20"/>
      <c r="B187" s="20"/>
      <c r="C187" s="20"/>
      <c r="D187" s="20"/>
      <c r="E187" s="20"/>
      <c r="F187" s="20"/>
      <c r="G187" s="19"/>
      <c r="H187" s="19"/>
      <c r="I187" s="19"/>
      <c r="J187" s="20"/>
      <c r="K187" s="20"/>
      <c r="L187" s="20"/>
      <c r="M187" s="20"/>
    </row>
    <row r="188" customFormat="false" ht="15" hidden="false" customHeight="false" outlineLevel="0" collapsed="false">
      <c r="A188" s="20"/>
      <c r="B188" s="20"/>
      <c r="C188" s="20"/>
      <c r="D188" s="20"/>
      <c r="E188" s="20"/>
      <c r="F188" s="20"/>
      <c r="G188" s="19"/>
      <c r="H188" s="19"/>
      <c r="I188" s="19"/>
      <c r="J188" s="20"/>
      <c r="K188" s="20"/>
      <c r="L188" s="20"/>
      <c r="M188" s="20"/>
    </row>
    <row r="189" customFormat="false" ht="15" hidden="false" customHeight="false" outlineLevel="0" collapsed="false">
      <c r="A189" s="20"/>
      <c r="B189" s="20"/>
      <c r="C189" s="20"/>
      <c r="D189" s="20"/>
      <c r="E189" s="20"/>
      <c r="F189" s="20"/>
      <c r="G189" s="19"/>
      <c r="H189" s="19"/>
      <c r="I189" s="19"/>
      <c r="J189" s="20"/>
      <c r="K189" s="20"/>
      <c r="L189" s="20"/>
      <c r="M189" s="20"/>
    </row>
    <row r="190" customFormat="false" ht="15" hidden="false" customHeight="false" outlineLevel="0" collapsed="false">
      <c r="A190" s="20"/>
      <c r="B190" s="20"/>
      <c r="C190" s="20"/>
      <c r="D190" s="20"/>
      <c r="E190" s="20"/>
      <c r="F190" s="20"/>
      <c r="G190" s="19"/>
      <c r="H190" s="19"/>
      <c r="I190" s="19"/>
      <c r="J190" s="20"/>
      <c r="K190" s="20"/>
      <c r="L190" s="20"/>
      <c r="M190" s="20"/>
    </row>
    <row r="191" customFormat="false" ht="15" hidden="false" customHeight="false" outlineLevel="0" collapsed="false">
      <c r="A191" s="20"/>
      <c r="B191" s="20"/>
      <c r="C191" s="20"/>
      <c r="D191" s="20"/>
      <c r="E191" s="20"/>
      <c r="F191" s="20"/>
      <c r="G191" s="19"/>
      <c r="H191" s="19"/>
      <c r="I191" s="19"/>
      <c r="J191" s="20"/>
      <c r="K191" s="20"/>
      <c r="L191" s="20"/>
      <c r="M191" s="20"/>
    </row>
    <row r="192" customFormat="false" ht="15" hidden="false" customHeight="false" outlineLevel="0" collapsed="false">
      <c r="A192" s="20"/>
      <c r="B192" s="20"/>
      <c r="C192" s="20"/>
      <c r="D192" s="20"/>
      <c r="E192" s="20"/>
      <c r="F192" s="20"/>
      <c r="G192" s="19"/>
      <c r="H192" s="19"/>
      <c r="I192" s="19"/>
      <c r="J192" s="20"/>
      <c r="K192" s="20"/>
      <c r="L192" s="20"/>
      <c r="M192" s="20"/>
    </row>
    <row r="193" customFormat="false" ht="15" hidden="false" customHeight="false" outlineLevel="0" collapsed="false">
      <c r="A193" s="20"/>
      <c r="B193" s="20"/>
      <c r="C193" s="20"/>
      <c r="D193" s="20"/>
      <c r="E193" s="20"/>
      <c r="F193" s="20"/>
      <c r="G193" s="19"/>
      <c r="H193" s="19"/>
      <c r="I193" s="19"/>
      <c r="J193" s="20"/>
      <c r="K193" s="20"/>
      <c r="L193" s="20"/>
      <c r="M193" s="20"/>
    </row>
    <row r="194" customFormat="false" ht="15" hidden="false" customHeight="false" outlineLevel="0" collapsed="false">
      <c r="A194" s="20"/>
      <c r="B194" s="20"/>
      <c r="C194" s="20"/>
      <c r="D194" s="20"/>
      <c r="E194" s="20"/>
      <c r="F194" s="20"/>
      <c r="G194" s="19"/>
      <c r="H194" s="19"/>
      <c r="I194" s="19"/>
      <c r="J194" s="20"/>
      <c r="K194" s="20"/>
      <c r="L194" s="20"/>
      <c r="M194" s="20"/>
    </row>
    <row r="195" customFormat="false" ht="15" hidden="false" customHeight="false" outlineLevel="0" collapsed="false">
      <c r="A195" s="20"/>
      <c r="B195" s="20"/>
      <c r="C195" s="20"/>
      <c r="D195" s="20"/>
      <c r="E195" s="20"/>
      <c r="F195" s="20"/>
      <c r="G195" s="19"/>
      <c r="H195" s="19"/>
      <c r="I195" s="19"/>
      <c r="J195" s="20"/>
      <c r="K195" s="20"/>
      <c r="L195" s="20"/>
      <c r="M195" s="20"/>
    </row>
    <row r="196" customFormat="false" ht="15" hidden="false" customHeight="false" outlineLevel="0" collapsed="false">
      <c r="A196" s="20"/>
      <c r="B196" s="20"/>
      <c r="C196" s="20"/>
      <c r="D196" s="20"/>
      <c r="E196" s="20"/>
      <c r="F196" s="20"/>
      <c r="G196" s="19"/>
      <c r="H196" s="19"/>
      <c r="I196" s="19"/>
      <c r="J196" s="20"/>
      <c r="K196" s="20"/>
      <c r="L196" s="20"/>
      <c r="M196" s="20"/>
    </row>
    <row r="197" customFormat="false" ht="15" hidden="false" customHeight="false" outlineLevel="0" collapsed="false">
      <c r="A197" s="20"/>
      <c r="B197" s="20"/>
      <c r="C197" s="20"/>
      <c r="D197" s="20"/>
      <c r="E197" s="20"/>
      <c r="F197" s="20"/>
      <c r="G197" s="19"/>
      <c r="H197" s="19"/>
      <c r="I197" s="19"/>
      <c r="J197" s="20"/>
      <c r="K197" s="20"/>
      <c r="L197" s="20"/>
      <c r="M197" s="20"/>
    </row>
    <row r="198" customFormat="false" ht="15" hidden="false" customHeight="false" outlineLevel="0" collapsed="false">
      <c r="A198" s="20"/>
      <c r="B198" s="20"/>
      <c r="C198" s="20"/>
      <c r="D198" s="20"/>
      <c r="E198" s="20"/>
      <c r="F198" s="20"/>
      <c r="G198" s="19"/>
      <c r="H198" s="19"/>
      <c r="I198" s="19"/>
      <c r="J198" s="20"/>
      <c r="K198" s="20"/>
      <c r="L198" s="20"/>
      <c r="M198" s="20"/>
    </row>
    <row r="199" customFormat="false" ht="15" hidden="false" customHeight="false" outlineLevel="0" collapsed="false">
      <c r="A199" s="20"/>
      <c r="B199" s="20"/>
      <c r="C199" s="20"/>
      <c r="D199" s="20"/>
      <c r="E199" s="20"/>
      <c r="F199" s="20"/>
      <c r="G199" s="19"/>
      <c r="H199" s="19"/>
      <c r="I199" s="19"/>
      <c r="J199" s="20"/>
      <c r="K199" s="20"/>
      <c r="L199" s="20"/>
      <c r="M199" s="20"/>
    </row>
    <row r="200" customFormat="false" ht="15" hidden="false" customHeight="false" outlineLevel="0" collapsed="false">
      <c r="A200" s="20"/>
      <c r="B200" s="20"/>
      <c r="C200" s="20"/>
      <c r="D200" s="20"/>
      <c r="E200" s="20"/>
      <c r="F200" s="20"/>
      <c r="G200" s="19"/>
      <c r="H200" s="19"/>
      <c r="I200" s="19"/>
      <c r="J200" s="20"/>
      <c r="K200" s="20"/>
      <c r="L200" s="20"/>
      <c r="M200" s="20"/>
    </row>
    <row r="201" customFormat="false" ht="15" hidden="false" customHeight="false" outlineLevel="0" collapsed="false">
      <c r="A201" s="20"/>
      <c r="B201" s="20"/>
      <c r="C201" s="20"/>
      <c r="D201" s="20"/>
      <c r="E201" s="20"/>
      <c r="F201" s="20"/>
      <c r="G201" s="19"/>
      <c r="H201" s="19"/>
      <c r="I201" s="19"/>
      <c r="J201" s="20"/>
      <c r="K201" s="20"/>
      <c r="L201" s="20"/>
      <c r="M201" s="20"/>
    </row>
    <row r="202" customFormat="false" ht="15" hidden="false" customHeight="false" outlineLevel="0" collapsed="false">
      <c r="A202" s="20"/>
      <c r="B202" s="20"/>
      <c r="C202" s="20"/>
      <c r="D202" s="20"/>
      <c r="E202" s="20"/>
      <c r="F202" s="20"/>
      <c r="G202" s="19"/>
      <c r="H202" s="19"/>
      <c r="I202" s="19"/>
      <c r="J202" s="20"/>
      <c r="K202" s="20"/>
      <c r="L202" s="20"/>
      <c r="M202" s="20"/>
    </row>
    <row r="203" customFormat="false" ht="15" hidden="false" customHeight="false" outlineLevel="0" collapsed="false">
      <c r="A203" s="20"/>
      <c r="B203" s="20"/>
      <c r="C203" s="20"/>
      <c r="D203" s="20"/>
      <c r="E203" s="20"/>
      <c r="F203" s="20"/>
      <c r="G203" s="19"/>
      <c r="H203" s="19"/>
      <c r="I203" s="19"/>
      <c r="J203" s="20"/>
      <c r="K203" s="20"/>
      <c r="L203" s="20"/>
      <c r="M203" s="20"/>
    </row>
    <row r="204" customFormat="false" ht="15" hidden="false" customHeight="false" outlineLevel="0" collapsed="false">
      <c r="A204" s="20"/>
      <c r="B204" s="20"/>
      <c r="C204" s="20"/>
      <c r="D204" s="20"/>
      <c r="E204" s="20"/>
      <c r="F204" s="20"/>
      <c r="G204" s="19"/>
      <c r="H204" s="19"/>
      <c r="I204" s="19"/>
      <c r="J204" s="20"/>
      <c r="K204" s="20"/>
      <c r="L204" s="20"/>
      <c r="M204" s="20"/>
    </row>
  </sheetData>
  <autoFilter ref="A4:M204"/>
  <dataValidations count="1">
    <dataValidation allowBlank="true" errorStyle="stop" operator="between" showDropDown="false" showErrorMessage="false" showInputMessage="false" sqref="J5:J204" type="list">
      <formula1>Lists!$A$2:$A$10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3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2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6" min="6" style="0" width="36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11" min="9" style="0" width="12"/>
    <col collapsed="false" customWidth="true" hidden="false" outlineLevel="0" max="13" min="12" style="0" width="10"/>
    <col collapsed="false" customWidth="true" hidden="false" outlineLevel="0" max="14" min="14" style="0" width="16"/>
    <col collapsed="false" customWidth="true" hidden="false" outlineLevel="0" max="15" min="15" style="0" width="12"/>
    <col collapsed="false" customWidth="true" hidden="false" outlineLevel="0" max="18" min="16" style="0" width="10"/>
  </cols>
  <sheetData>
    <row r="1" customFormat="false" ht="19.7" hidden="false" customHeight="false" outlineLevel="0" collapsed="false">
      <c r="A1" s="1" t="s">
        <v>473</v>
      </c>
    </row>
    <row r="2" customFormat="false" ht="15" hidden="false" customHeight="false" outlineLevel="0" collapsed="false">
      <c r="A2" s="2" t="s">
        <v>474</v>
      </c>
    </row>
    <row r="4" customFormat="false" ht="31.5" hidden="false" customHeight="true" outlineLevel="0" collapsed="false">
      <c r="A4" s="9" t="s">
        <v>475</v>
      </c>
      <c r="B4" s="9" t="s">
        <v>234</v>
      </c>
      <c r="C4" s="9" t="s">
        <v>157</v>
      </c>
      <c r="D4" s="9" t="s">
        <v>112</v>
      </c>
      <c r="E4" s="9" t="s">
        <v>301</v>
      </c>
      <c r="F4" s="9" t="s">
        <v>114</v>
      </c>
      <c r="G4" s="9" t="s">
        <v>476</v>
      </c>
      <c r="H4" s="9" t="s">
        <v>477</v>
      </c>
      <c r="I4" s="9" t="s">
        <v>478</v>
      </c>
      <c r="J4" s="9" t="s">
        <v>479</v>
      </c>
      <c r="K4" s="9" t="s">
        <v>480</v>
      </c>
      <c r="L4" s="9" t="s">
        <v>481</v>
      </c>
      <c r="M4" s="9" t="s">
        <v>482</v>
      </c>
      <c r="N4" s="9" t="s">
        <v>33</v>
      </c>
      <c r="O4" s="9" t="s">
        <v>461</v>
      </c>
      <c r="P4" s="9" t="s">
        <v>462</v>
      </c>
      <c r="Q4" s="9" t="s">
        <v>483</v>
      </c>
      <c r="R4" s="9" t="s">
        <v>420</v>
      </c>
    </row>
    <row r="5" customFormat="false" ht="35.05" hidden="false" customHeight="false" outlineLevel="0" collapsed="false">
      <c r="A5" s="20" t="n">
        <v>6494</v>
      </c>
      <c r="B5" s="20" t="s">
        <v>484</v>
      </c>
      <c r="C5" s="20" t="s">
        <v>485</v>
      </c>
      <c r="D5" s="20" t="s">
        <v>486</v>
      </c>
      <c r="E5" s="20"/>
      <c r="F5" s="20" t="s">
        <v>487</v>
      </c>
      <c r="G5" s="20"/>
      <c r="H5" s="20" t="s">
        <v>488</v>
      </c>
      <c r="I5" s="20" t="s">
        <v>488</v>
      </c>
      <c r="J5" s="20" t="s">
        <v>489</v>
      </c>
      <c r="K5" s="20" t="s">
        <v>488</v>
      </c>
      <c r="L5" s="20" t="s">
        <v>490</v>
      </c>
      <c r="M5" s="20" t="s">
        <v>488</v>
      </c>
      <c r="N5" s="20" t="s">
        <v>38</v>
      </c>
      <c r="O5" s="20"/>
      <c r="P5" s="20"/>
      <c r="Q5" s="20"/>
      <c r="R5" s="20"/>
    </row>
    <row r="6" customFormat="false" ht="15" hidden="false" customHeight="false" outlineLevel="0" collapsed="false">
      <c r="A6" s="20"/>
      <c r="B6" s="20"/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</row>
    <row r="7" customFormat="false" ht="15" hidden="false" customHeight="false" outlineLevel="0" collapsed="false">
      <c r="A7" s="20"/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</row>
    <row r="8" customFormat="false" ht="15" hidden="false" customHeight="fals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</row>
    <row r="9" customFormat="false" ht="15" hidden="false" customHeight="fals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</row>
    <row r="10" customFormat="false" ht="15" hidden="false" customHeight="fals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</row>
    <row r="11" customFormat="false" ht="15" hidden="false" customHeight="fals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</row>
    <row r="12" customFormat="false" ht="15" hidden="false" customHeight="fals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</row>
    <row r="13" customFormat="false" ht="15" hidden="false" customHeight="fals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</row>
    <row r="14" customFormat="false" ht="15" hidden="false" customHeight="fals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</row>
    <row r="15" customFormat="false" ht="15" hidden="false" customHeight="false" outlineLevel="0" collapsed="false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</row>
    <row r="16" customFormat="false" ht="15" hidden="false" customHeight="false" outlineLevel="0" collapsed="false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</row>
    <row r="17" customFormat="false" ht="15" hidden="false" customHeight="false" outlineLevel="0" collapsed="false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</row>
    <row r="18" customFormat="false" ht="15" hidden="false" customHeight="false" outlineLevel="0" collapsed="false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</row>
    <row r="19" customFormat="false" ht="15" hidden="false" customHeight="false" outlineLevel="0" collapsed="false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</row>
    <row r="20" customFormat="false" ht="15" hidden="false" customHeight="fals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</row>
    <row r="21" customFormat="false" ht="15" hidden="false" customHeight="fals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</row>
    <row r="22" customFormat="false" ht="15" hidden="false" customHeight="fals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</row>
    <row r="23" customFormat="false" ht="15" hidden="false" customHeight="fals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</row>
    <row r="24" customFormat="false" ht="15" hidden="false" customHeight="fals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</row>
    <row r="25" customFormat="false" ht="15" hidden="false" customHeight="fals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</row>
    <row r="26" customFormat="false" ht="15" hidden="false" customHeight="fals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</row>
    <row r="27" customFormat="false" ht="15" hidden="false" customHeight="fals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</row>
    <row r="28" customFormat="false" ht="15" hidden="false" customHeight="fals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</row>
    <row r="29" customFormat="false" ht="15" hidden="false" customHeight="fals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</row>
    <row r="30" customFormat="false" ht="15" hidden="false" customHeight="fals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</row>
    <row r="31" customFormat="false" ht="15" hidden="false" customHeight="fals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</row>
    <row r="32" customFormat="false" ht="15" hidden="false" customHeight="false" outlineLevel="0" collapsed="false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</row>
    <row r="33" customFormat="false" ht="15" hidden="false" customHeight="false" outlineLevel="0" collapsed="false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</row>
    <row r="34" customFormat="false" ht="15" hidden="false" customHeight="fals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</row>
    <row r="35" customFormat="false" ht="15" hidden="false" customHeight="fals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</row>
    <row r="36" customFormat="false" ht="15" hidden="false" customHeight="fals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</row>
    <row r="37" customFormat="false" ht="15" hidden="false" customHeight="fals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</row>
    <row r="38" customFormat="false" ht="15" hidden="false" customHeight="fals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</row>
    <row r="39" customFormat="false" ht="15" hidden="false" customHeight="fals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</row>
    <row r="40" customFormat="false" ht="15" hidden="false" customHeight="fals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</row>
    <row r="41" customFormat="false" ht="15" hidden="false" customHeight="fals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</row>
    <row r="42" customFormat="false" ht="15" hidden="false" customHeight="fals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</row>
    <row r="43" customFormat="false" ht="15" hidden="false" customHeight="fals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</row>
    <row r="44" customFormat="false" ht="15" hidden="false" customHeight="fals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</row>
    <row r="45" customFormat="false" ht="15" hidden="false" customHeight="fals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</row>
    <row r="46" customFormat="false" ht="15" hidden="false" customHeight="fals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</row>
    <row r="47" customFormat="false" ht="15" hidden="false" customHeight="fals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</row>
    <row r="48" customFormat="false" ht="15" hidden="false" customHeight="fals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</row>
    <row r="49" customFormat="false" ht="15" hidden="false" customHeight="fals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</row>
    <row r="50" customFormat="false" ht="15" hidden="false" customHeight="fals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</row>
    <row r="51" customFormat="false" ht="15" hidden="false" customHeight="fals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</row>
    <row r="52" customFormat="false" ht="15" hidden="false" customHeight="fals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</row>
    <row r="53" customFormat="false" ht="15" hidden="false" customHeight="fals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</row>
    <row r="54" customFormat="false" ht="15" hidden="false" customHeight="fals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</row>
    <row r="55" customFormat="false" ht="15" hidden="false" customHeight="fals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</row>
    <row r="56" customFormat="false" ht="15" hidden="false" customHeight="fals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</row>
    <row r="57" customFormat="false" ht="15" hidden="false" customHeight="fals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</row>
    <row r="58" customFormat="false" ht="15" hidden="false" customHeight="fals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</row>
    <row r="59" customFormat="false" ht="15" hidden="false" customHeight="fals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</row>
    <row r="60" customFormat="false" ht="15" hidden="false" customHeight="fals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</row>
    <row r="61" customFormat="false" ht="15" hidden="false" customHeight="fals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</row>
    <row r="62" customFormat="false" ht="15" hidden="false" customHeight="fals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</row>
    <row r="63" customFormat="false" ht="15" hidden="false" customHeight="fals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</row>
    <row r="64" customFormat="false" ht="15" hidden="false" customHeight="fals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</row>
    <row r="65" customFormat="false" ht="15" hidden="false" customHeight="fals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</row>
    <row r="66" customFormat="false" ht="15" hidden="false" customHeight="fals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</row>
    <row r="67" customFormat="false" ht="15" hidden="false" customHeight="fals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</row>
    <row r="68" customFormat="false" ht="15" hidden="false" customHeight="fals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</row>
    <row r="69" customFormat="false" ht="15" hidden="false" customHeight="fals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</row>
    <row r="70" customFormat="false" ht="15" hidden="false" customHeight="fals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</row>
    <row r="71" customFormat="false" ht="15" hidden="false" customHeight="fals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</row>
    <row r="72" customFormat="false" ht="15" hidden="false" customHeight="fals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</row>
    <row r="73" customFormat="false" ht="15" hidden="false" customHeight="fals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</row>
    <row r="74" customFormat="false" ht="15" hidden="false" customHeight="fals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</row>
    <row r="75" customFormat="false" ht="15" hidden="false" customHeight="fals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</row>
    <row r="76" customFormat="false" ht="15" hidden="false" customHeight="fals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</row>
    <row r="77" customFormat="false" ht="15" hidden="false" customHeight="fals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</row>
    <row r="78" customFormat="false" ht="15" hidden="false" customHeight="fals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</row>
    <row r="79" customFormat="false" ht="15" hidden="false" customHeight="fals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</row>
    <row r="80" customFormat="false" ht="15" hidden="false" customHeight="fals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</row>
    <row r="81" customFormat="false" ht="15" hidden="false" customHeight="fals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</row>
    <row r="82" customFormat="false" ht="15" hidden="false" customHeight="fals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</row>
    <row r="83" customFormat="false" ht="15" hidden="false" customHeight="fals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</row>
    <row r="84" customFormat="false" ht="15" hidden="false" customHeight="fals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</row>
    <row r="85" customFormat="false" ht="15" hidden="false" customHeight="fals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</row>
    <row r="86" customFormat="false" ht="15" hidden="false" customHeight="fals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</row>
    <row r="87" customFormat="false" ht="15" hidden="false" customHeight="fals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</row>
    <row r="88" customFormat="false" ht="15" hidden="false" customHeight="fals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</row>
    <row r="89" customFormat="false" ht="15" hidden="false" customHeight="fals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</row>
    <row r="90" customFormat="false" ht="15" hidden="false" customHeight="fals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</row>
    <row r="91" customFormat="false" ht="15" hidden="false" customHeight="fals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</row>
    <row r="92" customFormat="false" ht="15" hidden="false" customHeight="fals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</row>
    <row r="93" customFormat="false" ht="15" hidden="false" customHeight="fals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</row>
    <row r="94" customFormat="false" ht="15" hidden="false" customHeight="fals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</row>
    <row r="95" customFormat="false" ht="15" hidden="false" customHeight="fals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</row>
    <row r="96" customFormat="false" ht="15" hidden="false" customHeight="fals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</row>
    <row r="97" customFormat="false" ht="15" hidden="false" customHeight="fals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</row>
    <row r="98" customFormat="false" ht="15" hidden="false" customHeight="fals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</row>
    <row r="99" customFormat="false" ht="15" hidden="false" customHeight="fals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</row>
    <row r="100" customFormat="false" ht="15" hidden="false" customHeight="fals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</row>
    <row r="101" customFormat="false" ht="15" hidden="false" customHeight="fals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</row>
    <row r="102" customFormat="false" ht="15" hidden="false" customHeight="fals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</row>
    <row r="103" customFormat="false" ht="15" hidden="false" customHeight="fals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</row>
    <row r="104" customFormat="false" ht="15" hidden="false" customHeight="fals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</row>
    <row r="105" customFormat="false" ht="15" hidden="false" customHeight="fals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</row>
    <row r="106" customFormat="false" ht="15" hidden="false" customHeight="fals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</row>
    <row r="107" customFormat="false" ht="15" hidden="false" customHeight="fals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</row>
    <row r="108" customFormat="false" ht="15" hidden="false" customHeight="fals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</row>
    <row r="109" customFormat="false" ht="15" hidden="false" customHeight="fals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</row>
    <row r="110" customFormat="false" ht="15" hidden="false" customHeight="fals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</row>
    <row r="111" customFormat="false" ht="15" hidden="false" customHeight="fals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</row>
    <row r="112" customFormat="false" ht="15" hidden="false" customHeight="fals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</row>
    <row r="113" customFormat="false" ht="15" hidden="false" customHeight="fals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</row>
    <row r="114" customFormat="false" ht="15" hidden="false" customHeight="fals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</row>
    <row r="115" customFormat="false" ht="15" hidden="false" customHeight="fals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</row>
    <row r="116" customFormat="false" ht="15" hidden="false" customHeight="fals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</row>
    <row r="117" customFormat="false" ht="15" hidden="false" customHeight="fals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</row>
    <row r="118" customFormat="false" ht="15" hidden="false" customHeight="fals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</row>
    <row r="119" customFormat="false" ht="15" hidden="false" customHeight="fals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</row>
    <row r="120" customFormat="false" ht="15" hidden="false" customHeight="fals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</row>
    <row r="121" customFormat="false" ht="15" hidden="false" customHeight="fals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</row>
    <row r="122" customFormat="false" ht="15" hidden="false" customHeight="fals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</row>
    <row r="123" customFormat="false" ht="15" hidden="false" customHeight="fals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</row>
    <row r="124" customFormat="false" ht="15" hidden="false" customHeight="fals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</row>
    <row r="125" customFormat="false" ht="15" hidden="false" customHeight="fals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</row>
    <row r="126" customFormat="false" ht="15" hidden="false" customHeight="fals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</row>
    <row r="127" customFormat="false" ht="15" hidden="false" customHeight="fals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</row>
    <row r="128" customFormat="false" ht="15" hidden="false" customHeight="fals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</row>
    <row r="129" customFormat="false" ht="15" hidden="false" customHeight="fals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</row>
    <row r="130" customFormat="false" ht="15" hidden="false" customHeight="fals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</row>
    <row r="131" customFormat="false" ht="15" hidden="false" customHeight="fals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</row>
    <row r="132" customFormat="false" ht="15" hidden="false" customHeight="fals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</row>
    <row r="133" customFormat="false" ht="15" hidden="false" customHeight="fals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</row>
    <row r="134" customFormat="false" ht="15" hidden="false" customHeight="fals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</row>
    <row r="135" customFormat="false" ht="15" hidden="false" customHeight="fals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</row>
    <row r="136" customFormat="false" ht="15" hidden="false" customHeight="fals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</row>
    <row r="137" customFormat="false" ht="15" hidden="false" customHeight="fals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</row>
    <row r="138" customFormat="false" ht="15" hidden="false" customHeight="fals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</row>
    <row r="139" customFormat="false" ht="15" hidden="false" customHeight="fals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</row>
    <row r="140" customFormat="false" ht="15" hidden="false" customHeight="fals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</row>
    <row r="141" customFormat="false" ht="15" hidden="false" customHeight="fals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</row>
    <row r="142" customFormat="false" ht="15" hidden="false" customHeight="fals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</row>
    <row r="143" customFormat="false" ht="15" hidden="false" customHeight="fals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</row>
    <row r="144" customFormat="false" ht="15" hidden="false" customHeight="fals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</row>
    <row r="145" customFormat="false" ht="15" hidden="false" customHeight="fals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</row>
    <row r="146" customFormat="false" ht="15" hidden="false" customHeight="fals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</row>
    <row r="147" customFormat="false" ht="15" hidden="false" customHeight="fals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</row>
    <row r="148" customFormat="false" ht="15" hidden="false" customHeight="fals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</row>
    <row r="149" customFormat="false" ht="15" hidden="false" customHeight="fals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</row>
    <row r="150" customFormat="false" ht="15" hidden="false" customHeight="fals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</row>
    <row r="151" customFormat="false" ht="15" hidden="false" customHeight="fals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</row>
    <row r="152" customFormat="false" ht="15" hidden="false" customHeight="fals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</row>
    <row r="153" customFormat="false" ht="15" hidden="false" customHeight="fals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</row>
    <row r="154" customFormat="false" ht="15" hidden="false" customHeight="fals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</row>
    <row r="155" customFormat="false" ht="15" hidden="false" customHeight="fals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</row>
    <row r="156" customFormat="false" ht="15" hidden="false" customHeight="fals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</row>
    <row r="157" customFormat="false" ht="15" hidden="false" customHeight="fals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</row>
    <row r="158" customFormat="false" ht="15" hidden="false" customHeight="fals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</row>
    <row r="159" customFormat="false" ht="15" hidden="false" customHeight="fals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</row>
    <row r="160" customFormat="false" ht="15" hidden="false" customHeight="fals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</row>
    <row r="161" customFormat="false" ht="15" hidden="false" customHeight="fals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</row>
    <row r="162" customFormat="false" ht="15" hidden="false" customHeight="fals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</row>
    <row r="163" customFormat="false" ht="15" hidden="false" customHeight="fals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</row>
    <row r="164" customFormat="false" ht="15" hidden="false" customHeight="fals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</row>
    <row r="165" customFormat="false" ht="15" hidden="false" customHeight="fals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</row>
    <row r="166" customFormat="false" ht="15" hidden="false" customHeight="fals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</row>
    <row r="167" customFormat="false" ht="15" hidden="false" customHeight="fals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</row>
    <row r="168" customFormat="false" ht="15" hidden="false" customHeight="fals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</row>
    <row r="169" customFormat="false" ht="15" hidden="false" customHeight="fals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</row>
    <row r="170" customFormat="false" ht="15" hidden="false" customHeight="fals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</row>
    <row r="171" customFormat="false" ht="15" hidden="false" customHeight="fals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</row>
    <row r="172" customFormat="false" ht="15" hidden="false" customHeight="fals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</row>
    <row r="173" customFormat="false" ht="15" hidden="false" customHeight="fals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</row>
    <row r="174" customFormat="false" ht="15" hidden="false" customHeight="fals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</row>
    <row r="175" customFormat="false" ht="15" hidden="false" customHeight="fals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</row>
    <row r="176" customFormat="false" ht="15" hidden="false" customHeight="fals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</row>
    <row r="177" customFormat="false" ht="15" hidden="false" customHeight="fals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</row>
    <row r="178" customFormat="false" ht="15" hidden="false" customHeight="fals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</row>
    <row r="179" customFormat="false" ht="15" hidden="false" customHeight="fals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</row>
    <row r="180" customFormat="false" ht="15" hidden="false" customHeight="fals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</row>
    <row r="181" customFormat="false" ht="15" hidden="false" customHeight="fals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</row>
    <row r="182" customFormat="false" ht="15" hidden="false" customHeight="fals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</row>
    <row r="183" customFormat="false" ht="15" hidden="false" customHeight="fals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</row>
    <row r="184" customFormat="false" ht="15" hidden="false" customHeight="fals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</row>
    <row r="185" customFormat="false" ht="15" hidden="false" customHeight="fals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</row>
    <row r="186" customFormat="false" ht="15" hidden="false" customHeight="fals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</row>
    <row r="187" customFormat="false" ht="15" hidden="false" customHeight="fals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</row>
    <row r="188" customFormat="false" ht="15" hidden="false" customHeight="fals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</row>
    <row r="189" customFormat="false" ht="15" hidden="false" customHeight="fals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</row>
    <row r="190" customFormat="false" ht="15" hidden="false" customHeight="fals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</row>
    <row r="191" customFormat="false" ht="15" hidden="false" customHeight="fals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</row>
    <row r="192" customFormat="false" ht="15" hidden="false" customHeight="fals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</row>
    <row r="193" customFormat="false" ht="15" hidden="false" customHeight="fals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</row>
    <row r="194" customFormat="false" ht="15" hidden="false" customHeight="fals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</row>
    <row r="195" customFormat="false" ht="15" hidden="false" customHeight="fals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</row>
    <row r="196" customFormat="false" ht="15" hidden="false" customHeight="fals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</row>
    <row r="197" customFormat="false" ht="15" hidden="false" customHeight="fals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</row>
    <row r="198" customFormat="false" ht="15" hidden="false" customHeight="fals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</row>
    <row r="199" customFormat="false" ht="15" hidden="false" customHeight="fals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</row>
    <row r="200" customFormat="false" ht="15" hidden="false" customHeight="fals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</row>
    <row r="201" customFormat="false" ht="15" hidden="false" customHeight="fals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</row>
    <row r="202" customFormat="false" ht="15" hidden="false" customHeight="fals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</row>
    <row r="203" customFormat="false" ht="15" hidden="false" customHeight="fals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</row>
    <row r="204" customFormat="false" ht="15" hidden="false" customHeight="fals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</row>
    <row r="205" customFormat="false" ht="15" hidden="false" customHeight="fals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</row>
    <row r="206" customFormat="false" ht="15" hidden="false" customHeight="fals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</row>
    <row r="207" customFormat="false" ht="15" hidden="false" customHeight="fals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</row>
    <row r="208" customFormat="false" ht="15" hidden="false" customHeight="fals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</row>
    <row r="209" customFormat="false" ht="15" hidden="false" customHeight="fals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</row>
    <row r="210" customFormat="false" ht="15" hidden="false" customHeight="fals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</row>
    <row r="211" customFormat="false" ht="15" hidden="false" customHeight="fals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</row>
    <row r="212" customFormat="false" ht="15" hidden="false" customHeight="fals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</row>
    <row r="213" customFormat="false" ht="15" hidden="false" customHeight="fals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</row>
    <row r="214" customFormat="false" ht="15" hidden="false" customHeight="fals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</row>
    <row r="215" customFormat="false" ht="15" hidden="false" customHeight="fals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</row>
    <row r="216" customFormat="false" ht="15" hidden="false" customHeight="fals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</row>
    <row r="217" customFormat="false" ht="15" hidden="false" customHeight="fals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</row>
    <row r="218" customFormat="false" ht="15" hidden="false" customHeight="fals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</row>
    <row r="219" customFormat="false" ht="15" hidden="false" customHeight="fals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</row>
    <row r="220" customFormat="false" ht="15" hidden="false" customHeight="fals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</row>
    <row r="221" customFormat="false" ht="15" hidden="false" customHeight="fals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</row>
    <row r="222" customFormat="false" ht="15" hidden="false" customHeight="fals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</row>
    <row r="223" customFormat="false" ht="15" hidden="false" customHeight="fals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</row>
    <row r="224" customFormat="false" ht="15" hidden="false" customHeight="fals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</row>
    <row r="225" customFormat="false" ht="15" hidden="false" customHeight="fals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</row>
    <row r="226" customFormat="false" ht="15" hidden="false" customHeight="fals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</row>
    <row r="227" customFormat="false" ht="15" hidden="false" customHeight="fals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</row>
    <row r="228" customFormat="false" ht="15" hidden="false" customHeight="fals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</row>
    <row r="229" customFormat="false" ht="15" hidden="false" customHeight="fals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</row>
    <row r="230" customFormat="false" ht="15" hidden="false" customHeight="fals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</row>
    <row r="231" customFormat="false" ht="15" hidden="false" customHeight="fals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</row>
    <row r="232" customFormat="false" ht="15" hidden="false" customHeight="fals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</row>
    <row r="233" customFormat="false" ht="15" hidden="false" customHeight="fals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</row>
    <row r="234" customFormat="false" ht="15" hidden="false" customHeight="fals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</row>
    <row r="235" customFormat="false" ht="15" hidden="false" customHeight="fals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</row>
    <row r="236" customFormat="false" ht="15" hidden="false" customHeight="fals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</row>
    <row r="237" customFormat="false" ht="15" hidden="false" customHeight="fals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</row>
    <row r="238" customFormat="false" ht="15" hidden="false" customHeight="fals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</row>
    <row r="239" customFormat="false" ht="15" hidden="false" customHeight="fals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</row>
    <row r="240" customFormat="false" ht="15" hidden="false" customHeight="fals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</row>
    <row r="241" customFormat="false" ht="15" hidden="false" customHeight="fals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</row>
    <row r="242" customFormat="false" ht="15" hidden="false" customHeight="fals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</row>
    <row r="243" customFormat="false" ht="15" hidden="false" customHeight="fals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</row>
    <row r="244" customFormat="false" ht="15" hidden="false" customHeight="fals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</row>
    <row r="245" customFormat="false" ht="15" hidden="false" customHeight="fals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</row>
    <row r="246" customFormat="false" ht="15" hidden="false" customHeight="fals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</row>
    <row r="247" customFormat="false" ht="15" hidden="false" customHeight="fals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</row>
    <row r="248" customFormat="false" ht="15" hidden="false" customHeight="fals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</row>
    <row r="249" customFormat="false" ht="15" hidden="false" customHeight="fals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</row>
    <row r="250" customFormat="false" ht="15" hidden="false" customHeight="fals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</row>
    <row r="251" customFormat="false" ht="15" hidden="false" customHeight="fals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</row>
    <row r="252" customFormat="false" ht="15" hidden="false" customHeight="fals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</row>
    <row r="253" customFormat="false" ht="15" hidden="false" customHeight="fals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</row>
    <row r="254" customFormat="false" ht="15" hidden="false" customHeight="fals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</row>
    <row r="255" customFormat="false" ht="15" hidden="false" customHeight="fals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</row>
    <row r="256" customFormat="false" ht="15" hidden="false" customHeight="fals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</row>
    <row r="257" customFormat="false" ht="15" hidden="false" customHeight="fals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</row>
    <row r="258" customFormat="false" ht="15" hidden="false" customHeight="fals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</row>
    <row r="259" customFormat="false" ht="15" hidden="false" customHeight="fals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</row>
    <row r="260" customFormat="false" ht="15" hidden="false" customHeight="fals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</row>
    <row r="261" customFormat="false" ht="15" hidden="false" customHeight="fals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</row>
    <row r="262" customFormat="false" ht="15" hidden="false" customHeight="fals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</row>
    <row r="263" customFormat="false" ht="15" hidden="false" customHeight="fals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</row>
    <row r="264" customFormat="false" ht="15" hidden="false" customHeight="fals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</row>
    <row r="265" customFormat="false" ht="15" hidden="false" customHeight="fals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</row>
    <row r="266" customFormat="false" ht="15" hidden="false" customHeight="fals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</row>
    <row r="267" customFormat="false" ht="15" hidden="false" customHeight="fals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</row>
    <row r="268" customFormat="false" ht="15" hidden="false" customHeight="fals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</row>
    <row r="269" customFormat="false" ht="15" hidden="false" customHeight="fals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</row>
    <row r="270" customFormat="false" ht="15" hidden="false" customHeight="fals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</row>
    <row r="271" customFormat="false" ht="15" hidden="false" customHeight="fals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</row>
    <row r="272" customFormat="false" ht="15" hidden="false" customHeight="fals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</row>
    <row r="273" customFormat="false" ht="15" hidden="false" customHeight="fals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</row>
    <row r="274" customFormat="false" ht="15" hidden="false" customHeight="fals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</row>
    <row r="275" customFormat="false" ht="15" hidden="false" customHeight="fals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</row>
    <row r="276" customFormat="false" ht="15" hidden="false" customHeight="fals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</row>
    <row r="277" customFormat="false" ht="15" hidden="false" customHeight="fals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</row>
    <row r="278" customFormat="false" ht="15" hidden="false" customHeight="fals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</row>
    <row r="279" customFormat="false" ht="15" hidden="false" customHeight="fals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</row>
    <row r="280" customFormat="false" ht="15" hidden="false" customHeight="fals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</row>
    <row r="281" customFormat="false" ht="15" hidden="false" customHeight="fals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</row>
    <row r="282" customFormat="false" ht="15" hidden="false" customHeight="fals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</row>
    <row r="283" customFormat="false" ht="15" hidden="false" customHeight="fals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</row>
    <row r="284" customFormat="false" ht="15" hidden="false" customHeight="fals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</row>
    <row r="285" customFormat="false" ht="15" hidden="false" customHeight="fals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</row>
    <row r="286" customFormat="false" ht="15" hidden="false" customHeight="fals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</row>
    <row r="287" customFormat="false" ht="15" hidden="false" customHeight="fals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</row>
    <row r="288" customFormat="false" ht="15" hidden="false" customHeight="fals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</row>
    <row r="289" customFormat="false" ht="15" hidden="false" customHeight="fals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</row>
    <row r="290" customFormat="false" ht="15" hidden="false" customHeight="fals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</row>
    <row r="291" customFormat="false" ht="15" hidden="false" customHeight="fals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</row>
    <row r="292" customFormat="false" ht="15" hidden="false" customHeight="fals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</row>
    <row r="293" customFormat="false" ht="15" hidden="false" customHeight="fals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</row>
    <row r="294" customFormat="false" ht="15" hidden="false" customHeight="fals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</row>
    <row r="295" customFormat="false" ht="15" hidden="false" customHeight="fals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</row>
    <row r="296" customFormat="false" ht="15" hidden="false" customHeight="fals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</row>
    <row r="297" customFormat="false" ht="15" hidden="false" customHeight="fals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</row>
    <row r="298" customFormat="false" ht="15" hidden="false" customHeight="fals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</row>
    <row r="299" customFormat="false" ht="15" hidden="false" customHeight="fals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</row>
    <row r="300" customFormat="false" ht="15" hidden="false" customHeight="fals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</row>
    <row r="301" customFormat="false" ht="15" hidden="false" customHeight="fals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</row>
    <row r="302" customFormat="false" ht="15" hidden="false" customHeight="fals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</row>
    <row r="303" customFormat="false" ht="15" hidden="false" customHeight="fals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</row>
    <row r="304" customFormat="false" ht="15" hidden="false" customHeight="fals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</row>
  </sheetData>
  <autoFilter ref="A4:R304"/>
  <dataValidations count="1">
    <dataValidation allowBlank="true" errorStyle="stop" operator="between" showDropDown="false" showErrorMessage="false" showInputMessage="false" sqref="N5:N304" type="list">
      <formula1>Lists!$A$2:$A$10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2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34"/>
    <col collapsed="false" customWidth="true" hidden="false" outlineLevel="0" max="4" min="4" style="0" width="22"/>
    <col collapsed="false" customWidth="true" hidden="false" outlineLevel="0" max="5" min="5" style="0" width="16"/>
    <col collapsed="false" customWidth="true" hidden="false" outlineLevel="0" max="7" min="6" style="0" width="11"/>
    <col collapsed="false" customWidth="true" hidden="false" outlineLevel="0" max="8" min="8" style="0" width="12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2" min="12" style="0" width="11"/>
    <col collapsed="false" customWidth="true" hidden="false" outlineLevel="0" max="13" min="13" style="0" width="12"/>
    <col collapsed="false" customWidth="true" hidden="false" outlineLevel="0" max="14" min="14" style="0" width="10"/>
  </cols>
  <sheetData>
    <row r="1" customFormat="false" ht="19.7" hidden="false" customHeight="false" outlineLevel="0" collapsed="false">
      <c r="A1" s="1" t="s">
        <v>491</v>
      </c>
    </row>
    <row r="2" customFormat="false" ht="15" hidden="false" customHeight="false" outlineLevel="0" collapsed="false">
      <c r="A2" s="2" t="s">
        <v>492</v>
      </c>
    </row>
    <row r="4" customFormat="false" ht="31.5" hidden="false" customHeight="true" outlineLevel="0" collapsed="false">
      <c r="A4" s="9" t="s">
        <v>454</v>
      </c>
      <c r="B4" s="9" t="s">
        <v>493</v>
      </c>
      <c r="C4" s="9" t="s">
        <v>494</v>
      </c>
      <c r="D4" s="9" t="s">
        <v>495</v>
      </c>
      <c r="E4" s="9" t="s">
        <v>33</v>
      </c>
      <c r="F4" s="9" t="s">
        <v>496</v>
      </c>
      <c r="G4" s="9" t="s">
        <v>497</v>
      </c>
      <c r="H4" s="9" t="s">
        <v>498</v>
      </c>
      <c r="I4" s="9" t="s">
        <v>499</v>
      </c>
      <c r="J4" s="9" t="s">
        <v>51</v>
      </c>
      <c r="K4" s="9" t="s">
        <v>84</v>
      </c>
      <c r="L4" s="9" t="s">
        <v>462</v>
      </c>
      <c r="M4" s="9" t="s">
        <v>483</v>
      </c>
      <c r="N4" s="9" t="s">
        <v>420</v>
      </c>
    </row>
    <row r="5" customFormat="false" ht="15" hidden="false" customHeight="false" outlineLevel="0" collapsed="false">
      <c r="A5" s="20" t="s">
        <v>500</v>
      </c>
      <c r="B5" s="20" t="s">
        <v>157</v>
      </c>
      <c r="C5" s="20" t="s">
        <v>501</v>
      </c>
      <c r="D5" s="20" t="s">
        <v>284</v>
      </c>
      <c r="E5" s="20" t="s">
        <v>44</v>
      </c>
      <c r="F5" s="20"/>
      <c r="G5" s="20"/>
      <c r="H5" s="20"/>
      <c r="I5" s="20"/>
      <c r="J5" s="20"/>
      <c r="K5" s="20"/>
      <c r="L5" s="20"/>
      <c r="M5" s="20"/>
      <c r="N5" s="20"/>
    </row>
    <row r="6" customFormat="false" ht="15" hidden="false" customHeight="false" outlineLevel="0" collapsed="false">
      <c r="A6" s="20" t="s">
        <v>502</v>
      </c>
      <c r="B6" s="20" t="s">
        <v>157</v>
      </c>
      <c r="C6" s="20" t="s">
        <v>292</v>
      </c>
      <c r="D6" s="20" t="s">
        <v>284</v>
      </c>
      <c r="E6" s="20" t="s">
        <v>38</v>
      </c>
      <c r="F6" s="20"/>
      <c r="G6" s="20"/>
      <c r="H6" s="20"/>
      <c r="I6" s="20"/>
      <c r="J6" s="20"/>
      <c r="K6" s="20"/>
      <c r="L6" s="20"/>
      <c r="M6" s="20"/>
      <c r="N6" s="20"/>
    </row>
    <row r="7" customFormat="false" ht="15" hidden="false" customHeight="false" outlineLevel="0" collapsed="false">
      <c r="A7" s="20" t="s">
        <v>503</v>
      </c>
      <c r="B7" s="20" t="s">
        <v>157</v>
      </c>
      <c r="C7" s="20" t="s">
        <v>297</v>
      </c>
      <c r="D7" s="20" t="s">
        <v>248</v>
      </c>
      <c r="E7" s="20" t="s">
        <v>38</v>
      </c>
      <c r="F7" s="20"/>
      <c r="G7" s="20"/>
      <c r="H7" s="20"/>
      <c r="I7" s="20"/>
      <c r="J7" s="20"/>
      <c r="K7" s="20"/>
      <c r="L7" s="20"/>
      <c r="M7" s="20"/>
      <c r="N7" s="20"/>
    </row>
    <row r="8" customFormat="false" ht="15" hidden="false" customHeight="false" outlineLevel="0" collapsed="false">
      <c r="A8" s="20" t="s">
        <v>463</v>
      </c>
      <c r="B8" s="20" t="s">
        <v>157</v>
      </c>
      <c r="C8" s="20" t="s">
        <v>464</v>
      </c>
      <c r="D8" s="20" t="s">
        <v>429</v>
      </c>
      <c r="E8" s="20" t="s">
        <v>44</v>
      </c>
      <c r="F8" s="20"/>
      <c r="G8" s="20"/>
      <c r="H8" s="20"/>
      <c r="I8" s="20"/>
      <c r="J8" s="20"/>
      <c r="K8" s="20"/>
      <c r="L8" s="20"/>
      <c r="M8" s="20"/>
      <c r="N8" s="20"/>
    </row>
    <row r="9" customFormat="false" ht="15" hidden="false" customHeight="false" outlineLevel="0" collapsed="false">
      <c r="A9" s="20" t="s">
        <v>504</v>
      </c>
      <c r="B9" s="20" t="s">
        <v>301</v>
      </c>
      <c r="C9" s="20" t="s">
        <v>300</v>
      </c>
      <c r="D9" s="20" t="s">
        <v>284</v>
      </c>
      <c r="E9" s="20" t="s">
        <v>38</v>
      </c>
      <c r="F9" s="20"/>
      <c r="G9" s="20"/>
      <c r="H9" s="20"/>
      <c r="I9" s="20"/>
      <c r="J9" s="20"/>
      <c r="K9" s="20"/>
      <c r="L9" s="20"/>
      <c r="M9" s="20"/>
      <c r="N9" s="20"/>
    </row>
    <row r="10" customFormat="false" ht="15" hidden="false" customHeight="false" outlineLevel="0" collapsed="false">
      <c r="A10" s="20" t="s">
        <v>505</v>
      </c>
      <c r="B10" s="20" t="s">
        <v>195</v>
      </c>
      <c r="C10" s="20" t="s">
        <v>194</v>
      </c>
      <c r="D10" s="20" t="s">
        <v>429</v>
      </c>
      <c r="E10" s="20" t="s">
        <v>38</v>
      </c>
      <c r="F10" s="20"/>
      <c r="G10" s="20"/>
      <c r="H10" s="20"/>
      <c r="I10" s="20"/>
      <c r="J10" s="20"/>
      <c r="K10" s="20"/>
      <c r="L10" s="20"/>
      <c r="M10" s="20"/>
      <c r="N10" s="20"/>
    </row>
    <row r="11" customFormat="false" ht="15" hidden="false" customHeight="fals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</row>
    <row r="12" customFormat="false" ht="15" hidden="false" customHeight="fals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</row>
    <row r="13" customFormat="false" ht="15" hidden="false" customHeight="fals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</row>
    <row r="14" customFormat="false" ht="15" hidden="false" customHeight="fals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</row>
    <row r="15" customFormat="false" ht="15" hidden="false" customHeight="false" outlineLevel="0" collapsed="false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</row>
    <row r="16" customFormat="false" ht="15" hidden="false" customHeight="false" outlineLevel="0" collapsed="false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</row>
    <row r="17" customFormat="false" ht="15" hidden="false" customHeight="false" outlineLevel="0" collapsed="false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</row>
    <row r="18" customFormat="false" ht="15" hidden="false" customHeight="false" outlineLevel="0" collapsed="false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</row>
    <row r="19" customFormat="false" ht="15" hidden="false" customHeight="false" outlineLevel="0" collapsed="false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</row>
    <row r="20" customFormat="false" ht="15" hidden="false" customHeight="fals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</row>
    <row r="21" customFormat="false" ht="15" hidden="false" customHeight="fals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</row>
    <row r="22" customFormat="false" ht="15" hidden="false" customHeight="fals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</row>
    <row r="23" customFormat="false" ht="15" hidden="false" customHeight="fals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</row>
    <row r="24" customFormat="false" ht="15" hidden="false" customHeight="fals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</row>
    <row r="25" customFormat="false" ht="15" hidden="false" customHeight="fals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</row>
    <row r="26" customFormat="false" ht="15" hidden="false" customHeight="fals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</row>
    <row r="27" customFormat="false" ht="15" hidden="false" customHeight="fals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</row>
    <row r="28" customFormat="false" ht="15" hidden="false" customHeight="fals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</row>
    <row r="29" customFormat="false" ht="15" hidden="false" customHeight="fals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</row>
    <row r="30" customFormat="false" ht="15" hidden="false" customHeight="fals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</row>
    <row r="31" customFormat="false" ht="15" hidden="false" customHeight="fals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</row>
    <row r="32" customFormat="false" ht="15" hidden="false" customHeight="false" outlineLevel="0" collapsed="false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</row>
    <row r="33" customFormat="false" ht="15" hidden="false" customHeight="false" outlineLevel="0" collapsed="false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</row>
    <row r="34" customFormat="false" ht="15" hidden="false" customHeight="fals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</row>
    <row r="35" customFormat="false" ht="15" hidden="false" customHeight="fals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</row>
    <row r="36" customFormat="false" ht="15" hidden="false" customHeight="fals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</row>
    <row r="37" customFormat="false" ht="15" hidden="false" customHeight="fals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</row>
    <row r="38" customFormat="false" ht="15" hidden="false" customHeight="fals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</row>
    <row r="39" customFormat="false" ht="15" hidden="false" customHeight="fals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</row>
    <row r="40" customFormat="false" ht="15" hidden="false" customHeight="fals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</row>
    <row r="41" customFormat="false" ht="15" hidden="false" customHeight="fals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</row>
    <row r="42" customFormat="false" ht="15" hidden="false" customHeight="fals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</row>
    <row r="43" customFormat="false" ht="15" hidden="false" customHeight="fals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</row>
    <row r="44" customFormat="false" ht="15" hidden="false" customHeight="fals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</row>
    <row r="45" customFormat="false" ht="15" hidden="false" customHeight="fals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</row>
    <row r="46" customFormat="false" ht="15" hidden="false" customHeight="fals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</row>
    <row r="47" customFormat="false" ht="15" hidden="false" customHeight="fals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</row>
    <row r="48" customFormat="false" ht="15" hidden="false" customHeight="fals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</row>
    <row r="49" customFormat="false" ht="15" hidden="false" customHeight="fals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</row>
    <row r="50" customFormat="false" ht="15" hidden="false" customHeight="fals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</row>
    <row r="51" customFormat="false" ht="15" hidden="false" customHeight="fals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</row>
    <row r="52" customFormat="false" ht="15" hidden="false" customHeight="fals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</row>
    <row r="53" customFormat="false" ht="15" hidden="false" customHeight="fals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</row>
    <row r="54" customFormat="false" ht="15" hidden="false" customHeight="fals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</row>
    <row r="55" customFormat="false" ht="15" hidden="false" customHeight="fals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</row>
    <row r="56" customFormat="false" ht="15" hidden="false" customHeight="fals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</row>
    <row r="57" customFormat="false" ht="15" hidden="false" customHeight="fals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</row>
    <row r="58" customFormat="false" ht="15" hidden="false" customHeight="fals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</row>
    <row r="59" customFormat="false" ht="15" hidden="false" customHeight="fals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</row>
    <row r="60" customFormat="false" ht="15" hidden="false" customHeight="fals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</row>
    <row r="61" customFormat="false" ht="15" hidden="false" customHeight="fals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</row>
    <row r="62" customFormat="false" ht="15" hidden="false" customHeight="fals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</row>
    <row r="63" customFormat="false" ht="15" hidden="false" customHeight="fals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</row>
    <row r="64" customFormat="false" ht="15" hidden="false" customHeight="fals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</row>
    <row r="65" customFormat="false" ht="15" hidden="false" customHeight="fals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</row>
    <row r="66" customFormat="false" ht="15" hidden="false" customHeight="fals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</row>
    <row r="67" customFormat="false" ht="15" hidden="false" customHeight="fals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</row>
    <row r="68" customFormat="false" ht="15" hidden="false" customHeight="fals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</row>
    <row r="69" customFormat="false" ht="15" hidden="false" customHeight="fals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</row>
    <row r="70" customFormat="false" ht="15" hidden="false" customHeight="fals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</row>
    <row r="71" customFormat="false" ht="15" hidden="false" customHeight="fals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</row>
    <row r="72" customFormat="false" ht="15" hidden="false" customHeight="fals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</row>
    <row r="73" customFormat="false" ht="15" hidden="false" customHeight="fals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</row>
    <row r="74" customFormat="false" ht="15" hidden="false" customHeight="fals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</row>
    <row r="75" customFormat="false" ht="15" hidden="false" customHeight="fals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</row>
    <row r="76" customFormat="false" ht="15" hidden="false" customHeight="fals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</row>
    <row r="77" customFormat="false" ht="15" hidden="false" customHeight="fals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</row>
    <row r="78" customFormat="false" ht="15" hidden="false" customHeight="fals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</row>
    <row r="79" customFormat="false" ht="15" hidden="false" customHeight="fals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</row>
    <row r="80" customFormat="false" ht="15" hidden="false" customHeight="fals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</row>
    <row r="81" customFormat="false" ht="15" hidden="false" customHeight="fals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</row>
    <row r="82" customFormat="false" ht="15" hidden="false" customHeight="fals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</row>
    <row r="83" customFormat="false" ht="15" hidden="false" customHeight="fals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</row>
    <row r="84" customFormat="false" ht="15" hidden="false" customHeight="fals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</row>
    <row r="85" customFormat="false" ht="15" hidden="false" customHeight="fals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</row>
    <row r="86" customFormat="false" ht="15" hidden="false" customHeight="fals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</row>
    <row r="87" customFormat="false" ht="15" hidden="false" customHeight="fals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</row>
    <row r="88" customFormat="false" ht="15" hidden="false" customHeight="fals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</row>
    <row r="89" customFormat="false" ht="15" hidden="false" customHeight="fals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</row>
    <row r="90" customFormat="false" ht="15" hidden="false" customHeight="fals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</row>
    <row r="91" customFormat="false" ht="15" hidden="false" customHeight="fals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</row>
    <row r="92" customFormat="false" ht="15" hidden="false" customHeight="fals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</row>
    <row r="93" customFormat="false" ht="15" hidden="false" customHeight="fals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</row>
    <row r="94" customFormat="false" ht="15" hidden="false" customHeight="fals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</row>
    <row r="95" customFormat="false" ht="15" hidden="false" customHeight="fals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</row>
    <row r="96" customFormat="false" ht="15" hidden="false" customHeight="fals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</row>
    <row r="97" customFormat="false" ht="15" hidden="false" customHeight="fals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</row>
    <row r="98" customFormat="false" ht="15" hidden="false" customHeight="fals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</row>
    <row r="99" customFormat="false" ht="15" hidden="false" customHeight="fals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</row>
    <row r="100" customFormat="false" ht="15" hidden="false" customHeight="fals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</row>
    <row r="101" customFormat="false" ht="15" hidden="false" customHeight="fals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</row>
    <row r="102" customFormat="false" ht="15" hidden="false" customHeight="fals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</row>
    <row r="103" customFormat="false" ht="15" hidden="false" customHeight="fals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</row>
    <row r="104" customFormat="false" ht="15" hidden="false" customHeight="fals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</row>
    <row r="105" customFormat="false" ht="15" hidden="false" customHeight="fals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</row>
    <row r="106" customFormat="false" ht="15" hidden="false" customHeight="fals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</row>
    <row r="107" customFormat="false" ht="15" hidden="false" customHeight="fals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</row>
    <row r="108" customFormat="false" ht="15" hidden="false" customHeight="fals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</row>
    <row r="109" customFormat="false" ht="15" hidden="false" customHeight="fals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</row>
    <row r="110" customFormat="false" ht="15" hidden="false" customHeight="fals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</row>
    <row r="111" customFormat="false" ht="15" hidden="false" customHeight="fals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</row>
    <row r="112" customFormat="false" ht="15" hidden="false" customHeight="fals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</row>
    <row r="113" customFormat="false" ht="15" hidden="false" customHeight="fals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</row>
    <row r="114" customFormat="false" ht="15" hidden="false" customHeight="fals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</row>
    <row r="115" customFormat="false" ht="15" hidden="false" customHeight="fals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</row>
    <row r="116" customFormat="false" ht="15" hidden="false" customHeight="fals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</row>
    <row r="117" customFormat="false" ht="15" hidden="false" customHeight="fals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</row>
    <row r="118" customFormat="false" ht="15" hidden="false" customHeight="fals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</row>
    <row r="119" customFormat="false" ht="15" hidden="false" customHeight="fals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</row>
    <row r="120" customFormat="false" ht="15" hidden="false" customHeight="fals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</row>
    <row r="121" customFormat="false" ht="15" hidden="false" customHeight="fals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</row>
    <row r="122" customFormat="false" ht="15" hidden="false" customHeight="fals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</row>
    <row r="123" customFormat="false" ht="15" hidden="false" customHeight="fals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</row>
    <row r="124" customFormat="false" ht="15" hidden="false" customHeight="fals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</row>
    <row r="125" customFormat="false" ht="15" hidden="false" customHeight="fals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</row>
    <row r="126" customFormat="false" ht="15" hidden="false" customHeight="fals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</row>
    <row r="127" customFormat="false" ht="15" hidden="false" customHeight="fals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</row>
    <row r="128" customFormat="false" ht="15" hidden="false" customHeight="fals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</row>
    <row r="129" customFormat="false" ht="15" hidden="false" customHeight="fals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</row>
    <row r="130" customFormat="false" ht="15" hidden="false" customHeight="fals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</row>
    <row r="131" customFormat="false" ht="15" hidden="false" customHeight="fals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</row>
    <row r="132" customFormat="false" ht="15" hidden="false" customHeight="fals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</row>
    <row r="133" customFormat="false" ht="15" hidden="false" customHeight="fals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</row>
    <row r="134" customFormat="false" ht="15" hidden="false" customHeight="fals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</row>
    <row r="135" customFormat="false" ht="15" hidden="false" customHeight="fals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</row>
    <row r="136" customFormat="false" ht="15" hidden="false" customHeight="fals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</row>
    <row r="137" customFormat="false" ht="15" hidden="false" customHeight="fals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</row>
    <row r="138" customFormat="false" ht="15" hidden="false" customHeight="fals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</row>
    <row r="139" customFormat="false" ht="15" hidden="false" customHeight="fals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</row>
    <row r="140" customFormat="false" ht="15" hidden="false" customHeight="fals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</row>
    <row r="141" customFormat="false" ht="15" hidden="false" customHeight="fals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</row>
    <row r="142" customFormat="false" ht="15" hidden="false" customHeight="fals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</row>
    <row r="143" customFormat="false" ht="15" hidden="false" customHeight="fals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</row>
    <row r="144" customFormat="false" ht="15" hidden="false" customHeight="fals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</row>
    <row r="145" customFormat="false" ht="15" hidden="false" customHeight="fals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</row>
    <row r="146" customFormat="false" ht="15" hidden="false" customHeight="fals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</row>
    <row r="147" customFormat="false" ht="15" hidden="false" customHeight="fals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</row>
    <row r="148" customFormat="false" ht="15" hidden="false" customHeight="fals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</row>
    <row r="149" customFormat="false" ht="15" hidden="false" customHeight="fals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</row>
    <row r="150" customFormat="false" ht="15" hidden="false" customHeight="fals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</row>
    <row r="151" customFormat="false" ht="15" hidden="false" customHeight="fals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</row>
    <row r="152" customFormat="false" ht="15" hidden="false" customHeight="fals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</row>
    <row r="153" customFormat="false" ht="15" hidden="false" customHeight="fals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</row>
    <row r="154" customFormat="false" ht="15" hidden="false" customHeight="fals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</row>
    <row r="155" customFormat="false" ht="15" hidden="false" customHeight="fals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</row>
    <row r="156" customFormat="false" ht="15" hidden="false" customHeight="fals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</row>
    <row r="157" customFormat="false" ht="15" hidden="false" customHeight="fals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</row>
    <row r="158" customFormat="false" ht="15" hidden="false" customHeight="fals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</row>
    <row r="159" customFormat="false" ht="15" hidden="false" customHeight="fals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</row>
    <row r="160" customFormat="false" ht="15" hidden="false" customHeight="fals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</row>
    <row r="161" customFormat="false" ht="15" hidden="false" customHeight="fals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</row>
    <row r="162" customFormat="false" ht="15" hidden="false" customHeight="fals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</row>
    <row r="163" customFormat="false" ht="15" hidden="false" customHeight="fals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</row>
    <row r="164" customFormat="false" ht="15" hidden="false" customHeight="fals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</row>
    <row r="165" customFormat="false" ht="15" hidden="false" customHeight="fals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</row>
    <row r="166" customFormat="false" ht="15" hidden="false" customHeight="fals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</row>
    <row r="167" customFormat="false" ht="15" hidden="false" customHeight="fals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</row>
    <row r="168" customFormat="false" ht="15" hidden="false" customHeight="fals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</row>
    <row r="169" customFormat="false" ht="15" hidden="false" customHeight="fals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</row>
    <row r="170" customFormat="false" ht="15" hidden="false" customHeight="fals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</row>
    <row r="171" customFormat="false" ht="15" hidden="false" customHeight="fals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</row>
    <row r="172" customFormat="false" ht="15" hidden="false" customHeight="fals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</row>
    <row r="173" customFormat="false" ht="15" hidden="false" customHeight="fals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</row>
    <row r="174" customFormat="false" ht="15" hidden="false" customHeight="fals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</row>
    <row r="175" customFormat="false" ht="15" hidden="false" customHeight="fals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</row>
    <row r="176" customFormat="false" ht="15" hidden="false" customHeight="fals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</row>
    <row r="177" customFormat="false" ht="15" hidden="false" customHeight="fals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</row>
    <row r="178" customFormat="false" ht="15" hidden="false" customHeight="fals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</row>
    <row r="179" customFormat="false" ht="15" hidden="false" customHeight="fals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</row>
    <row r="180" customFormat="false" ht="15" hidden="false" customHeight="fals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</row>
    <row r="181" customFormat="false" ht="15" hidden="false" customHeight="fals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</row>
    <row r="182" customFormat="false" ht="15" hidden="false" customHeight="fals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</row>
    <row r="183" customFormat="false" ht="15" hidden="false" customHeight="fals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</row>
    <row r="184" customFormat="false" ht="15" hidden="false" customHeight="fals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</row>
    <row r="185" customFormat="false" ht="15" hidden="false" customHeight="fals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</row>
    <row r="186" customFormat="false" ht="15" hidden="false" customHeight="fals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</row>
    <row r="187" customFormat="false" ht="15" hidden="false" customHeight="fals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</row>
    <row r="188" customFormat="false" ht="15" hidden="false" customHeight="fals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</row>
    <row r="189" customFormat="false" ht="15" hidden="false" customHeight="fals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</row>
    <row r="190" customFormat="false" ht="15" hidden="false" customHeight="fals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</row>
    <row r="191" customFormat="false" ht="15" hidden="false" customHeight="fals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</row>
    <row r="192" customFormat="false" ht="15" hidden="false" customHeight="fals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</row>
    <row r="193" customFormat="false" ht="15" hidden="false" customHeight="fals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</row>
    <row r="194" customFormat="false" ht="15" hidden="false" customHeight="fals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</row>
    <row r="195" customFormat="false" ht="15" hidden="false" customHeight="fals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</row>
    <row r="196" customFormat="false" ht="15" hidden="false" customHeight="fals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</row>
    <row r="197" customFormat="false" ht="15" hidden="false" customHeight="fals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</row>
    <row r="198" customFormat="false" ht="15" hidden="false" customHeight="fals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</row>
    <row r="199" customFormat="false" ht="15" hidden="false" customHeight="fals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</row>
    <row r="200" customFormat="false" ht="15" hidden="false" customHeight="fals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</row>
    <row r="201" customFormat="false" ht="15" hidden="false" customHeight="fals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</row>
    <row r="202" customFormat="false" ht="15" hidden="false" customHeight="fals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</row>
    <row r="203" customFormat="false" ht="15" hidden="false" customHeight="fals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</row>
    <row r="204" customFormat="false" ht="15" hidden="false" customHeight="fals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</row>
  </sheetData>
  <autoFilter ref="A4:N204"/>
  <dataValidations count="2">
    <dataValidation allowBlank="true" errorStyle="stop" operator="between" showDropDown="false" showErrorMessage="false" showInputMessage="false" sqref="E5:E204" type="list">
      <formula1>Lists!$A$2:$A$10</formula1>
      <formula2>0</formula2>
    </dataValidation>
    <dataValidation allowBlank="true" errorStyle="stop" operator="between" showDropDown="false" showErrorMessage="false" showInputMessage="false" sqref="D5:D204" type="list">
      <formula1>Lists!$F$2:$F$12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2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0"/>
    <col collapsed="false" customWidth="true" hidden="false" outlineLevel="0" max="4" min="3" style="0" width="32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9" min="9" style="0" width="10"/>
    <col collapsed="false" customWidth="true" hidden="false" outlineLevel="0" max="10" min="10" style="0" width="34"/>
    <col collapsed="false" customWidth="true" hidden="false" outlineLevel="0" max="11" min="11" style="0" width="10"/>
  </cols>
  <sheetData>
    <row r="1" customFormat="false" ht="19.7" hidden="false" customHeight="false" outlineLevel="0" collapsed="false">
      <c r="A1" s="1" t="s">
        <v>506</v>
      </c>
    </row>
    <row r="2" customFormat="false" ht="15" hidden="false" customHeight="false" outlineLevel="0" collapsed="false">
      <c r="A2" s="2" t="s">
        <v>507</v>
      </c>
    </row>
    <row r="4" customFormat="false" ht="31.5" hidden="false" customHeight="true" outlineLevel="0" collapsed="false">
      <c r="A4" s="9" t="s">
        <v>508</v>
      </c>
      <c r="B4" s="9" t="s">
        <v>509</v>
      </c>
      <c r="C4" s="9" t="s">
        <v>510</v>
      </c>
      <c r="D4" s="9" t="s">
        <v>511</v>
      </c>
      <c r="E4" s="9" t="s">
        <v>512</v>
      </c>
      <c r="F4" s="9" t="s">
        <v>513</v>
      </c>
      <c r="G4" s="9" t="s">
        <v>80</v>
      </c>
      <c r="H4" s="9" t="s">
        <v>514</v>
      </c>
      <c r="I4" s="9" t="s">
        <v>515</v>
      </c>
      <c r="J4" s="9" t="s">
        <v>516</v>
      </c>
      <c r="K4" s="9" t="s">
        <v>420</v>
      </c>
    </row>
    <row r="5" customFormat="false" ht="15" hidden="false" customHeight="false" outlineLevel="0" collapsed="false">
      <c r="A5" s="20" t="s">
        <v>517</v>
      </c>
      <c r="B5" s="20" t="s">
        <v>518</v>
      </c>
      <c r="C5" s="20" t="s">
        <v>422</v>
      </c>
      <c r="D5" s="20" t="s">
        <v>425</v>
      </c>
      <c r="E5" s="20"/>
      <c r="F5" s="20"/>
      <c r="G5" s="22" t="str">
        <f aca="false">IFERROR(F5/E5,"")</f>
        <v/>
      </c>
      <c r="H5" s="20"/>
      <c r="I5" s="20"/>
      <c r="J5" s="20"/>
      <c r="K5" s="20"/>
    </row>
    <row r="6" customFormat="false" ht="15" hidden="false" customHeight="false" outlineLevel="0" collapsed="false">
      <c r="A6" s="20" t="s">
        <v>519</v>
      </c>
      <c r="B6" s="20" t="s">
        <v>485</v>
      </c>
      <c r="C6" s="20" t="s">
        <v>426</v>
      </c>
      <c r="D6" s="20" t="s">
        <v>427</v>
      </c>
      <c r="E6" s="20"/>
      <c r="F6" s="20"/>
      <c r="G6" s="22" t="str">
        <f aca="false">IFERROR(F6/E6,"")</f>
        <v/>
      </c>
      <c r="H6" s="20"/>
      <c r="I6" s="20"/>
      <c r="J6" s="20"/>
      <c r="K6" s="20"/>
    </row>
    <row r="7" customFormat="false" ht="15" hidden="false" customHeight="false" outlineLevel="0" collapsed="false">
      <c r="A7" s="20" t="s">
        <v>520</v>
      </c>
      <c r="B7" s="20" t="s">
        <v>521</v>
      </c>
      <c r="C7" s="20" t="s">
        <v>522</v>
      </c>
      <c r="D7" s="20" t="s">
        <v>523</v>
      </c>
      <c r="E7" s="20"/>
      <c r="F7" s="20"/>
      <c r="G7" s="22" t="str">
        <f aca="false">IFERROR(F7/E7,"")</f>
        <v/>
      </c>
      <c r="H7" s="20"/>
      <c r="I7" s="20"/>
      <c r="J7" s="20"/>
      <c r="K7" s="20"/>
    </row>
    <row r="8" customFormat="false" ht="23.85" hidden="false" customHeight="false" outlineLevel="0" collapsed="false">
      <c r="A8" s="20" t="s">
        <v>524</v>
      </c>
      <c r="B8" s="20" t="s">
        <v>525</v>
      </c>
      <c r="C8" s="20" t="s">
        <v>526</v>
      </c>
      <c r="D8" s="20" t="s">
        <v>527</v>
      </c>
      <c r="E8" s="20"/>
      <c r="F8" s="20"/>
      <c r="G8" s="22" t="str">
        <f aca="false">IFERROR(F8/E8,"")</f>
        <v/>
      </c>
      <c r="H8" s="20"/>
      <c r="I8" s="20"/>
      <c r="J8" s="20"/>
      <c r="K8" s="20"/>
    </row>
    <row r="9" customFormat="false" ht="23.85" hidden="false" customHeight="false" outlineLevel="0" collapsed="false">
      <c r="A9" s="20" t="s">
        <v>524</v>
      </c>
      <c r="B9" s="20" t="s">
        <v>528</v>
      </c>
      <c r="C9" s="20" t="s">
        <v>529</v>
      </c>
      <c r="D9" s="20" t="s">
        <v>527</v>
      </c>
      <c r="E9" s="20"/>
      <c r="F9" s="20"/>
      <c r="G9" s="22" t="str">
        <f aca="false">IFERROR(F9/E9,"")</f>
        <v/>
      </c>
      <c r="H9" s="20"/>
      <c r="I9" s="20"/>
      <c r="J9" s="20"/>
      <c r="K9" s="20"/>
    </row>
    <row r="10" customFormat="false" ht="15" hidden="false" customHeight="false" outlineLevel="0" collapsed="false">
      <c r="A10" s="20"/>
      <c r="B10" s="20"/>
      <c r="C10" s="20"/>
      <c r="D10" s="20"/>
      <c r="E10" s="20"/>
      <c r="F10" s="20"/>
      <c r="G10" s="22" t="str">
        <f aca="false">IFERROR(F10/E10,"")</f>
        <v/>
      </c>
      <c r="H10" s="20"/>
      <c r="I10" s="20"/>
      <c r="J10" s="20"/>
      <c r="K10" s="20"/>
    </row>
    <row r="11" customFormat="false" ht="15" hidden="false" customHeight="false" outlineLevel="0" collapsed="false">
      <c r="A11" s="20"/>
      <c r="B11" s="20"/>
      <c r="C11" s="20"/>
      <c r="D11" s="20"/>
      <c r="E11" s="20"/>
      <c r="F11" s="20"/>
      <c r="G11" s="22" t="str">
        <f aca="false">IFERROR(F11/E11,"")</f>
        <v/>
      </c>
      <c r="H11" s="20"/>
      <c r="I11" s="20"/>
      <c r="J11" s="20"/>
      <c r="K11" s="20"/>
    </row>
    <row r="12" customFormat="false" ht="15" hidden="false" customHeight="false" outlineLevel="0" collapsed="false">
      <c r="A12" s="20"/>
      <c r="B12" s="20"/>
      <c r="C12" s="20"/>
      <c r="D12" s="20"/>
      <c r="E12" s="20"/>
      <c r="F12" s="20"/>
      <c r="G12" s="22" t="str">
        <f aca="false">IFERROR(F12/E12,"")</f>
        <v/>
      </c>
      <c r="H12" s="20"/>
      <c r="I12" s="20"/>
      <c r="J12" s="20"/>
      <c r="K12" s="20"/>
    </row>
    <row r="13" customFormat="false" ht="15" hidden="false" customHeight="false" outlineLevel="0" collapsed="false">
      <c r="A13" s="20"/>
      <c r="B13" s="20"/>
      <c r="C13" s="20"/>
      <c r="D13" s="20"/>
      <c r="E13" s="20"/>
      <c r="F13" s="20"/>
      <c r="G13" s="22" t="str">
        <f aca="false">IFERROR(F13/E13,"")</f>
        <v/>
      </c>
      <c r="H13" s="20"/>
      <c r="I13" s="20"/>
      <c r="J13" s="20"/>
      <c r="K13" s="20"/>
    </row>
    <row r="14" customFormat="false" ht="15" hidden="false" customHeight="false" outlineLevel="0" collapsed="false">
      <c r="A14" s="20"/>
      <c r="B14" s="20"/>
      <c r="C14" s="20"/>
      <c r="D14" s="20"/>
      <c r="E14" s="20"/>
      <c r="F14" s="20"/>
      <c r="G14" s="22" t="str">
        <f aca="false">IFERROR(F14/E14,"")</f>
        <v/>
      </c>
      <c r="H14" s="20"/>
      <c r="I14" s="20"/>
      <c r="J14" s="20"/>
      <c r="K14" s="20"/>
    </row>
    <row r="15" customFormat="false" ht="15" hidden="false" customHeight="false" outlineLevel="0" collapsed="false">
      <c r="A15" s="20"/>
      <c r="B15" s="20"/>
      <c r="C15" s="20"/>
      <c r="D15" s="20"/>
      <c r="E15" s="20"/>
      <c r="F15" s="20"/>
      <c r="G15" s="22" t="str">
        <f aca="false">IFERROR(F15/E15,"")</f>
        <v/>
      </c>
      <c r="H15" s="20"/>
      <c r="I15" s="20"/>
      <c r="J15" s="20"/>
      <c r="K15" s="20"/>
    </row>
    <row r="16" customFormat="false" ht="15" hidden="false" customHeight="false" outlineLevel="0" collapsed="false">
      <c r="A16" s="20"/>
      <c r="B16" s="20"/>
      <c r="C16" s="20"/>
      <c r="D16" s="20"/>
      <c r="E16" s="20"/>
      <c r="F16" s="20"/>
      <c r="G16" s="22" t="str">
        <f aca="false">IFERROR(F16/E16,"")</f>
        <v/>
      </c>
      <c r="H16" s="20"/>
      <c r="I16" s="20"/>
      <c r="J16" s="20"/>
      <c r="K16" s="20"/>
    </row>
    <row r="17" customFormat="false" ht="15" hidden="false" customHeight="false" outlineLevel="0" collapsed="false">
      <c r="A17" s="20"/>
      <c r="B17" s="20"/>
      <c r="C17" s="20"/>
      <c r="D17" s="20"/>
      <c r="E17" s="20"/>
      <c r="F17" s="20"/>
      <c r="G17" s="22" t="str">
        <f aca="false">IFERROR(F17/E17,"")</f>
        <v/>
      </c>
      <c r="H17" s="20"/>
      <c r="I17" s="20"/>
      <c r="J17" s="20"/>
      <c r="K17" s="20"/>
    </row>
    <row r="18" customFormat="false" ht="15" hidden="false" customHeight="false" outlineLevel="0" collapsed="false">
      <c r="A18" s="20"/>
      <c r="B18" s="20"/>
      <c r="C18" s="20"/>
      <c r="D18" s="20"/>
      <c r="E18" s="20"/>
      <c r="F18" s="20"/>
      <c r="G18" s="22" t="str">
        <f aca="false">IFERROR(F18/E18,"")</f>
        <v/>
      </c>
      <c r="H18" s="20"/>
      <c r="I18" s="20"/>
      <c r="J18" s="20"/>
      <c r="K18" s="20"/>
    </row>
    <row r="19" customFormat="false" ht="15" hidden="false" customHeight="false" outlineLevel="0" collapsed="false">
      <c r="A19" s="20"/>
      <c r="B19" s="20"/>
      <c r="C19" s="20"/>
      <c r="D19" s="20"/>
      <c r="E19" s="20"/>
      <c r="F19" s="20"/>
      <c r="G19" s="22" t="str">
        <f aca="false">IFERROR(F19/E19,"")</f>
        <v/>
      </c>
      <c r="H19" s="20"/>
      <c r="I19" s="20"/>
      <c r="J19" s="20"/>
      <c r="K19" s="20"/>
    </row>
    <row r="20" customFormat="false" ht="15" hidden="false" customHeight="false" outlineLevel="0" collapsed="false">
      <c r="A20" s="20"/>
      <c r="B20" s="20"/>
      <c r="C20" s="20"/>
      <c r="D20" s="20"/>
      <c r="E20" s="20"/>
      <c r="F20" s="20"/>
      <c r="G20" s="22" t="str">
        <f aca="false">IFERROR(F20/E20,"")</f>
        <v/>
      </c>
      <c r="H20" s="20"/>
      <c r="I20" s="20"/>
      <c r="J20" s="20"/>
      <c r="K20" s="20"/>
    </row>
    <row r="21" customFormat="false" ht="15" hidden="false" customHeight="false" outlineLevel="0" collapsed="false">
      <c r="A21" s="20"/>
      <c r="B21" s="20"/>
      <c r="C21" s="20"/>
      <c r="D21" s="20"/>
      <c r="E21" s="20"/>
      <c r="F21" s="20"/>
      <c r="G21" s="22" t="str">
        <f aca="false">IFERROR(F21/E21,"")</f>
        <v/>
      </c>
      <c r="H21" s="20"/>
      <c r="I21" s="20"/>
      <c r="J21" s="20"/>
      <c r="K21" s="20"/>
    </row>
    <row r="22" customFormat="false" ht="15" hidden="false" customHeight="false" outlineLevel="0" collapsed="false">
      <c r="A22" s="20"/>
      <c r="B22" s="20"/>
      <c r="C22" s="20"/>
      <c r="D22" s="20"/>
      <c r="E22" s="20"/>
      <c r="F22" s="20"/>
      <c r="G22" s="22" t="str">
        <f aca="false">IFERROR(F22/E22,"")</f>
        <v/>
      </c>
      <c r="H22" s="20"/>
      <c r="I22" s="20"/>
      <c r="J22" s="20"/>
      <c r="K22" s="20"/>
    </row>
    <row r="23" customFormat="false" ht="15" hidden="false" customHeight="false" outlineLevel="0" collapsed="false">
      <c r="A23" s="20"/>
      <c r="B23" s="20"/>
      <c r="C23" s="20"/>
      <c r="D23" s="20"/>
      <c r="E23" s="20"/>
      <c r="F23" s="20"/>
      <c r="G23" s="22" t="str">
        <f aca="false">IFERROR(F23/E23,"")</f>
        <v/>
      </c>
      <c r="H23" s="20"/>
      <c r="I23" s="20"/>
      <c r="J23" s="20"/>
      <c r="K23" s="20"/>
    </row>
    <row r="24" customFormat="false" ht="15" hidden="false" customHeight="false" outlineLevel="0" collapsed="false">
      <c r="A24" s="20"/>
      <c r="B24" s="20"/>
      <c r="C24" s="20"/>
      <c r="D24" s="20"/>
      <c r="E24" s="20"/>
      <c r="F24" s="20"/>
      <c r="G24" s="22" t="str">
        <f aca="false">IFERROR(F24/E24,"")</f>
        <v/>
      </c>
      <c r="H24" s="20"/>
      <c r="I24" s="20"/>
      <c r="J24" s="20"/>
      <c r="K24" s="20"/>
    </row>
    <row r="25" customFormat="false" ht="15" hidden="false" customHeight="false" outlineLevel="0" collapsed="false">
      <c r="A25" s="20"/>
      <c r="B25" s="20"/>
      <c r="C25" s="20"/>
      <c r="D25" s="20"/>
      <c r="E25" s="20"/>
      <c r="F25" s="20"/>
      <c r="G25" s="22" t="str">
        <f aca="false">IFERROR(F25/E25,"")</f>
        <v/>
      </c>
      <c r="H25" s="20"/>
      <c r="I25" s="20"/>
      <c r="J25" s="20"/>
      <c r="K25" s="20"/>
    </row>
    <row r="26" customFormat="false" ht="15" hidden="false" customHeight="false" outlineLevel="0" collapsed="false">
      <c r="A26" s="20"/>
      <c r="B26" s="20"/>
      <c r="C26" s="20"/>
      <c r="D26" s="20"/>
      <c r="E26" s="20"/>
      <c r="F26" s="20"/>
      <c r="G26" s="22" t="str">
        <f aca="false">IFERROR(F26/E26,"")</f>
        <v/>
      </c>
      <c r="H26" s="20"/>
      <c r="I26" s="20"/>
      <c r="J26" s="20"/>
      <c r="K26" s="20"/>
    </row>
    <row r="27" customFormat="false" ht="15" hidden="false" customHeight="false" outlineLevel="0" collapsed="false">
      <c r="A27" s="20"/>
      <c r="B27" s="20"/>
      <c r="C27" s="20"/>
      <c r="D27" s="20"/>
      <c r="E27" s="20"/>
      <c r="F27" s="20"/>
      <c r="G27" s="22" t="str">
        <f aca="false">IFERROR(F27/E27,"")</f>
        <v/>
      </c>
      <c r="H27" s="20"/>
      <c r="I27" s="20"/>
      <c r="J27" s="20"/>
      <c r="K27" s="20"/>
    </row>
    <row r="28" customFormat="false" ht="15" hidden="false" customHeight="false" outlineLevel="0" collapsed="false">
      <c r="A28" s="20"/>
      <c r="B28" s="20"/>
      <c r="C28" s="20"/>
      <c r="D28" s="20"/>
      <c r="E28" s="20"/>
      <c r="F28" s="20"/>
      <c r="G28" s="22" t="str">
        <f aca="false">IFERROR(F28/E28,"")</f>
        <v/>
      </c>
      <c r="H28" s="20"/>
      <c r="I28" s="20"/>
      <c r="J28" s="20"/>
      <c r="K28" s="20"/>
    </row>
    <row r="29" customFormat="false" ht="15" hidden="false" customHeight="false" outlineLevel="0" collapsed="false">
      <c r="A29" s="20"/>
      <c r="B29" s="20"/>
      <c r="C29" s="20"/>
      <c r="D29" s="20"/>
      <c r="E29" s="20"/>
      <c r="F29" s="20"/>
      <c r="G29" s="22" t="str">
        <f aca="false">IFERROR(F29/E29,"")</f>
        <v/>
      </c>
      <c r="H29" s="20"/>
      <c r="I29" s="20"/>
      <c r="J29" s="20"/>
      <c r="K29" s="20"/>
    </row>
    <row r="30" customFormat="false" ht="15" hidden="false" customHeight="false" outlineLevel="0" collapsed="false">
      <c r="A30" s="20"/>
      <c r="B30" s="20"/>
      <c r="C30" s="20"/>
      <c r="D30" s="20"/>
      <c r="E30" s="20"/>
      <c r="F30" s="20"/>
      <c r="G30" s="22" t="str">
        <f aca="false">IFERROR(F30/E30,"")</f>
        <v/>
      </c>
      <c r="H30" s="20"/>
      <c r="I30" s="20"/>
      <c r="J30" s="20"/>
      <c r="K30" s="20"/>
    </row>
    <row r="31" customFormat="false" ht="15" hidden="false" customHeight="false" outlineLevel="0" collapsed="false">
      <c r="A31" s="20"/>
      <c r="B31" s="20"/>
      <c r="C31" s="20"/>
      <c r="D31" s="20"/>
      <c r="E31" s="20"/>
      <c r="F31" s="20"/>
      <c r="G31" s="22" t="str">
        <f aca="false">IFERROR(F31/E31,"")</f>
        <v/>
      </c>
      <c r="H31" s="20"/>
      <c r="I31" s="20"/>
      <c r="J31" s="20"/>
      <c r="K31" s="20"/>
    </row>
    <row r="32" customFormat="false" ht="15" hidden="false" customHeight="false" outlineLevel="0" collapsed="false">
      <c r="A32" s="20"/>
      <c r="B32" s="20"/>
      <c r="C32" s="20"/>
      <c r="D32" s="20"/>
      <c r="E32" s="20"/>
      <c r="F32" s="20"/>
      <c r="G32" s="22" t="str">
        <f aca="false">IFERROR(F32/E32,"")</f>
        <v/>
      </c>
      <c r="H32" s="20"/>
      <c r="I32" s="20"/>
      <c r="J32" s="20"/>
      <c r="K32" s="20"/>
    </row>
    <row r="33" customFormat="false" ht="15" hidden="false" customHeight="false" outlineLevel="0" collapsed="false">
      <c r="A33" s="20"/>
      <c r="B33" s="20"/>
      <c r="C33" s="20"/>
      <c r="D33" s="20"/>
      <c r="E33" s="20"/>
      <c r="F33" s="20"/>
      <c r="G33" s="22" t="str">
        <f aca="false">IFERROR(F33/E33,"")</f>
        <v/>
      </c>
      <c r="H33" s="20"/>
      <c r="I33" s="20"/>
      <c r="J33" s="20"/>
      <c r="K33" s="20"/>
    </row>
    <row r="34" customFormat="false" ht="15" hidden="false" customHeight="false" outlineLevel="0" collapsed="false">
      <c r="A34" s="20"/>
      <c r="B34" s="20"/>
      <c r="C34" s="20"/>
      <c r="D34" s="20"/>
      <c r="E34" s="20"/>
      <c r="F34" s="20"/>
      <c r="G34" s="22" t="str">
        <f aca="false">IFERROR(F34/E34,"")</f>
        <v/>
      </c>
      <c r="H34" s="20"/>
      <c r="I34" s="20"/>
      <c r="J34" s="20"/>
      <c r="K34" s="20"/>
    </row>
    <row r="35" customFormat="false" ht="15" hidden="false" customHeight="false" outlineLevel="0" collapsed="false">
      <c r="A35" s="20"/>
      <c r="B35" s="20"/>
      <c r="C35" s="20"/>
      <c r="D35" s="20"/>
      <c r="E35" s="20"/>
      <c r="F35" s="20"/>
      <c r="G35" s="22" t="str">
        <f aca="false">IFERROR(F35/E35,"")</f>
        <v/>
      </c>
      <c r="H35" s="20"/>
      <c r="I35" s="20"/>
      <c r="J35" s="20"/>
      <c r="K35" s="20"/>
    </row>
    <row r="36" customFormat="false" ht="15" hidden="false" customHeight="false" outlineLevel="0" collapsed="false">
      <c r="A36" s="20"/>
      <c r="B36" s="20"/>
      <c r="C36" s="20"/>
      <c r="D36" s="20"/>
      <c r="E36" s="20"/>
      <c r="F36" s="20"/>
      <c r="G36" s="22" t="str">
        <f aca="false">IFERROR(F36/E36,"")</f>
        <v/>
      </c>
      <c r="H36" s="20"/>
      <c r="I36" s="20"/>
      <c r="J36" s="20"/>
      <c r="K36" s="20"/>
    </row>
    <row r="37" customFormat="false" ht="15" hidden="false" customHeight="false" outlineLevel="0" collapsed="false">
      <c r="A37" s="20"/>
      <c r="B37" s="20"/>
      <c r="C37" s="20"/>
      <c r="D37" s="20"/>
      <c r="E37" s="20"/>
      <c r="F37" s="20"/>
      <c r="G37" s="22" t="str">
        <f aca="false">IFERROR(F37/E37,"")</f>
        <v/>
      </c>
      <c r="H37" s="20"/>
      <c r="I37" s="20"/>
      <c r="J37" s="20"/>
      <c r="K37" s="20"/>
    </row>
    <row r="38" customFormat="false" ht="15" hidden="false" customHeight="false" outlineLevel="0" collapsed="false">
      <c r="A38" s="20"/>
      <c r="B38" s="20"/>
      <c r="C38" s="20"/>
      <c r="D38" s="20"/>
      <c r="E38" s="20"/>
      <c r="F38" s="20"/>
      <c r="G38" s="22" t="str">
        <f aca="false">IFERROR(F38/E38,"")</f>
        <v/>
      </c>
      <c r="H38" s="20"/>
      <c r="I38" s="20"/>
      <c r="J38" s="20"/>
      <c r="K38" s="20"/>
    </row>
    <row r="39" customFormat="false" ht="15" hidden="false" customHeight="false" outlineLevel="0" collapsed="false">
      <c r="A39" s="20"/>
      <c r="B39" s="20"/>
      <c r="C39" s="20"/>
      <c r="D39" s="20"/>
      <c r="E39" s="20"/>
      <c r="F39" s="20"/>
      <c r="G39" s="22" t="str">
        <f aca="false">IFERROR(F39/E39,"")</f>
        <v/>
      </c>
      <c r="H39" s="20"/>
      <c r="I39" s="20"/>
      <c r="J39" s="20"/>
      <c r="K39" s="20"/>
    </row>
    <row r="40" customFormat="false" ht="15" hidden="false" customHeight="false" outlineLevel="0" collapsed="false">
      <c r="A40" s="20"/>
      <c r="B40" s="20"/>
      <c r="C40" s="20"/>
      <c r="D40" s="20"/>
      <c r="E40" s="20"/>
      <c r="F40" s="20"/>
      <c r="G40" s="22" t="str">
        <f aca="false">IFERROR(F40/E40,"")</f>
        <v/>
      </c>
      <c r="H40" s="20"/>
      <c r="I40" s="20"/>
      <c r="J40" s="20"/>
      <c r="K40" s="20"/>
    </row>
    <row r="41" customFormat="false" ht="15" hidden="false" customHeight="false" outlineLevel="0" collapsed="false">
      <c r="A41" s="20"/>
      <c r="B41" s="20"/>
      <c r="C41" s="20"/>
      <c r="D41" s="20"/>
      <c r="E41" s="20"/>
      <c r="F41" s="20"/>
      <c r="G41" s="22" t="str">
        <f aca="false">IFERROR(F41/E41,"")</f>
        <v/>
      </c>
      <c r="H41" s="20"/>
      <c r="I41" s="20"/>
      <c r="J41" s="20"/>
      <c r="K41" s="20"/>
    </row>
    <row r="42" customFormat="false" ht="15" hidden="false" customHeight="false" outlineLevel="0" collapsed="false">
      <c r="A42" s="20"/>
      <c r="B42" s="20"/>
      <c r="C42" s="20"/>
      <c r="D42" s="20"/>
      <c r="E42" s="20"/>
      <c r="F42" s="20"/>
      <c r="G42" s="22" t="str">
        <f aca="false">IFERROR(F42/E42,"")</f>
        <v/>
      </c>
      <c r="H42" s="20"/>
      <c r="I42" s="20"/>
      <c r="J42" s="20"/>
      <c r="K42" s="20"/>
    </row>
    <row r="43" customFormat="false" ht="15" hidden="false" customHeight="false" outlineLevel="0" collapsed="false">
      <c r="A43" s="20"/>
      <c r="B43" s="20"/>
      <c r="C43" s="20"/>
      <c r="D43" s="20"/>
      <c r="E43" s="20"/>
      <c r="F43" s="20"/>
      <c r="G43" s="22" t="str">
        <f aca="false">IFERROR(F43/E43,"")</f>
        <v/>
      </c>
      <c r="H43" s="20"/>
      <c r="I43" s="20"/>
      <c r="J43" s="20"/>
      <c r="K43" s="20"/>
    </row>
    <row r="44" customFormat="false" ht="15" hidden="false" customHeight="false" outlineLevel="0" collapsed="false">
      <c r="A44" s="20"/>
      <c r="B44" s="20"/>
      <c r="C44" s="20"/>
      <c r="D44" s="20"/>
      <c r="E44" s="20"/>
      <c r="F44" s="20"/>
      <c r="G44" s="22" t="str">
        <f aca="false">IFERROR(F44/E44,"")</f>
        <v/>
      </c>
      <c r="H44" s="20"/>
      <c r="I44" s="20"/>
      <c r="J44" s="20"/>
      <c r="K44" s="20"/>
    </row>
    <row r="45" customFormat="false" ht="15" hidden="false" customHeight="false" outlineLevel="0" collapsed="false">
      <c r="A45" s="20"/>
      <c r="B45" s="20"/>
      <c r="C45" s="20"/>
      <c r="D45" s="20"/>
      <c r="E45" s="20"/>
      <c r="F45" s="20"/>
      <c r="G45" s="22" t="str">
        <f aca="false">IFERROR(F45/E45,"")</f>
        <v/>
      </c>
      <c r="H45" s="20"/>
      <c r="I45" s="20"/>
      <c r="J45" s="20"/>
      <c r="K45" s="20"/>
    </row>
    <row r="46" customFormat="false" ht="15" hidden="false" customHeight="false" outlineLevel="0" collapsed="false">
      <c r="A46" s="20"/>
      <c r="B46" s="20"/>
      <c r="C46" s="20"/>
      <c r="D46" s="20"/>
      <c r="E46" s="20"/>
      <c r="F46" s="20"/>
      <c r="G46" s="22" t="str">
        <f aca="false">IFERROR(F46/E46,"")</f>
        <v/>
      </c>
      <c r="H46" s="20"/>
      <c r="I46" s="20"/>
      <c r="J46" s="20"/>
      <c r="K46" s="20"/>
    </row>
    <row r="47" customFormat="false" ht="15" hidden="false" customHeight="false" outlineLevel="0" collapsed="false">
      <c r="A47" s="20"/>
      <c r="B47" s="20"/>
      <c r="C47" s="20"/>
      <c r="D47" s="20"/>
      <c r="E47" s="20"/>
      <c r="F47" s="20"/>
      <c r="G47" s="22" t="str">
        <f aca="false">IFERROR(F47/E47,"")</f>
        <v/>
      </c>
      <c r="H47" s="20"/>
      <c r="I47" s="20"/>
      <c r="J47" s="20"/>
      <c r="K47" s="20"/>
    </row>
    <row r="48" customFormat="false" ht="15" hidden="false" customHeight="false" outlineLevel="0" collapsed="false">
      <c r="A48" s="20"/>
      <c r="B48" s="20"/>
      <c r="C48" s="20"/>
      <c r="D48" s="20"/>
      <c r="E48" s="20"/>
      <c r="F48" s="20"/>
      <c r="G48" s="22" t="str">
        <f aca="false">IFERROR(F48/E48,"")</f>
        <v/>
      </c>
      <c r="H48" s="20"/>
      <c r="I48" s="20"/>
      <c r="J48" s="20"/>
      <c r="K48" s="20"/>
    </row>
    <row r="49" customFormat="false" ht="15" hidden="false" customHeight="false" outlineLevel="0" collapsed="false">
      <c r="A49" s="20"/>
      <c r="B49" s="20"/>
      <c r="C49" s="20"/>
      <c r="D49" s="20"/>
      <c r="E49" s="20"/>
      <c r="F49" s="20"/>
      <c r="G49" s="22" t="str">
        <f aca="false">IFERROR(F49/E49,"")</f>
        <v/>
      </c>
      <c r="H49" s="20"/>
      <c r="I49" s="20"/>
      <c r="J49" s="20"/>
      <c r="K49" s="20"/>
    </row>
    <row r="50" customFormat="false" ht="15" hidden="false" customHeight="false" outlineLevel="0" collapsed="false">
      <c r="A50" s="20"/>
      <c r="B50" s="20"/>
      <c r="C50" s="20"/>
      <c r="D50" s="20"/>
      <c r="E50" s="20"/>
      <c r="F50" s="20"/>
      <c r="G50" s="22" t="str">
        <f aca="false">IFERROR(F50/E50,"")</f>
        <v/>
      </c>
      <c r="H50" s="20"/>
      <c r="I50" s="20"/>
      <c r="J50" s="20"/>
      <c r="K50" s="20"/>
    </row>
    <row r="51" customFormat="false" ht="15" hidden="false" customHeight="false" outlineLevel="0" collapsed="false">
      <c r="A51" s="20"/>
      <c r="B51" s="20"/>
      <c r="C51" s="20"/>
      <c r="D51" s="20"/>
      <c r="E51" s="20"/>
      <c r="F51" s="20"/>
      <c r="G51" s="22" t="str">
        <f aca="false">IFERROR(F51/E51,"")</f>
        <v/>
      </c>
      <c r="H51" s="20"/>
      <c r="I51" s="20"/>
      <c r="J51" s="20"/>
      <c r="K51" s="20"/>
    </row>
    <row r="52" customFormat="false" ht="15" hidden="false" customHeight="false" outlineLevel="0" collapsed="false">
      <c r="A52" s="20"/>
      <c r="B52" s="20"/>
      <c r="C52" s="20"/>
      <c r="D52" s="20"/>
      <c r="E52" s="20"/>
      <c r="F52" s="20"/>
      <c r="G52" s="22" t="str">
        <f aca="false">IFERROR(F52/E52,"")</f>
        <v/>
      </c>
      <c r="H52" s="20"/>
      <c r="I52" s="20"/>
      <c r="J52" s="20"/>
      <c r="K52" s="20"/>
    </row>
    <row r="53" customFormat="false" ht="15" hidden="false" customHeight="false" outlineLevel="0" collapsed="false">
      <c r="A53" s="20"/>
      <c r="B53" s="20"/>
      <c r="C53" s="20"/>
      <c r="D53" s="20"/>
      <c r="E53" s="20"/>
      <c r="F53" s="20"/>
      <c r="G53" s="22" t="str">
        <f aca="false">IFERROR(F53/E53,"")</f>
        <v/>
      </c>
      <c r="H53" s="20"/>
      <c r="I53" s="20"/>
      <c r="J53" s="20"/>
      <c r="K53" s="20"/>
    </row>
    <row r="54" customFormat="false" ht="15" hidden="false" customHeight="false" outlineLevel="0" collapsed="false">
      <c r="A54" s="20"/>
      <c r="B54" s="20"/>
      <c r="C54" s="20"/>
      <c r="D54" s="20"/>
      <c r="E54" s="20"/>
      <c r="F54" s="20"/>
      <c r="G54" s="22" t="str">
        <f aca="false">IFERROR(F54/E54,"")</f>
        <v/>
      </c>
      <c r="H54" s="20"/>
      <c r="I54" s="20"/>
      <c r="J54" s="20"/>
      <c r="K54" s="20"/>
    </row>
    <row r="55" customFormat="false" ht="15" hidden="false" customHeight="false" outlineLevel="0" collapsed="false">
      <c r="A55" s="20"/>
      <c r="B55" s="20"/>
      <c r="C55" s="20"/>
      <c r="D55" s="20"/>
      <c r="E55" s="20"/>
      <c r="F55" s="20"/>
      <c r="G55" s="22" t="str">
        <f aca="false">IFERROR(F55/E55,"")</f>
        <v/>
      </c>
      <c r="H55" s="20"/>
      <c r="I55" s="20"/>
      <c r="J55" s="20"/>
      <c r="K55" s="20"/>
    </row>
    <row r="56" customFormat="false" ht="15" hidden="false" customHeight="false" outlineLevel="0" collapsed="false">
      <c r="A56" s="20"/>
      <c r="B56" s="20"/>
      <c r="C56" s="20"/>
      <c r="D56" s="20"/>
      <c r="E56" s="20"/>
      <c r="F56" s="20"/>
      <c r="G56" s="22" t="str">
        <f aca="false">IFERROR(F56/E56,"")</f>
        <v/>
      </c>
      <c r="H56" s="20"/>
      <c r="I56" s="20"/>
      <c r="J56" s="20"/>
      <c r="K56" s="20"/>
    </row>
    <row r="57" customFormat="false" ht="15" hidden="false" customHeight="false" outlineLevel="0" collapsed="false">
      <c r="A57" s="20"/>
      <c r="B57" s="20"/>
      <c r="C57" s="20"/>
      <c r="D57" s="20"/>
      <c r="E57" s="20"/>
      <c r="F57" s="20"/>
      <c r="G57" s="22" t="str">
        <f aca="false">IFERROR(F57/E57,"")</f>
        <v/>
      </c>
      <c r="H57" s="20"/>
      <c r="I57" s="20"/>
      <c r="J57" s="20"/>
      <c r="K57" s="20"/>
    </row>
    <row r="58" customFormat="false" ht="15" hidden="false" customHeight="false" outlineLevel="0" collapsed="false">
      <c r="A58" s="20"/>
      <c r="B58" s="20"/>
      <c r="C58" s="20"/>
      <c r="D58" s="20"/>
      <c r="E58" s="20"/>
      <c r="F58" s="20"/>
      <c r="G58" s="22" t="str">
        <f aca="false">IFERROR(F58/E58,"")</f>
        <v/>
      </c>
      <c r="H58" s="20"/>
      <c r="I58" s="20"/>
      <c r="J58" s="20"/>
      <c r="K58" s="20"/>
    </row>
    <row r="59" customFormat="false" ht="15" hidden="false" customHeight="false" outlineLevel="0" collapsed="false">
      <c r="A59" s="20"/>
      <c r="B59" s="20"/>
      <c r="C59" s="20"/>
      <c r="D59" s="20"/>
      <c r="E59" s="20"/>
      <c r="F59" s="20"/>
      <c r="G59" s="22" t="str">
        <f aca="false">IFERROR(F59/E59,"")</f>
        <v/>
      </c>
      <c r="H59" s="20"/>
      <c r="I59" s="20"/>
      <c r="J59" s="20"/>
      <c r="K59" s="20"/>
    </row>
    <row r="60" customFormat="false" ht="15" hidden="false" customHeight="false" outlineLevel="0" collapsed="false">
      <c r="A60" s="20"/>
      <c r="B60" s="20"/>
      <c r="C60" s="20"/>
      <c r="D60" s="20"/>
      <c r="E60" s="20"/>
      <c r="F60" s="20"/>
      <c r="G60" s="22" t="str">
        <f aca="false">IFERROR(F60/E60,"")</f>
        <v/>
      </c>
      <c r="H60" s="20"/>
      <c r="I60" s="20"/>
      <c r="J60" s="20"/>
      <c r="K60" s="20"/>
    </row>
    <row r="61" customFormat="false" ht="15" hidden="false" customHeight="false" outlineLevel="0" collapsed="false">
      <c r="A61" s="20"/>
      <c r="B61" s="20"/>
      <c r="C61" s="20"/>
      <c r="D61" s="20"/>
      <c r="E61" s="20"/>
      <c r="F61" s="20"/>
      <c r="G61" s="22" t="str">
        <f aca="false">IFERROR(F61/E61,"")</f>
        <v/>
      </c>
      <c r="H61" s="20"/>
      <c r="I61" s="20"/>
      <c r="J61" s="20"/>
      <c r="K61" s="20"/>
    </row>
    <row r="62" customFormat="false" ht="15" hidden="false" customHeight="false" outlineLevel="0" collapsed="false">
      <c r="A62" s="20"/>
      <c r="B62" s="20"/>
      <c r="C62" s="20"/>
      <c r="D62" s="20"/>
      <c r="E62" s="20"/>
      <c r="F62" s="20"/>
      <c r="G62" s="22" t="str">
        <f aca="false">IFERROR(F62/E62,"")</f>
        <v/>
      </c>
      <c r="H62" s="20"/>
      <c r="I62" s="20"/>
      <c r="J62" s="20"/>
      <c r="K62" s="20"/>
    </row>
    <row r="63" customFormat="false" ht="15" hidden="false" customHeight="false" outlineLevel="0" collapsed="false">
      <c r="A63" s="20"/>
      <c r="B63" s="20"/>
      <c r="C63" s="20"/>
      <c r="D63" s="20"/>
      <c r="E63" s="20"/>
      <c r="F63" s="20"/>
      <c r="G63" s="22" t="str">
        <f aca="false">IFERROR(F63/E63,"")</f>
        <v/>
      </c>
      <c r="H63" s="20"/>
      <c r="I63" s="20"/>
      <c r="J63" s="20"/>
      <c r="K63" s="20"/>
    </row>
    <row r="64" customFormat="false" ht="15" hidden="false" customHeight="false" outlineLevel="0" collapsed="false">
      <c r="A64" s="20"/>
      <c r="B64" s="20"/>
      <c r="C64" s="20"/>
      <c r="D64" s="20"/>
      <c r="E64" s="20"/>
      <c r="F64" s="20"/>
      <c r="G64" s="22" t="str">
        <f aca="false">IFERROR(F64/E64,"")</f>
        <v/>
      </c>
      <c r="H64" s="20"/>
      <c r="I64" s="20"/>
      <c r="J64" s="20"/>
      <c r="K64" s="20"/>
    </row>
    <row r="65" customFormat="false" ht="15" hidden="false" customHeight="false" outlineLevel="0" collapsed="false">
      <c r="A65" s="20"/>
      <c r="B65" s="20"/>
      <c r="C65" s="20"/>
      <c r="D65" s="20"/>
      <c r="E65" s="20"/>
      <c r="F65" s="20"/>
      <c r="G65" s="22" t="str">
        <f aca="false">IFERROR(F65/E65,"")</f>
        <v/>
      </c>
      <c r="H65" s="20"/>
      <c r="I65" s="20"/>
      <c r="J65" s="20"/>
      <c r="K65" s="20"/>
    </row>
    <row r="66" customFormat="false" ht="15" hidden="false" customHeight="false" outlineLevel="0" collapsed="false">
      <c r="A66" s="20"/>
      <c r="B66" s="20"/>
      <c r="C66" s="20"/>
      <c r="D66" s="20"/>
      <c r="E66" s="20"/>
      <c r="F66" s="20"/>
      <c r="G66" s="22" t="str">
        <f aca="false">IFERROR(F66/E66,"")</f>
        <v/>
      </c>
      <c r="H66" s="20"/>
      <c r="I66" s="20"/>
      <c r="J66" s="20"/>
      <c r="K66" s="20"/>
    </row>
    <row r="67" customFormat="false" ht="15" hidden="false" customHeight="false" outlineLevel="0" collapsed="false">
      <c r="A67" s="20"/>
      <c r="B67" s="20"/>
      <c r="C67" s="20"/>
      <c r="D67" s="20"/>
      <c r="E67" s="20"/>
      <c r="F67" s="20"/>
      <c r="G67" s="22" t="str">
        <f aca="false">IFERROR(F67/E67,"")</f>
        <v/>
      </c>
      <c r="H67" s="20"/>
      <c r="I67" s="20"/>
      <c r="J67" s="20"/>
      <c r="K67" s="20"/>
    </row>
    <row r="68" customFormat="false" ht="15" hidden="false" customHeight="false" outlineLevel="0" collapsed="false">
      <c r="A68" s="20"/>
      <c r="B68" s="20"/>
      <c r="C68" s="20"/>
      <c r="D68" s="20"/>
      <c r="E68" s="20"/>
      <c r="F68" s="20"/>
      <c r="G68" s="22" t="str">
        <f aca="false">IFERROR(F68/E68,"")</f>
        <v/>
      </c>
      <c r="H68" s="20"/>
      <c r="I68" s="20"/>
      <c r="J68" s="20"/>
      <c r="K68" s="20"/>
    </row>
    <row r="69" customFormat="false" ht="15" hidden="false" customHeight="false" outlineLevel="0" collapsed="false">
      <c r="A69" s="20"/>
      <c r="B69" s="20"/>
      <c r="C69" s="20"/>
      <c r="D69" s="20"/>
      <c r="E69" s="20"/>
      <c r="F69" s="20"/>
      <c r="G69" s="22" t="str">
        <f aca="false">IFERROR(F69/E69,"")</f>
        <v/>
      </c>
      <c r="H69" s="20"/>
      <c r="I69" s="20"/>
      <c r="J69" s="20"/>
      <c r="K69" s="20"/>
    </row>
    <row r="70" customFormat="false" ht="15" hidden="false" customHeight="false" outlineLevel="0" collapsed="false">
      <c r="A70" s="20"/>
      <c r="B70" s="20"/>
      <c r="C70" s="20"/>
      <c r="D70" s="20"/>
      <c r="E70" s="20"/>
      <c r="F70" s="20"/>
      <c r="G70" s="22" t="str">
        <f aca="false">IFERROR(F70/E70,"")</f>
        <v/>
      </c>
      <c r="H70" s="20"/>
      <c r="I70" s="20"/>
      <c r="J70" s="20"/>
      <c r="K70" s="20"/>
    </row>
    <row r="71" customFormat="false" ht="15" hidden="false" customHeight="false" outlineLevel="0" collapsed="false">
      <c r="A71" s="20"/>
      <c r="B71" s="20"/>
      <c r="C71" s="20"/>
      <c r="D71" s="20"/>
      <c r="E71" s="20"/>
      <c r="F71" s="20"/>
      <c r="G71" s="22" t="str">
        <f aca="false">IFERROR(F71/E71,"")</f>
        <v/>
      </c>
      <c r="H71" s="20"/>
      <c r="I71" s="20"/>
      <c r="J71" s="20"/>
      <c r="K71" s="20"/>
    </row>
    <row r="72" customFormat="false" ht="15" hidden="false" customHeight="false" outlineLevel="0" collapsed="false">
      <c r="A72" s="20"/>
      <c r="B72" s="20"/>
      <c r="C72" s="20"/>
      <c r="D72" s="20"/>
      <c r="E72" s="20"/>
      <c r="F72" s="20"/>
      <c r="G72" s="22" t="str">
        <f aca="false">IFERROR(F72/E72,"")</f>
        <v/>
      </c>
      <c r="H72" s="20"/>
      <c r="I72" s="20"/>
      <c r="J72" s="20"/>
      <c r="K72" s="20"/>
    </row>
    <row r="73" customFormat="false" ht="15" hidden="false" customHeight="false" outlineLevel="0" collapsed="false">
      <c r="A73" s="20"/>
      <c r="B73" s="20"/>
      <c r="C73" s="20"/>
      <c r="D73" s="20"/>
      <c r="E73" s="20"/>
      <c r="F73" s="20"/>
      <c r="G73" s="22" t="str">
        <f aca="false">IFERROR(F73/E73,"")</f>
        <v/>
      </c>
      <c r="H73" s="20"/>
      <c r="I73" s="20"/>
      <c r="J73" s="20"/>
      <c r="K73" s="20"/>
    </row>
    <row r="74" customFormat="false" ht="15" hidden="false" customHeight="false" outlineLevel="0" collapsed="false">
      <c r="A74" s="20"/>
      <c r="B74" s="20"/>
      <c r="C74" s="20"/>
      <c r="D74" s="20"/>
      <c r="E74" s="20"/>
      <c r="F74" s="20"/>
      <c r="G74" s="22" t="str">
        <f aca="false">IFERROR(F74/E74,"")</f>
        <v/>
      </c>
      <c r="H74" s="20"/>
      <c r="I74" s="20"/>
      <c r="J74" s="20"/>
      <c r="K74" s="20"/>
    </row>
    <row r="75" customFormat="false" ht="15" hidden="false" customHeight="false" outlineLevel="0" collapsed="false">
      <c r="A75" s="20"/>
      <c r="B75" s="20"/>
      <c r="C75" s="20"/>
      <c r="D75" s="20"/>
      <c r="E75" s="20"/>
      <c r="F75" s="20"/>
      <c r="G75" s="22" t="str">
        <f aca="false">IFERROR(F75/E75,"")</f>
        <v/>
      </c>
      <c r="H75" s="20"/>
      <c r="I75" s="20"/>
      <c r="J75" s="20"/>
      <c r="K75" s="20"/>
    </row>
    <row r="76" customFormat="false" ht="15" hidden="false" customHeight="false" outlineLevel="0" collapsed="false">
      <c r="A76" s="20"/>
      <c r="B76" s="20"/>
      <c r="C76" s="20"/>
      <c r="D76" s="20"/>
      <c r="E76" s="20"/>
      <c r="F76" s="20"/>
      <c r="G76" s="22" t="str">
        <f aca="false">IFERROR(F76/E76,"")</f>
        <v/>
      </c>
      <c r="H76" s="20"/>
      <c r="I76" s="20"/>
      <c r="J76" s="20"/>
      <c r="K76" s="20"/>
    </row>
    <row r="77" customFormat="false" ht="15" hidden="false" customHeight="false" outlineLevel="0" collapsed="false">
      <c r="A77" s="20"/>
      <c r="B77" s="20"/>
      <c r="C77" s="20"/>
      <c r="D77" s="20"/>
      <c r="E77" s="20"/>
      <c r="F77" s="20"/>
      <c r="G77" s="22" t="str">
        <f aca="false">IFERROR(F77/E77,"")</f>
        <v/>
      </c>
      <c r="H77" s="20"/>
      <c r="I77" s="20"/>
      <c r="J77" s="20"/>
      <c r="K77" s="20"/>
    </row>
    <row r="78" customFormat="false" ht="15" hidden="false" customHeight="false" outlineLevel="0" collapsed="false">
      <c r="A78" s="20"/>
      <c r="B78" s="20"/>
      <c r="C78" s="20"/>
      <c r="D78" s="20"/>
      <c r="E78" s="20"/>
      <c r="F78" s="20"/>
      <c r="G78" s="22" t="str">
        <f aca="false">IFERROR(F78/E78,"")</f>
        <v/>
      </c>
      <c r="H78" s="20"/>
      <c r="I78" s="20"/>
      <c r="J78" s="20"/>
      <c r="K78" s="20"/>
    </row>
    <row r="79" customFormat="false" ht="15" hidden="false" customHeight="false" outlineLevel="0" collapsed="false">
      <c r="A79" s="20"/>
      <c r="B79" s="20"/>
      <c r="C79" s="20"/>
      <c r="D79" s="20"/>
      <c r="E79" s="20"/>
      <c r="F79" s="20"/>
      <c r="G79" s="22" t="str">
        <f aca="false">IFERROR(F79/E79,"")</f>
        <v/>
      </c>
      <c r="H79" s="20"/>
      <c r="I79" s="20"/>
      <c r="J79" s="20"/>
      <c r="K79" s="20"/>
    </row>
    <row r="80" customFormat="false" ht="15" hidden="false" customHeight="false" outlineLevel="0" collapsed="false">
      <c r="A80" s="20"/>
      <c r="B80" s="20"/>
      <c r="C80" s="20"/>
      <c r="D80" s="20"/>
      <c r="E80" s="20"/>
      <c r="F80" s="20"/>
      <c r="G80" s="22" t="str">
        <f aca="false">IFERROR(F80/E80,"")</f>
        <v/>
      </c>
      <c r="H80" s="20"/>
      <c r="I80" s="20"/>
      <c r="J80" s="20"/>
      <c r="K80" s="20"/>
    </row>
    <row r="81" customFormat="false" ht="15" hidden="false" customHeight="false" outlineLevel="0" collapsed="false">
      <c r="A81" s="20"/>
      <c r="B81" s="20"/>
      <c r="C81" s="20"/>
      <c r="D81" s="20"/>
      <c r="E81" s="20"/>
      <c r="F81" s="20"/>
      <c r="G81" s="22" t="str">
        <f aca="false">IFERROR(F81/E81,"")</f>
        <v/>
      </c>
      <c r="H81" s="20"/>
      <c r="I81" s="20"/>
      <c r="J81" s="20"/>
      <c r="K81" s="20"/>
    </row>
    <row r="82" customFormat="false" ht="15" hidden="false" customHeight="false" outlineLevel="0" collapsed="false">
      <c r="A82" s="20"/>
      <c r="B82" s="20"/>
      <c r="C82" s="20"/>
      <c r="D82" s="20"/>
      <c r="E82" s="20"/>
      <c r="F82" s="20"/>
      <c r="G82" s="22" t="str">
        <f aca="false">IFERROR(F82/E82,"")</f>
        <v/>
      </c>
      <c r="H82" s="20"/>
      <c r="I82" s="20"/>
      <c r="J82" s="20"/>
      <c r="K82" s="20"/>
    </row>
    <row r="83" customFormat="false" ht="15" hidden="false" customHeight="false" outlineLevel="0" collapsed="false">
      <c r="A83" s="20"/>
      <c r="B83" s="20"/>
      <c r="C83" s="20"/>
      <c r="D83" s="20"/>
      <c r="E83" s="20"/>
      <c r="F83" s="20"/>
      <c r="G83" s="22" t="str">
        <f aca="false">IFERROR(F83/E83,"")</f>
        <v/>
      </c>
      <c r="H83" s="20"/>
      <c r="I83" s="20"/>
      <c r="J83" s="20"/>
      <c r="K83" s="20"/>
    </row>
    <row r="84" customFormat="false" ht="15" hidden="false" customHeight="false" outlineLevel="0" collapsed="false">
      <c r="A84" s="20"/>
      <c r="B84" s="20"/>
      <c r="C84" s="20"/>
      <c r="D84" s="20"/>
      <c r="E84" s="20"/>
      <c r="F84" s="20"/>
      <c r="G84" s="22" t="str">
        <f aca="false">IFERROR(F84/E84,"")</f>
        <v/>
      </c>
      <c r="H84" s="20"/>
      <c r="I84" s="20"/>
      <c r="J84" s="20"/>
      <c r="K84" s="20"/>
    </row>
    <row r="85" customFormat="false" ht="15" hidden="false" customHeight="false" outlineLevel="0" collapsed="false">
      <c r="A85" s="20"/>
      <c r="B85" s="20"/>
      <c r="C85" s="20"/>
      <c r="D85" s="20"/>
      <c r="E85" s="20"/>
      <c r="F85" s="20"/>
      <c r="G85" s="22" t="str">
        <f aca="false">IFERROR(F85/E85,"")</f>
        <v/>
      </c>
      <c r="H85" s="20"/>
      <c r="I85" s="20"/>
      <c r="J85" s="20"/>
      <c r="K85" s="20"/>
    </row>
    <row r="86" customFormat="false" ht="15" hidden="false" customHeight="false" outlineLevel="0" collapsed="false">
      <c r="A86" s="20"/>
      <c r="B86" s="20"/>
      <c r="C86" s="20"/>
      <c r="D86" s="20"/>
      <c r="E86" s="20"/>
      <c r="F86" s="20"/>
      <c r="G86" s="22" t="str">
        <f aca="false">IFERROR(F86/E86,"")</f>
        <v/>
      </c>
      <c r="H86" s="20"/>
      <c r="I86" s="20"/>
      <c r="J86" s="20"/>
      <c r="K86" s="20"/>
    </row>
    <row r="87" customFormat="false" ht="15" hidden="false" customHeight="false" outlineLevel="0" collapsed="false">
      <c r="A87" s="20"/>
      <c r="B87" s="20"/>
      <c r="C87" s="20"/>
      <c r="D87" s="20"/>
      <c r="E87" s="20"/>
      <c r="F87" s="20"/>
      <c r="G87" s="22" t="str">
        <f aca="false">IFERROR(F87/E87,"")</f>
        <v/>
      </c>
      <c r="H87" s="20"/>
      <c r="I87" s="20"/>
      <c r="J87" s="20"/>
      <c r="K87" s="20"/>
    </row>
    <row r="88" customFormat="false" ht="15" hidden="false" customHeight="false" outlineLevel="0" collapsed="false">
      <c r="A88" s="20"/>
      <c r="B88" s="20"/>
      <c r="C88" s="20"/>
      <c r="D88" s="20"/>
      <c r="E88" s="20"/>
      <c r="F88" s="20"/>
      <c r="G88" s="22" t="str">
        <f aca="false">IFERROR(F88/E88,"")</f>
        <v/>
      </c>
      <c r="H88" s="20"/>
      <c r="I88" s="20"/>
      <c r="J88" s="20"/>
      <c r="K88" s="20"/>
    </row>
    <row r="89" customFormat="false" ht="15" hidden="false" customHeight="false" outlineLevel="0" collapsed="false">
      <c r="A89" s="20"/>
      <c r="B89" s="20"/>
      <c r="C89" s="20"/>
      <c r="D89" s="20"/>
      <c r="E89" s="20"/>
      <c r="F89" s="20"/>
      <c r="G89" s="22" t="str">
        <f aca="false">IFERROR(F89/E89,"")</f>
        <v/>
      </c>
      <c r="H89" s="20"/>
      <c r="I89" s="20"/>
      <c r="J89" s="20"/>
      <c r="K89" s="20"/>
    </row>
    <row r="90" customFormat="false" ht="15" hidden="false" customHeight="false" outlineLevel="0" collapsed="false">
      <c r="A90" s="20"/>
      <c r="B90" s="20"/>
      <c r="C90" s="20"/>
      <c r="D90" s="20"/>
      <c r="E90" s="20"/>
      <c r="F90" s="20"/>
      <c r="G90" s="22" t="str">
        <f aca="false">IFERROR(F90/E90,"")</f>
        <v/>
      </c>
      <c r="H90" s="20"/>
      <c r="I90" s="20"/>
      <c r="J90" s="20"/>
      <c r="K90" s="20"/>
    </row>
    <row r="91" customFormat="false" ht="15" hidden="false" customHeight="false" outlineLevel="0" collapsed="false">
      <c r="A91" s="20"/>
      <c r="B91" s="20"/>
      <c r="C91" s="20"/>
      <c r="D91" s="20"/>
      <c r="E91" s="20"/>
      <c r="F91" s="20"/>
      <c r="G91" s="22" t="str">
        <f aca="false">IFERROR(F91/E91,"")</f>
        <v/>
      </c>
      <c r="H91" s="20"/>
      <c r="I91" s="20"/>
      <c r="J91" s="20"/>
      <c r="K91" s="20"/>
    </row>
    <row r="92" customFormat="false" ht="15" hidden="false" customHeight="false" outlineLevel="0" collapsed="false">
      <c r="A92" s="20"/>
      <c r="B92" s="20"/>
      <c r="C92" s="20"/>
      <c r="D92" s="20"/>
      <c r="E92" s="20"/>
      <c r="F92" s="20"/>
      <c r="G92" s="22" t="str">
        <f aca="false">IFERROR(F92/E92,"")</f>
        <v/>
      </c>
      <c r="H92" s="20"/>
      <c r="I92" s="20"/>
      <c r="J92" s="20"/>
      <c r="K92" s="20"/>
    </row>
    <row r="93" customFormat="false" ht="15" hidden="false" customHeight="false" outlineLevel="0" collapsed="false">
      <c r="A93" s="20"/>
      <c r="B93" s="20"/>
      <c r="C93" s="20"/>
      <c r="D93" s="20"/>
      <c r="E93" s="20"/>
      <c r="F93" s="20"/>
      <c r="G93" s="22" t="str">
        <f aca="false">IFERROR(F93/E93,"")</f>
        <v/>
      </c>
      <c r="H93" s="20"/>
      <c r="I93" s="20"/>
      <c r="J93" s="20"/>
      <c r="K93" s="20"/>
    </row>
    <row r="94" customFormat="false" ht="15" hidden="false" customHeight="false" outlineLevel="0" collapsed="false">
      <c r="A94" s="20"/>
      <c r="B94" s="20"/>
      <c r="C94" s="20"/>
      <c r="D94" s="20"/>
      <c r="E94" s="20"/>
      <c r="F94" s="20"/>
      <c r="G94" s="22" t="str">
        <f aca="false">IFERROR(F94/E94,"")</f>
        <v/>
      </c>
      <c r="H94" s="20"/>
      <c r="I94" s="20"/>
      <c r="J94" s="20"/>
      <c r="K94" s="20"/>
    </row>
    <row r="95" customFormat="false" ht="15" hidden="false" customHeight="false" outlineLevel="0" collapsed="false">
      <c r="A95" s="20"/>
      <c r="B95" s="20"/>
      <c r="C95" s="20"/>
      <c r="D95" s="20"/>
      <c r="E95" s="20"/>
      <c r="F95" s="20"/>
      <c r="G95" s="22" t="str">
        <f aca="false">IFERROR(F95/E95,"")</f>
        <v/>
      </c>
      <c r="H95" s="20"/>
      <c r="I95" s="20"/>
      <c r="J95" s="20"/>
      <c r="K95" s="20"/>
    </row>
    <row r="96" customFormat="false" ht="15" hidden="false" customHeight="false" outlineLevel="0" collapsed="false">
      <c r="A96" s="20"/>
      <c r="B96" s="20"/>
      <c r="C96" s="20"/>
      <c r="D96" s="20"/>
      <c r="E96" s="20"/>
      <c r="F96" s="20"/>
      <c r="G96" s="22" t="str">
        <f aca="false">IFERROR(F96/E96,"")</f>
        <v/>
      </c>
      <c r="H96" s="20"/>
      <c r="I96" s="20"/>
      <c r="J96" s="20"/>
      <c r="K96" s="20"/>
    </row>
    <row r="97" customFormat="false" ht="15" hidden="false" customHeight="false" outlineLevel="0" collapsed="false">
      <c r="A97" s="20"/>
      <c r="B97" s="20"/>
      <c r="C97" s="20"/>
      <c r="D97" s="20"/>
      <c r="E97" s="20"/>
      <c r="F97" s="20"/>
      <c r="G97" s="22" t="str">
        <f aca="false">IFERROR(F97/E97,"")</f>
        <v/>
      </c>
      <c r="H97" s="20"/>
      <c r="I97" s="20"/>
      <c r="J97" s="20"/>
      <c r="K97" s="20"/>
    </row>
    <row r="98" customFormat="false" ht="15" hidden="false" customHeight="false" outlineLevel="0" collapsed="false">
      <c r="A98" s="20"/>
      <c r="B98" s="20"/>
      <c r="C98" s="20"/>
      <c r="D98" s="20"/>
      <c r="E98" s="20"/>
      <c r="F98" s="20"/>
      <c r="G98" s="22" t="str">
        <f aca="false">IFERROR(F98/E98,"")</f>
        <v/>
      </c>
      <c r="H98" s="20"/>
      <c r="I98" s="20"/>
      <c r="J98" s="20"/>
      <c r="K98" s="20"/>
    </row>
    <row r="99" customFormat="false" ht="15" hidden="false" customHeight="false" outlineLevel="0" collapsed="false">
      <c r="A99" s="20"/>
      <c r="B99" s="20"/>
      <c r="C99" s="20"/>
      <c r="D99" s="20"/>
      <c r="E99" s="20"/>
      <c r="F99" s="20"/>
      <c r="G99" s="22" t="str">
        <f aca="false">IFERROR(F99/E99,"")</f>
        <v/>
      </c>
      <c r="H99" s="20"/>
      <c r="I99" s="20"/>
      <c r="J99" s="20"/>
      <c r="K99" s="20"/>
    </row>
    <row r="100" customFormat="false" ht="15" hidden="false" customHeight="false" outlineLevel="0" collapsed="false">
      <c r="A100" s="20"/>
      <c r="B100" s="20"/>
      <c r="C100" s="20"/>
      <c r="D100" s="20"/>
      <c r="E100" s="20"/>
      <c r="F100" s="20"/>
      <c r="G100" s="22" t="str">
        <f aca="false">IFERROR(F100/E100,"")</f>
        <v/>
      </c>
      <c r="H100" s="20"/>
      <c r="I100" s="20"/>
      <c r="J100" s="20"/>
      <c r="K100" s="20"/>
    </row>
    <row r="101" customFormat="false" ht="15" hidden="false" customHeight="false" outlineLevel="0" collapsed="false">
      <c r="A101" s="20"/>
      <c r="B101" s="20"/>
      <c r="C101" s="20"/>
      <c r="D101" s="20"/>
      <c r="E101" s="20"/>
      <c r="F101" s="20"/>
      <c r="G101" s="22" t="str">
        <f aca="false">IFERROR(F101/E101,"")</f>
        <v/>
      </c>
      <c r="H101" s="20"/>
      <c r="I101" s="20"/>
      <c r="J101" s="20"/>
      <c r="K101" s="20"/>
    </row>
    <row r="102" customFormat="false" ht="15" hidden="false" customHeight="false" outlineLevel="0" collapsed="false">
      <c r="A102" s="20"/>
      <c r="B102" s="20"/>
      <c r="C102" s="20"/>
      <c r="D102" s="20"/>
      <c r="E102" s="20"/>
      <c r="F102" s="20"/>
      <c r="G102" s="22" t="str">
        <f aca="false">IFERROR(F102/E102,"")</f>
        <v/>
      </c>
      <c r="H102" s="20"/>
      <c r="I102" s="20"/>
      <c r="J102" s="20"/>
      <c r="K102" s="20"/>
    </row>
    <row r="103" customFormat="false" ht="15" hidden="false" customHeight="false" outlineLevel="0" collapsed="false">
      <c r="A103" s="20"/>
      <c r="B103" s="20"/>
      <c r="C103" s="20"/>
      <c r="D103" s="20"/>
      <c r="E103" s="20"/>
      <c r="F103" s="20"/>
      <c r="G103" s="22" t="str">
        <f aca="false">IFERROR(F103/E103,"")</f>
        <v/>
      </c>
      <c r="H103" s="20"/>
      <c r="I103" s="20"/>
      <c r="J103" s="20"/>
      <c r="K103" s="20"/>
    </row>
    <row r="104" customFormat="false" ht="15" hidden="false" customHeight="false" outlineLevel="0" collapsed="false">
      <c r="A104" s="20"/>
      <c r="B104" s="20"/>
      <c r="C104" s="20"/>
      <c r="D104" s="20"/>
      <c r="E104" s="20"/>
      <c r="F104" s="20"/>
      <c r="G104" s="22" t="str">
        <f aca="false">IFERROR(F104/E104,"")</f>
        <v/>
      </c>
      <c r="H104" s="20"/>
      <c r="I104" s="20"/>
      <c r="J104" s="20"/>
      <c r="K104" s="20"/>
    </row>
    <row r="105" customFormat="false" ht="15" hidden="false" customHeight="false" outlineLevel="0" collapsed="false">
      <c r="A105" s="20"/>
      <c r="B105" s="20"/>
      <c r="C105" s="20"/>
      <c r="D105" s="20"/>
      <c r="E105" s="20"/>
      <c r="F105" s="20"/>
      <c r="G105" s="22" t="str">
        <f aca="false">IFERROR(F105/E105,"")</f>
        <v/>
      </c>
      <c r="H105" s="20"/>
      <c r="I105" s="20"/>
      <c r="J105" s="20"/>
      <c r="K105" s="20"/>
    </row>
    <row r="106" customFormat="false" ht="15" hidden="false" customHeight="false" outlineLevel="0" collapsed="false">
      <c r="A106" s="20"/>
      <c r="B106" s="20"/>
      <c r="C106" s="20"/>
      <c r="D106" s="20"/>
      <c r="E106" s="20"/>
      <c r="F106" s="20"/>
      <c r="G106" s="22" t="str">
        <f aca="false">IFERROR(F106/E106,"")</f>
        <v/>
      </c>
      <c r="H106" s="20"/>
      <c r="I106" s="20"/>
      <c r="J106" s="20"/>
      <c r="K106" s="20"/>
    </row>
    <row r="107" customFormat="false" ht="15" hidden="false" customHeight="false" outlineLevel="0" collapsed="false">
      <c r="A107" s="20"/>
      <c r="B107" s="20"/>
      <c r="C107" s="20"/>
      <c r="D107" s="20"/>
      <c r="E107" s="20"/>
      <c r="F107" s="20"/>
      <c r="G107" s="22" t="str">
        <f aca="false">IFERROR(F107/E107,"")</f>
        <v/>
      </c>
      <c r="H107" s="20"/>
      <c r="I107" s="20"/>
      <c r="J107" s="20"/>
      <c r="K107" s="20"/>
    </row>
    <row r="108" customFormat="false" ht="15" hidden="false" customHeight="false" outlineLevel="0" collapsed="false">
      <c r="A108" s="20"/>
      <c r="B108" s="20"/>
      <c r="C108" s="20"/>
      <c r="D108" s="20"/>
      <c r="E108" s="20"/>
      <c r="F108" s="20"/>
      <c r="G108" s="22" t="str">
        <f aca="false">IFERROR(F108/E108,"")</f>
        <v/>
      </c>
      <c r="H108" s="20"/>
      <c r="I108" s="20"/>
      <c r="J108" s="20"/>
      <c r="K108" s="20"/>
    </row>
    <row r="109" customFormat="false" ht="15" hidden="false" customHeight="false" outlineLevel="0" collapsed="false">
      <c r="A109" s="20"/>
      <c r="B109" s="20"/>
      <c r="C109" s="20"/>
      <c r="D109" s="20"/>
      <c r="E109" s="20"/>
      <c r="F109" s="20"/>
      <c r="G109" s="22" t="str">
        <f aca="false">IFERROR(F109/E109,"")</f>
        <v/>
      </c>
      <c r="H109" s="20"/>
      <c r="I109" s="20"/>
      <c r="J109" s="20"/>
      <c r="K109" s="20"/>
    </row>
    <row r="110" customFormat="false" ht="15" hidden="false" customHeight="false" outlineLevel="0" collapsed="false">
      <c r="A110" s="20"/>
      <c r="B110" s="20"/>
      <c r="C110" s="20"/>
      <c r="D110" s="20"/>
      <c r="E110" s="20"/>
      <c r="F110" s="20"/>
      <c r="G110" s="22" t="str">
        <f aca="false">IFERROR(F110/E110,"")</f>
        <v/>
      </c>
      <c r="H110" s="20"/>
      <c r="I110" s="20"/>
      <c r="J110" s="20"/>
      <c r="K110" s="20"/>
    </row>
    <row r="111" customFormat="false" ht="15" hidden="false" customHeight="false" outlineLevel="0" collapsed="false">
      <c r="A111" s="20"/>
      <c r="B111" s="20"/>
      <c r="C111" s="20"/>
      <c r="D111" s="20"/>
      <c r="E111" s="20"/>
      <c r="F111" s="20"/>
      <c r="G111" s="22" t="str">
        <f aca="false">IFERROR(F111/E111,"")</f>
        <v/>
      </c>
      <c r="H111" s="20"/>
      <c r="I111" s="20"/>
      <c r="J111" s="20"/>
      <c r="K111" s="20"/>
    </row>
    <row r="112" customFormat="false" ht="15" hidden="false" customHeight="false" outlineLevel="0" collapsed="false">
      <c r="A112" s="20"/>
      <c r="B112" s="20"/>
      <c r="C112" s="20"/>
      <c r="D112" s="20"/>
      <c r="E112" s="20"/>
      <c r="F112" s="20"/>
      <c r="G112" s="22" t="str">
        <f aca="false">IFERROR(F112/E112,"")</f>
        <v/>
      </c>
      <c r="H112" s="20"/>
      <c r="I112" s="20"/>
      <c r="J112" s="20"/>
      <c r="K112" s="20"/>
    </row>
    <row r="113" customFormat="false" ht="15" hidden="false" customHeight="false" outlineLevel="0" collapsed="false">
      <c r="A113" s="20"/>
      <c r="B113" s="20"/>
      <c r="C113" s="20"/>
      <c r="D113" s="20"/>
      <c r="E113" s="20"/>
      <c r="F113" s="20"/>
      <c r="G113" s="22" t="str">
        <f aca="false">IFERROR(F113/E113,"")</f>
        <v/>
      </c>
      <c r="H113" s="20"/>
      <c r="I113" s="20"/>
      <c r="J113" s="20"/>
      <c r="K113" s="20"/>
    </row>
    <row r="114" customFormat="false" ht="15" hidden="false" customHeight="false" outlineLevel="0" collapsed="false">
      <c r="A114" s="20"/>
      <c r="B114" s="20"/>
      <c r="C114" s="20"/>
      <c r="D114" s="20"/>
      <c r="E114" s="20"/>
      <c r="F114" s="20"/>
      <c r="G114" s="22" t="str">
        <f aca="false">IFERROR(F114/E114,"")</f>
        <v/>
      </c>
      <c r="H114" s="20"/>
      <c r="I114" s="20"/>
      <c r="J114" s="20"/>
      <c r="K114" s="20"/>
    </row>
    <row r="115" customFormat="false" ht="15" hidden="false" customHeight="false" outlineLevel="0" collapsed="false">
      <c r="A115" s="20"/>
      <c r="B115" s="20"/>
      <c r="C115" s="20"/>
      <c r="D115" s="20"/>
      <c r="E115" s="20"/>
      <c r="F115" s="20"/>
      <c r="G115" s="22" t="str">
        <f aca="false">IFERROR(F115/E115,"")</f>
        <v/>
      </c>
      <c r="H115" s="20"/>
      <c r="I115" s="20"/>
      <c r="J115" s="20"/>
      <c r="K115" s="20"/>
    </row>
    <row r="116" customFormat="false" ht="15" hidden="false" customHeight="false" outlineLevel="0" collapsed="false">
      <c r="A116" s="20"/>
      <c r="B116" s="20"/>
      <c r="C116" s="20"/>
      <c r="D116" s="20"/>
      <c r="E116" s="20"/>
      <c r="F116" s="20"/>
      <c r="G116" s="22" t="str">
        <f aca="false">IFERROR(F116/E116,"")</f>
        <v/>
      </c>
      <c r="H116" s="20"/>
      <c r="I116" s="20"/>
      <c r="J116" s="20"/>
      <c r="K116" s="20"/>
    </row>
    <row r="117" customFormat="false" ht="15" hidden="false" customHeight="false" outlineLevel="0" collapsed="false">
      <c r="A117" s="20"/>
      <c r="B117" s="20"/>
      <c r="C117" s="20"/>
      <c r="D117" s="20"/>
      <c r="E117" s="20"/>
      <c r="F117" s="20"/>
      <c r="G117" s="22" t="str">
        <f aca="false">IFERROR(F117/E117,"")</f>
        <v/>
      </c>
      <c r="H117" s="20"/>
      <c r="I117" s="20"/>
      <c r="J117" s="20"/>
      <c r="K117" s="20"/>
    </row>
    <row r="118" customFormat="false" ht="15" hidden="false" customHeight="false" outlineLevel="0" collapsed="false">
      <c r="A118" s="20"/>
      <c r="B118" s="20"/>
      <c r="C118" s="20"/>
      <c r="D118" s="20"/>
      <c r="E118" s="20"/>
      <c r="F118" s="20"/>
      <c r="G118" s="22" t="str">
        <f aca="false">IFERROR(F118/E118,"")</f>
        <v/>
      </c>
      <c r="H118" s="20"/>
      <c r="I118" s="20"/>
      <c r="J118" s="20"/>
      <c r="K118" s="20"/>
    </row>
    <row r="119" customFormat="false" ht="15" hidden="false" customHeight="false" outlineLevel="0" collapsed="false">
      <c r="A119" s="20"/>
      <c r="B119" s="20"/>
      <c r="C119" s="20"/>
      <c r="D119" s="20"/>
      <c r="E119" s="20"/>
      <c r="F119" s="20"/>
      <c r="G119" s="22" t="str">
        <f aca="false">IFERROR(F119/E119,"")</f>
        <v/>
      </c>
      <c r="H119" s="20"/>
      <c r="I119" s="20"/>
      <c r="J119" s="20"/>
      <c r="K119" s="20"/>
    </row>
    <row r="120" customFormat="false" ht="15" hidden="false" customHeight="false" outlineLevel="0" collapsed="false">
      <c r="A120" s="20"/>
      <c r="B120" s="20"/>
      <c r="C120" s="20"/>
      <c r="D120" s="20"/>
      <c r="E120" s="20"/>
      <c r="F120" s="20"/>
      <c r="G120" s="22" t="str">
        <f aca="false">IFERROR(F120/E120,"")</f>
        <v/>
      </c>
      <c r="H120" s="20"/>
      <c r="I120" s="20"/>
      <c r="J120" s="20"/>
      <c r="K120" s="20"/>
    </row>
    <row r="121" customFormat="false" ht="15" hidden="false" customHeight="false" outlineLevel="0" collapsed="false">
      <c r="A121" s="20"/>
      <c r="B121" s="20"/>
      <c r="C121" s="20"/>
      <c r="D121" s="20"/>
      <c r="E121" s="20"/>
      <c r="F121" s="20"/>
      <c r="G121" s="22" t="str">
        <f aca="false">IFERROR(F121/E121,"")</f>
        <v/>
      </c>
      <c r="H121" s="20"/>
      <c r="I121" s="20"/>
      <c r="J121" s="20"/>
      <c r="K121" s="20"/>
    </row>
    <row r="122" customFormat="false" ht="15" hidden="false" customHeight="false" outlineLevel="0" collapsed="false">
      <c r="A122" s="20"/>
      <c r="B122" s="20"/>
      <c r="C122" s="20"/>
      <c r="D122" s="20"/>
      <c r="E122" s="20"/>
      <c r="F122" s="20"/>
      <c r="G122" s="22" t="str">
        <f aca="false">IFERROR(F122/E122,"")</f>
        <v/>
      </c>
      <c r="H122" s="20"/>
      <c r="I122" s="20"/>
      <c r="J122" s="20"/>
      <c r="K122" s="20"/>
    </row>
    <row r="123" customFormat="false" ht="15" hidden="false" customHeight="false" outlineLevel="0" collapsed="false">
      <c r="A123" s="20"/>
      <c r="B123" s="20"/>
      <c r="C123" s="20"/>
      <c r="D123" s="20"/>
      <c r="E123" s="20"/>
      <c r="F123" s="20"/>
      <c r="G123" s="22" t="str">
        <f aca="false">IFERROR(F123/E123,"")</f>
        <v/>
      </c>
      <c r="H123" s="20"/>
      <c r="I123" s="20"/>
      <c r="J123" s="20"/>
      <c r="K123" s="20"/>
    </row>
    <row r="124" customFormat="false" ht="15" hidden="false" customHeight="false" outlineLevel="0" collapsed="false">
      <c r="A124" s="20"/>
      <c r="B124" s="20"/>
      <c r="C124" s="20"/>
      <c r="D124" s="20"/>
      <c r="E124" s="20"/>
      <c r="F124" s="20"/>
      <c r="G124" s="22" t="str">
        <f aca="false">IFERROR(F124/E124,"")</f>
        <v/>
      </c>
      <c r="H124" s="20"/>
      <c r="I124" s="20"/>
      <c r="J124" s="20"/>
      <c r="K124" s="20"/>
    </row>
    <row r="125" customFormat="false" ht="15" hidden="false" customHeight="false" outlineLevel="0" collapsed="false">
      <c r="A125" s="20"/>
      <c r="B125" s="20"/>
      <c r="C125" s="20"/>
      <c r="D125" s="20"/>
      <c r="E125" s="20"/>
      <c r="F125" s="20"/>
      <c r="G125" s="22" t="str">
        <f aca="false">IFERROR(F125/E125,"")</f>
        <v/>
      </c>
      <c r="H125" s="20"/>
      <c r="I125" s="20"/>
      <c r="J125" s="20"/>
      <c r="K125" s="20"/>
    </row>
    <row r="126" customFormat="false" ht="15" hidden="false" customHeight="false" outlineLevel="0" collapsed="false">
      <c r="A126" s="20"/>
      <c r="B126" s="20"/>
      <c r="C126" s="20"/>
      <c r="D126" s="20"/>
      <c r="E126" s="20"/>
      <c r="F126" s="20"/>
      <c r="G126" s="22" t="str">
        <f aca="false">IFERROR(F126/E126,"")</f>
        <v/>
      </c>
      <c r="H126" s="20"/>
      <c r="I126" s="20"/>
      <c r="J126" s="20"/>
      <c r="K126" s="20"/>
    </row>
    <row r="127" customFormat="false" ht="15" hidden="false" customHeight="false" outlineLevel="0" collapsed="false">
      <c r="A127" s="20"/>
      <c r="B127" s="20"/>
      <c r="C127" s="20"/>
      <c r="D127" s="20"/>
      <c r="E127" s="20"/>
      <c r="F127" s="20"/>
      <c r="G127" s="22" t="str">
        <f aca="false">IFERROR(F127/E127,"")</f>
        <v/>
      </c>
      <c r="H127" s="20"/>
      <c r="I127" s="20"/>
      <c r="J127" s="20"/>
      <c r="K127" s="20"/>
    </row>
    <row r="128" customFormat="false" ht="15" hidden="false" customHeight="false" outlineLevel="0" collapsed="false">
      <c r="A128" s="20"/>
      <c r="B128" s="20"/>
      <c r="C128" s="20"/>
      <c r="D128" s="20"/>
      <c r="E128" s="20"/>
      <c r="F128" s="20"/>
      <c r="G128" s="22" t="str">
        <f aca="false">IFERROR(F128/E128,"")</f>
        <v/>
      </c>
      <c r="H128" s="20"/>
      <c r="I128" s="20"/>
      <c r="J128" s="20"/>
      <c r="K128" s="20"/>
    </row>
    <row r="129" customFormat="false" ht="15" hidden="false" customHeight="false" outlineLevel="0" collapsed="false">
      <c r="A129" s="20"/>
      <c r="B129" s="20"/>
      <c r="C129" s="20"/>
      <c r="D129" s="20"/>
      <c r="E129" s="20"/>
      <c r="F129" s="20"/>
      <c r="G129" s="22" t="str">
        <f aca="false">IFERROR(F129/E129,"")</f>
        <v/>
      </c>
      <c r="H129" s="20"/>
      <c r="I129" s="20"/>
      <c r="J129" s="20"/>
      <c r="K129" s="20"/>
    </row>
    <row r="130" customFormat="false" ht="15" hidden="false" customHeight="false" outlineLevel="0" collapsed="false">
      <c r="A130" s="20"/>
      <c r="B130" s="20"/>
      <c r="C130" s="20"/>
      <c r="D130" s="20"/>
      <c r="E130" s="20"/>
      <c r="F130" s="20"/>
      <c r="G130" s="22" t="str">
        <f aca="false">IFERROR(F130/E130,"")</f>
        <v/>
      </c>
      <c r="H130" s="20"/>
      <c r="I130" s="20"/>
      <c r="J130" s="20"/>
      <c r="K130" s="20"/>
    </row>
    <row r="131" customFormat="false" ht="15" hidden="false" customHeight="false" outlineLevel="0" collapsed="false">
      <c r="A131" s="20"/>
      <c r="B131" s="20"/>
      <c r="C131" s="20"/>
      <c r="D131" s="20"/>
      <c r="E131" s="20"/>
      <c r="F131" s="20"/>
      <c r="G131" s="22" t="str">
        <f aca="false">IFERROR(F131/E131,"")</f>
        <v/>
      </c>
      <c r="H131" s="20"/>
      <c r="I131" s="20"/>
      <c r="J131" s="20"/>
      <c r="K131" s="20"/>
    </row>
    <row r="132" customFormat="false" ht="15" hidden="false" customHeight="false" outlineLevel="0" collapsed="false">
      <c r="A132" s="20"/>
      <c r="B132" s="20"/>
      <c r="C132" s="20"/>
      <c r="D132" s="20"/>
      <c r="E132" s="20"/>
      <c r="F132" s="20"/>
      <c r="G132" s="22" t="str">
        <f aca="false">IFERROR(F132/E132,"")</f>
        <v/>
      </c>
      <c r="H132" s="20"/>
      <c r="I132" s="20"/>
      <c r="J132" s="20"/>
      <c r="K132" s="20"/>
    </row>
    <row r="133" customFormat="false" ht="15" hidden="false" customHeight="false" outlineLevel="0" collapsed="false">
      <c r="A133" s="20"/>
      <c r="B133" s="20"/>
      <c r="C133" s="20"/>
      <c r="D133" s="20"/>
      <c r="E133" s="20"/>
      <c r="F133" s="20"/>
      <c r="G133" s="22" t="str">
        <f aca="false">IFERROR(F133/E133,"")</f>
        <v/>
      </c>
      <c r="H133" s="20"/>
      <c r="I133" s="20"/>
      <c r="J133" s="20"/>
      <c r="K133" s="20"/>
    </row>
    <row r="134" customFormat="false" ht="15" hidden="false" customHeight="false" outlineLevel="0" collapsed="false">
      <c r="A134" s="20"/>
      <c r="B134" s="20"/>
      <c r="C134" s="20"/>
      <c r="D134" s="20"/>
      <c r="E134" s="20"/>
      <c r="F134" s="20"/>
      <c r="G134" s="22" t="str">
        <f aca="false">IFERROR(F134/E134,"")</f>
        <v/>
      </c>
      <c r="H134" s="20"/>
      <c r="I134" s="20"/>
      <c r="J134" s="20"/>
      <c r="K134" s="20"/>
    </row>
    <row r="135" customFormat="false" ht="15" hidden="false" customHeight="false" outlineLevel="0" collapsed="false">
      <c r="A135" s="20"/>
      <c r="B135" s="20"/>
      <c r="C135" s="20"/>
      <c r="D135" s="20"/>
      <c r="E135" s="20"/>
      <c r="F135" s="20"/>
      <c r="G135" s="22" t="str">
        <f aca="false">IFERROR(F135/E135,"")</f>
        <v/>
      </c>
      <c r="H135" s="20"/>
      <c r="I135" s="20"/>
      <c r="J135" s="20"/>
      <c r="K135" s="20"/>
    </row>
    <row r="136" customFormat="false" ht="15" hidden="false" customHeight="false" outlineLevel="0" collapsed="false">
      <c r="A136" s="20"/>
      <c r="B136" s="20"/>
      <c r="C136" s="20"/>
      <c r="D136" s="20"/>
      <c r="E136" s="20"/>
      <c r="F136" s="20"/>
      <c r="G136" s="22" t="str">
        <f aca="false">IFERROR(F136/E136,"")</f>
        <v/>
      </c>
      <c r="H136" s="20"/>
      <c r="I136" s="20"/>
      <c r="J136" s="20"/>
      <c r="K136" s="20"/>
    </row>
    <row r="137" customFormat="false" ht="15" hidden="false" customHeight="false" outlineLevel="0" collapsed="false">
      <c r="A137" s="20"/>
      <c r="B137" s="20"/>
      <c r="C137" s="20"/>
      <c r="D137" s="20"/>
      <c r="E137" s="20"/>
      <c r="F137" s="20"/>
      <c r="G137" s="22" t="str">
        <f aca="false">IFERROR(F137/E137,"")</f>
        <v/>
      </c>
      <c r="H137" s="20"/>
      <c r="I137" s="20"/>
      <c r="J137" s="20"/>
      <c r="K137" s="20"/>
    </row>
    <row r="138" customFormat="false" ht="15" hidden="false" customHeight="false" outlineLevel="0" collapsed="false">
      <c r="A138" s="20"/>
      <c r="B138" s="20"/>
      <c r="C138" s="20"/>
      <c r="D138" s="20"/>
      <c r="E138" s="20"/>
      <c r="F138" s="20"/>
      <c r="G138" s="22" t="str">
        <f aca="false">IFERROR(F138/E138,"")</f>
        <v/>
      </c>
      <c r="H138" s="20"/>
      <c r="I138" s="20"/>
      <c r="J138" s="20"/>
      <c r="K138" s="20"/>
    </row>
    <row r="139" customFormat="false" ht="15" hidden="false" customHeight="false" outlineLevel="0" collapsed="false">
      <c r="A139" s="20"/>
      <c r="B139" s="20"/>
      <c r="C139" s="20"/>
      <c r="D139" s="20"/>
      <c r="E139" s="20"/>
      <c r="F139" s="20"/>
      <c r="G139" s="22" t="str">
        <f aca="false">IFERROR(F139/E139,"")</f>
        <v/>
      </c>
      <c r="H139" s="20"/>
      <c r="I139" s="20"/>
      <c r="J139" s="20"/>
      <c r="K139" s="20"/>
    </row>
    <row r="140" customFormat="false" ht="15" hidden="false" customHeight="false" outlineLevel="0" collapsed="false">
      <c r="A140" s="20"/>
      <c r="B140" s="20"/>
      <c r="C140" s="20"/>
      <c r="D140" s="20"/>
      <c r="E140" s="20"/>
      <c r="F140" s="20"/>
      <c r="G140" s="22" t="str">
        <f aca="false">IFERROR(F140/E140,"")</f>
        <v/>
      </c>
      <c r="H140" s="20"/>
      <c r="I140" s="20"/>
      <c r="J140" s="20"/>
      <c r="K140" s="20"/>
    </row>
    <row r="141" customFormat="false" ht="15" hidden="false" customHeight="false" outlineLevel="0" collapsed="false">
      <c r="A141" s="20"/>
      <c r="B141" s="20"/>
      <c r="C141" s="20"/>
      <c r="D141" s="20"/>
      <c r="E141" s="20"/>
      <c r="F141" s="20"/>
      <c r="G141" s="22" t="str">
        <f aca="false">IFERROR(F141/E141,"")</f>
        <v/>
      </c>
      <c r="H141" s="20"/>
      <c r="I141" s="20"/>
      <c r="J141" s="20"/>
      <c r="K141" s="20"/>
    </row>
    <row r="142" customFormat="false" ht="15" hidden="false" customHeight="false" outlineLevel="0" collapsed="false">
      <c r="A142" s="20"/>
      <c r="B142" s="20"/>
      <c r="C142" s="20"/>
      <c r="D142" s="20"/>
      <c r="E142" s="20"/>
      <c r="F142" s="20"/>
      <c r="G142" s="22" t="str">
        <f aca="false">IFERROR(F142/E142,"")</f>
        <v/>
      </c>
      <c r="H142" s="20"/>
      <c r="I142" s="20"/>
      <c r="J142" s="20"/>
      <c r="K142" s="20"/>
    </row>
    <row r="143" customFormat="false" ht="15" hidden="false" customHeight="false" outlineLevel="0" collapsed="false">
      <c r="A143" s="20"/>
      <c r="B143" s="20"/>
      <c r="C143" s="20"/>
      <c r="D143" s="20"/>
      <c r="E143" s="20"/>
      <c r="F143" s="20"/>
      <c r="G143" s="22" t="str">
        <f aca="false">IFERROR(F143/E143,"")</f>
        <v/>
      </c>
      <c r="H143" s="20"/>
      <c r="I143" s="20"/>
      <c r="J143" s="20"/>
      <c r="K143" s="20"/>
    </row>
    <row r="144" customFormat="false" ht="15" hidden="false" customHeight="false" outlineLevel="0" collapsed="false">
      <c r="A144" s="20"/>
      <c r="B144" s="20"/>
      <c r="C144" s="20"/>
      <c r="D144" s="20"/>
      <c r="E144" s="20"/>
      <c r="F144" s="20"/>
      <c r="G144" s="22" t="str">
        <f aca="false">IFERROR(F144/E144,"")</f>
        <v/>
      </c>
      <c r="H144" s="20"/>
      <c r="I144" s="20"/>
      <c r="J144" s="20"/>
      <c r="K144" s="20"/>
    </row>
    <row r="145" customFormat="false" ht="15" hidden="false" customHeight="false" outlineLevel="0" collapsed="false">
      <c r="A145" s="20"/>
      <c r="B145" s="20"/>
      <c r="C145" s="20"/>
      <c r="D145" s="20"/>
      <c r="E145" s="20"/>
      <c r="F145" s="20"/>
      <c r="G145" s="22" t="str">
        <f aca="false">IFERROR(F145/E145,"")</f>
        <v/>
      </c>
      <c r="H145" s="20"/>
      <c r="I145" s="20"/>
      <c r="J145" s="20"/>
      <c r="K145" s="20"/>
    </row>
    <row r="146" customFormat="false" ht="15" hidden="false" customHeight="false" outlineLevel="0" collapsed="false">
      <c r="A146" s="20"/>
      <c r="B146" s="20"/>
      <c r="C146" s="20"/>
      <c r="D146" s="20"/>
      <c r="E146" s="20"/>
      <c r="F146" s="20"/>
      <c r="G146" s="22" t="str">
        <f aca="false">IFERROR(F146/E146,"")</f>
        <v/>
      </c>
      <c r="H146" s="20"/>
      <c r="I146" s="20"/>
      <c r="J146" s="20"/>
      <c r="K146" s="20"/>
    </row>
    <row r="147" customFormat="false" ht="15" hidden="false" customHeight="false" outlineLevel="0" collapsed="false">
      <c r="A147" s="20"/>
      <c r="B147" s="20"/>
      <c r="C147" s="20"/>
      <c r="D147" s="20"/>
      <c r="E147" s="20"/>
      <c r="F147" s="20"/>
      <c r="G147" s="22" t="str">
        <f aca="false">IFERROR(F147/E147,"")</f>
        <v/>
      </c>
      <c r="H147" s="20"/>
      <c r="I147" s="20"/>
      <c r="J147" s="20"/>
      <c r="K147" s="20"/>
    </row>
    <row r="148" customFormat="false" ht="15" hidden="false" customHeight="false" outlineLevel="0" collapsed="false">
      <c r="A148" s="20"/>
      <c r="B148" s="20"/>
      <c r="C148" s="20"/>
      <c r="D148" s="20"/>
      <c r="E148" s="20"/>
      <c r="F148" s="20"/>
      <c r="G148" s="22" t="str">
        <f aca="false">IFERROR(F148/E148,"")</f>
        <v/>
      </c>
      <c r="H148" s="20"/>
      <c r="I148" s="20"/>
      <c r="J148" s="20"/>
      <c r="K148" s="20"/>
    </row>
    <row r="149" customFormat="false" ht="15" hidden="false" customHeight="false" outlineLevel="0" collapsed="false">
      <c r="A149" s="20"/>
      <c r="B149" s="20"/>
      <c r="C149" s="20"/>
      <c r="D149" s="20"/>
      <c r="E149" s="20"/>
      <c r="F149" s="20"/>
      <c r="G149" s="22" t="str">
        <f aca="false">IFERROR(F149/E149,"")</f>
        <v/>
      </c>
      <c r="H149" s="20"/>
      <c r="I149" s="20"/>
      <c r="J149" s="20"/>
      <c r="K149" s="20"/>
    </row>
    <row r="150" customFormat="false" ht="15" hidden="false" customHeight="false" outlineLevel="0" collapsed="false">
      <c r="A150" s="20"/>
      <c r="B150" s="20"/>
      <c r="C150" s="20"/>
      <c r="D150" s="20"/>
      <c r="E150" s="20"/>
      <c r="F150" s="20"/>
      <c r="G150" s="22" t="str">
        <f aca="false">IFERROR(F150/E150,"")</f>
        <v/>
      </c>
      <c r="H150" s="20"/>
      <c r="I150" s="20"/>
      <c r="J150" s="20"/>
      <c r="K150" s="20"/>
    </row>
    <row r="151" customFormat="false" ht="15" hidden="false" customHeight="false" outlineLevel="0" collapsed="false">
      <c r="A151" s="20"/>
      <c r="B151" s="20"/>
      <c r="C151" s="20"/>
      <c r="D151" s="20"/>
      <c r="E151" s="20"/>
      <c r="F151" s="20"/>
      <c r="G151" s="22" t="str">
        <f aca="false">IFERROR(F151/E151,"")</f>
        <v/>
      </c>
      <c r="H151" s="20"/>
      <c r="I151" s="20"/>
      <c r="J151" s="20"/>
      <c r="K151" s="20"/>
    </row>
    <row r="152" customFormat="false" ht="15" hidden="false" customHeight="false" outlineLevel="0" collapsed="false">
      <c r="A152" s="20"/>
      <c r="B152" s="20"/>
      <c r="C152" s="20"/>
      <c r="D152" s="20"/>
      <c r="E152" s="20"/>
      <c r="F152" s="20"/>
      <c r="G152" s="22" t="str">
        <f aca="false">IFERROR(F152/E152,"")</f>
        <v/>
      </c>
      <c r="H152" s="20"/>
      <c r="I152" s="20"/>
      <c r="J152" s="20"/>
      <c r="K152" s="20"/>
    </row>
    <row r="153" customFormat="false" ht="15" hidden="false" customHeight="false" outlineLevel="0" collapsed="false">
      <c r="A153" s="20"/>
      <c r="B153" s="20"/>
      <c r="C153" s="20"/>
      <c r="D153" s="20"/>
      <c r="E153" s="20"/>
      <c r="F153" s="20"/>
      <c r="G153" s="22" t="str">
        <f aca="false">IFERROR(F153/E153,"")</f>
        <v/>
      </c>
      <c r="H153" s="20"/>
      <c r="I153" s="20"/>
      <c r="J153" s="20"/>
      <c r="K153" s="20"/>
    </row>
    <row r="154" customFormat="false" ht="15" hidden="false" customHeight="false" outlineLevel="0" collapsed="false">
      <c r="A154" s="20"/>
      <c r="B154" s="20"/>
      <c r="C154" s="20"/>
      <c r="D154" s="20"/>
      <c r="E154" s="20"/>
      <c r="F154" s="20"/>
      <c r="G154" s="22" t="str">
        <f aca="false">IFERROR(F154/E154,"")</f>
        <v/>
      </c>
      <c r="H154" s="20"/>
      <c r="I154" s="20"/>
      <c r="J154" s="20"/>
      <c r="K154" s="20"/>
    </row>
    <row r="155" customFormat="false" ht="15" hidden="false" customHeight="false" outlineLevel="0" collapsed="false">
      <c r="A155" s="20"/>
      <c r="B155" s="20"/>
      <c r="C155" s="20"/>
      <c r="D155" s="20"/>
      <c r="E155" s="20"/>
      <c r="F155" s="20"/>
      <c r="G155" s="22" t="str">
        <f aca="false">IFERROR(F155/E155,"")</f>
        <v/>
      </c>
      <c r="H155" s="20"/>
      <c r="I155" s="20"/>
      <c r="J155" s="20"/>
      <c r="K155" s="20"/>
    </row>
    <row r="156" customFormat="false" ht="15" hidden="false" customHeight="false" outlineLevel="0" collapsed="false">
      <c r="A156" s="20"/>
      <c r="B156" s="20"/>
      <c r="C156" s="20"/>
      <c r="D156" s="20"/>
      <c r="E156" s="20"/>
      <c r="F156" s="20"/>
      <c r="G156" s="22" t="str">
        <f aca="false">IFERROR(F156/E156,"")</f>
        <v/>
      </c>
      <c r="H156" s="20"/>
      <c r="I156" s="20"/>
      <c r="J156" s="20"/>
      <c r="K156" s="20"/>
    </row>
    <row r="157" customFormat="false" ht="15" hidden="false" customHeight="false" outlineLevel="0" collapsed="false">
      <c r="A157" s="20"/>
      <c r="B157" s="20"/>
      <c r="C157" s="20"/>
      <c r="D157" s="20"/>
      <c r="E157" s="20"/>
      <c r="F157" s="20"/>
      <c r="G157" s="22" t="str">
        <f aca="false">IFERROR(F157/E157,"")</f>
        <v/>
      </c>
      <c r="H157" s="20"/>
      <c r="I157" s="20"/>
      <c r="J157" s="20"/>
      <c r="K157" s="20"/>
    </row>
    <row r="158" customFormat="false" ht="15" hidden="false" customHeight="false" outlineLevel="0" collapsed="false">
      <c r="A158" s="20"/>
      <c r="B158" s="20"/>
      <c r="C158" s="20"/>
      <c r="D158" s="20"/>
      <c r="E158" s="20"/>
      <c r="F158" s="20"/>
      <c r="G158" s="22" t="str">
        <f aca="false">IFERROR(F158/E158,"")</f>
        <v/>
      </c>
      <c r="H158" s="20"/>
      <c r="I158" s="20"/>
      <c r="J158" s="20"/>
      <c r="K158" s="20"/>
    </row>
    <row r="159" customFormat="false" ht="15" hidden="false" customHeight="false" outlineLevel="0" collapsed="false">
      <c r="A159" s="20"/>
      <c r="B159" s="20"/>
      <c r="C159" s="20"/>
      <c r="D159" s="20"/>
      <c r="E159" s="20"/>
      <c r="F159" s="20"/>
      <c r="G159" s="22" t="str">
        <f aca="false">IFERROR(F159/E159,"")</f>
        <v/>
      </c>
      <c r="H159" s="20"/>
      <c r="I159" s="20"/>
      <c r="J159" s="20"/>
      <c r="K159" s="20"/>
    </row>
    <row r="160" customFormat="false" ht="15" hidden="false" customHeight="false" outlineLevel="0" collapsed="false">
      <c r="A160" s="20"/>
      <c r="B160" s="20"/>
      <c r="C160" s="20"/>
      <c r="D160" s="20"/>
      <c r="E160" s="20"/>
      <c r="F160" s="20"/>
      <c r="G160" s="22" t="str">
        <f aca="false">IFERROR(F160/E160,"")</f>
        <v/>
      </c>
      <c r="H160" s="20"/>
      <c r="I160" s="20"/>
      <c r="J160" s="20"/>
      <c r="K160" s="20"/>
    </row>
    <row r="161" customFormat="false" ht="15" hidden="false" customHeight="false" outlineLevel="0" collapsed="false">
      <c r="A161" s="20"/>
      <c r="B161" s="20"/>
      <c r="C161" s="20"/>
      <c r="D161" s="20"/>
      <c r="E161" s="20"/>
      <c r="F161" s="20"/>
      <c r="G161" s="22" t="str">
        <f aca="false">IFERROR(F161/E161,"")</f>
        <v/>
      </c>
      <c r="H161" s="20"/>
      <c r="I161" s="20"/>
      <c r="J161" s="20"/>
      <c r="K161" s="20"/>
    </row>
    <row r="162" customFormat="false" ht="15" hidden="false" customHeight="false" outlineLevel="0" collapsed="false">
      <c r="A162" s="20"/>
      <c r="B162" s="20"/>
      <c r="C162" s="20"/>
      <c r="D162" s="20"/>
      <c r="E162" s="20"/>
      <c r="F162" s="20"/>
      <c r="G162" s="22" t="str">
        <f aca="false">IFERROR(F162/E162,"")</f>
        <v/>
      </c>
      <c r="H162" s="20"/>
      <c r="I162" s="20"/>
      <c r="J162" s="20"/>
      <c r="K162" s="20"/>
    </row>
    <row r="163" customFormat="false" ht="15" hidden="false" customHeight="false" outlineLevel="0" collapsed="false">
      <c r="A163" s="20"/>
      <c r="B163" s="20"/>
      <c r="C163" s="20"/>
      <c r="D163" s="20"/>
      <c r="E163" s="20"/>
      <c r="F163" s="20"/>
      <c r="G163" s="22" t="str">
        <f aca="false">IFERROR(F163/E163,"")</f>
        <v/>
      </c>
      <c r="H163" s="20"/>
      <c r="I163" s="20"/>
      <c r="J163" s="20"/>
      <c r="K163" s="20"/>
    </row>
    <row r="164" customFormat="false" ht="15" hidden="false" customHeight="false" outlineLevel="0" collapsed="false">
      <c r="A164" s="20"/>
      <c r="B164" s="20"/>
      <c r="C164" s="20"/>
      <c r="D164" s="20"/>
      <c r="E164" s="20"/>
      <c r="F164" s="20"/>
      <c r="G164" s="22" t="str">
        <f aca="false">IFERROR(F164/E164,"")</f>
        <v/>
      </c>
      <c r="H164" s="20"/>
      <c r="I164" s="20"/>
      <c r="J164" s="20"/>
      <c r="K164" s="20"/>
    </row>
    <row r="165" customFormat="false" ht="15" hidden="false" customHeight="false" outlineLevel="0" collapsed="false">
      <c r="A165" s="20"/>
      <c r="B165" s="20"/>
      <c r="C165" s="20"/>
      <c r="D165" s="20"/>
      <c r="E165" s="20"/>
      <c r="F165" s="20"/>
      <c r="G165" s="22" t="str">
        <f aca="false">IFERROR(F165/E165,"")</f>
        <v/>
      </c>
      <c r="H165" s="20"/>
      <c r="I165" s="20"/>
      <c r="J165" s="20"/>
      <c r="K165" s="20"/>
    </row>
    <row r="166" customFormat="false" ht="15" hidden="false" customHeight="false" outlineLevel="0" collapsed="false">
      <c r="A166" s="20"/>
      <c r="B166" s="20"/>
      <c r="C166" s="20"/>
      <c r="D166" s="20"/>
      <c r="E166" s="20"/>
      <c r="F166" s="20"/>
      <c r="G166" s="22" t="str">
        <f aca="false">IFERROR(F166/E166,"")</f>
        <v/>
      </c>
      <c r="H166" s="20"/>
      <c r="I166" s="20"/>
      <c r="J166" s="20"/>
      <c r="K166" s="20"/>
    </row>
    <row r="167" customFormat="false" ht="15" hidden="false" customHeight="false" outlineLevel="0" collapsed="false">
      <c r="A167" s="20"/>
      <c r="B167" s="20"/>
      <c r="C167" s="20"/>
      <c r="D167" s="20"/>
      <c r="E167" s="20"/>
      <c r="F167" s="20"/>
      <c r="G167" s="22" t="str">
        <f aca="false">IFERROR(F167/E167,"")</f>
        <v/>
      </c>
      <c r="H167" s="20"/>
      <c r="I167" s="20"/>
      <c r="J167" s="20"/>
      <c r="K167" s="20"/>
    </row>
    <row r="168" customFormat="false" ht="15" hidden="false" customHeight="false" outlineLevel="0" collapsed="false">
      <c r="A168" s="20"/>
      <c r="B168" s="20"/>
      <c r="C168" s="20"/>
      <c r="D168" s="20"/>
      <c r="E168" s="20"/>
      <c r="F168" s="20"/>
      <c r="G168" s="22" t="str">
        <f aca="false">IFERROR(F168/E168,"")</f>
        <v/>
      </c>
      <c r="H168" s="20"/>
      <c r="I168" s="20"/>
      <c r="J168" s="20"/>
      <c r="K168" s="20"/>
    </row>
    <row r="169" customFormat="false" ht="15" hidden="false" customHeight="false" outlineLevel="0" collapsed="false">
      <c r="A169" s="20"/>
      <c r="B169" s="20"/>
      <c r="C169" s="20"/>
      <c r="D169" s="20"/>
      <c r="E169" s="20"/>
      <c r="F169" s="20"/>
      <c r="G169" s="22" t="str">
        <f aca="false">IFERROR(F169/E169,"")</f>
        <v/>
      </c>
      <c r="H169" s="20"/>
      <c r="I169" s="20"/>
      <c r="J169" s="20"/>
      <c r="K169" s="20"/>
    </row>
    <row r="170" customFormat="false" ht="15" hidden="false" customHeight="false" outlineLevel="0" collapsed="false">
      <c r="A170" s="20"/>
      <c r="B170" s="20"/>
      <c r="C170" s="20"/>
      <c r="D170" s="20"/>
      <c r="E170" s="20"/>
      <c r="F170" s="20"/>
      <c r="G170" s="22" t="str">
        <f aca="false">IFERROR(F170/E170,"")</f>
        <v/>
      </c>
      <c r="H170" s="20"/>
      <c r="I170" s="20"/>
      <c r="J170" s="20"/>
      <c r="K170" s="20"/>
    </row>
    <row r="171" customFormat="false" ht="15" hidden="false" customHeight="false" outlineLevel="0" collapsed="false">
      <c r="A171" s="20"/>
      <c r="B171" s="20"/>
      <c r="C171" s="20"/>
      <c r="D171" s="20"/>
      <c r="E171" s="20"/>
      <c r="F171" s="20"/>
      <c r="G171" s="22" t="str">
        <f aca="false">IFERROR(F171/E171,"")</f>
        <v/>
      </c>
      <c r="H171" s="20"/>
      <c r="I171" s="20"/>
      <c r="J171" s="20"/>
      <c r="K171" s="20"/>
    </row>
    <row r="172" customFormat="false" ht="15" hidden="false" customHeight="false" outlineLevel="0" collapsed="false">
      <c r="A172" s="20"/>
      <c r="B172" s="20"/>
      <c r="C172" s="20"/>
      <c r="D172" s="20"/>
      <c r="E172" s="20"/>
      <c r="F172" s="20"/>
      <c r="G172" s="22" t="str">
        <f aca="false">IFERROR(F172/E172,"")</f>
        <v/>
      </c>
      <c r="H172" s="20"/>
      <c r="I172" s="20"/>
      <c r="J172" s="20"/>
      <c r="K172" s="20"/>
    </row>
    <row r="173" customFormat="false" ht="15" hidden="false" customHeight="false" outlineLevel="0" collapsed="false">
      <c r="A173" s="20"/>
      <c r="B173" s="20"/>
      <c r="C173" s="20"/>
      <c r="D173" s="20"/>
      <c r="E173" s="20"/>
      <c r="F173" s="20"/>
      <c r="G173" s="22" t="str">
        <f aca="false">IFERROR(F173/E173,"")</f>
        <v/>
      </c>
      <c r="H173" s="20"/>
      <c r="I173" s="20"/>
      <c r="J173" s="20"/>
      <c r="K173" s="20"/>
    </row>
    <row r="174" customFormat="false" ht="15" hidden="false" customHeight="false" outlineLevel="0" collapsed="false">
      <c r="A174" s="20"/>
      <c r="B174" s="20"/>
      <c r="C174" s="20"/>
      <c r="D174" s="20"/>
      <c r="E174" s="20"/>
      <c r="F174" s="20"/>
      <c r="G174" s="22" t="str">
        <f aca="false">IFERROR(F174/E174,"")</f>
        <v/>
      </c>
      <c r="H174" s="20"/>
      <c r="I174" s="20"/>
      <c r="J174" s="20"/>
      <c r="K174" s="20"/>
    </row>
    <row r="175" customFormat="false" ht="15" hidden="false" customHeight="false" outlineLevel="0" collapsed="false">
      <c r="A175" s="20"/>
      <c r="B175" s="20"/>
      <c r="C175" s="20"/>
      <c r="D175" s="20"/>
      <c r="E175" s="20"/>
      <c r="F175" s="20"/>
      <c r="G175" s="22" t="str">
        <f aca="false">IFERROR(F175/E175,"")</f>
        <v/>
      </c>
      <c r="H175" s="20"/>
      <c r="I175" s="20"/>
      <c r="J175" s="20"/>
      <c r="K175" s="20"/>
    </row>
    <row r="176" customFormat="false" ht="15" hidden="false" customHeight="false" outlineLevel="0" collapsed="false">
      <c r="A176" s="20"/>
      <c r="B176" s="20"/>
      <c r="C176" s="20"/>
      <c r="D176" s="20"/>
      <c r="E176" s="20"/>
      <c r="F176" s="20"/>
      <c r="G176" s="22" t="str">
        <f aca="false">IFERROR(F176/E176,"")</f>
        <v/>
      </c>
      <c r="H176" s="20"/>
      <c r="I176" s="20"/>
      <c r="J176" s="20"/>
      <c r="K176" s="20"/>
    </row>
    <row r="177" customFormat="false" ht="15" hidden="false" customHeight="false" outlineLevel="0" collapsed="false">
      <c r="A177" s="20"/>
      <c r="B177" s="20"/>
      <c r="C177" s="20"/>
      <c r="D177" s="20"/>
      <c r="E177" s="20"/>
      <c r="F177" s="20"/>
      <c r="G177" s="22" t="str">
        <f aca="false">IFERROR(F177/E177,"")</f>
        <v/>
      </c>
      <c r="H177" s="20"/>
      <c r="I177" s="20"/>
      <c r="J177" s="20"/>
      <c r="K177" s="20"/>
    </row>
    <row r="178" customFormat="false" ht="15" hidden="false" customHeight="false" outlineLevel="0" collapsed="false">
      <c r="A178" s="20"/>
      <c r="B178" s="20"/>
      <c r="C178" s="20"/>
      <c r="D178" s="20"/>
      <c r="E178" s="20"/>
      <c r="F178" s="20"/>
      <c r="G178" s="22" t="str">
        <f aca="false">IFERROR(F178/E178,"")</f>
        <v/>
      </c>
      <c r="H178" s="20"/>
      <c r="I178" s="20"/>
      <c r="J178" s="20"/>
      <c r="K178" s="20"/>
    </row>
    <row r="179" customFormat="false" ht="15" hidden="false" customHeight="false" outlineLevel="0" collapsed="false">
      <c r="A179" s="20"/>
      <c r="B179" s="20"/>
      <c r="C179" s="20"/>
      <c r="D179" s="20"/>
      <c r="E179" s="20"/>
      <c r="F179" s="20"/>
      <c r="G179" s="22" t="str">
        <f aca="false">IFERROR(F179/E179,"")</f>
        <v/>
      </c>
      <c r="H179" s="20"/>
      <c r="I179" s="20"/>
      <c r="J179" s="20"/>
      <c r="K179" s="20"/>
    </row>
    <row r="180" customFormat="false" ht="15" hidden="false" customHeight="false" outlineLevel="0" collapsed="false">
      <c r="A180" s="20"/>
      <c r="B180" s="20"/>
      <c r="C180" s="20"/>
      <c r="D180" s="20"/>
      <c r="E180" s="20"/>
      <c r="F180" s="20"/>
      <c r="G180" s="22" t="str">
        <f aca="false">IFERROR(F180/E180,"")</f>
        <v/>
      </c>
      <c r="H180" s="20"/>
      <c r="I180" s="20"/>
      <c r="J180" s="20"/>
      <c r="K180" s="20"/>
    </row>
    <row r="181" customFormat="false" ht="15" hidden="false" customHeight="false" outlineLevel="0" collapsed="false">
      <c r="A181" s="20"/>
      <c r="B181" s="20"/>
      <c r="C181" s="20"/>
      <c r="D181" s="20"/>
      <c r="E181" s="20"/>
      <c r="F181" s="20"/>
      <c r="G181" s="22" t="str">
        <f aca="false">IFERROR(F181/E181,"")</f>
        <v/>
      </c>
      <c r="H181" s="20"/>
      <c r="I181" s="20"/>
      <c r="J181" s="20"/>
      <c r="K181" s="20"/>
    </row>
    <row r="182" customFormat="false" ht="15" hidden="false" customHeight="false" outlineLevel="0" collapsed="false">
      <c r="A182" s="20"/>
      <c r="B182" s="20"/>
      <c r="C182" s="20"/>
      <c r="D182" s="20"/>
      <c r="E182" s="20"/>
      <c r="F182" s="20"/>
      <c r="G182" s="22" t="str">
        <f aca="false">IFERROR(F182/E182,"")</f>
        <v/>
      </c>
      <c r="H182" s="20"/>
      <c r="I182" s="20"/>
      <c r="J182" s="20"/>
      <c r="K182" s="20"/>
    </row>
    <row r="183" customFormat="false" ht="15" hidden="false" customHeight="false" outlineLevel="0" collapsed="false">
      <c r="A183" s="20"/>
      <c r="B183" s="20"/>
      <c r="C183" s="20"/>
      <c r="D183" s="20"/>
      <c r="E183" s="20"/>
      <c r="F183" s="20"/>
      <c r="G183" s="22" t="str">
        <f aca="false">IFERROR(F183/E183,"")</f>
        <v/>
      </c>
      <c r="H183" s="20"/>
      <c r="I183" s="20"/>
      <c r="J183" s="20"/>
      <c r="K183" s="20"/>
    </row>
    <row r="184" customFormat="false" ht="15" hidden="false" customHeight="false" outlineLevel="0" collapsed="false">
      <c r="A184" s="20"/>
      <c r="B184" s="20"/>
      <c r="C184" s="20"/>
      <c r="D184" s="20"/>
      <c r="E184" s="20"/>
      <c r="F184" s="20"/>
      <c r="G184" s="22" t="str">
        <f aca="false">IFERROR(F184/E184,"")</f>
        <v/>
      </c>
      <c r="H184" s="20"/>
      <c r="I184" s="20"/>
      <c r="J184" s="20"/>
      <c r="K184" s="20"/>
    </row>
    <row r="185" customFormat="false" ht="15" hidden="false" customHeight="false" outlineLevel="0" collapsed="false">
      <c r="A185" s="20"/>
      <c r="B185" s="20"/>
      <c r="C185" s="20"/>
      <c r="D185" s="20"/>
      <c r="E185" s="20"/>
      <c r="F185" s="20"/>
      <c r="G185" s="22" t="str">
        <f aca="false">IFERROR(F185/E185,"")</f>
        <v/>
      </c>
      <c r="H185" s="20"/>
      <c r="I185" s="20"/>
      <c r="J185" s="20"/>
      <c r="K185" s="20"/>
    </row>
    <row r="186" customFormat="false" ht="15" hidden="false" customHeight="false" outlineLevel="0" collapsed="false">
      <c r="A186" s="20"/>
      <c r="B186" s="20"/>
      <c r="C186" s="20"/>
      <c r="D186" s="20"/>
      <c r="E186" s="20"/>
      <c r="F186" s="20"/>
      <c r="G186" s="22" t="str">
        <f aca="false">IFERROR(F186/E186,"")</f>
        <v/>
      </c>
      <c r="H186" s="20"/>
      <c r="I186" s="20"/>
      <c r="J186" s="20"/>
      <c r="K186" s="20"/>
    </row>
    <row r="187" customFormat="false" ht="15" hidden="false" customHeight="false" outlineLevel="0" collapsed="false">
      <c r="A187" s="20"/>
      <c r="B187" s="20"/>
      <c r="C187" s="20"/>
      <c r="D187" s="20"/>
      <c r="E187" s="20"/>
      <c r="F187" s="20"/>
      <c r="G187" s="22" t="str">
        <f aca="false">IFERROR(F187/E187,"")</f>
        <v/>
      </c>
      <c r="H187" s="20"/>
      <c r="I187" s="20"/>
      <c r="J187" s="20"/>
      <c r="K187" s="20"/>
    </row>
    <row r="188" customFormat="false" ht="15" hidden="false" customHeight="false" outlineLevel="0" collapsed="false">
      <c r="A188" s="20"/>
      <c r="B188" s="20"/>
      <c r="C188" s="20"/>
      <c r="D188" s="20"/>
      <c r="E188" s="20"/>
      <c r="F188" s="20"/>
      <c r="G188" s="22" t="str">
        <f aca="false">IFERROR(F188/E188,"")</f>
        <v/>
      </c>
      <c r="H188" s="20"/>
      <c r="I188" s="20"/>
      <c r="J188" s="20"/>
      <c r="K188" s="20"/>
    </row>
    <row r="189" customFormat="false" ht="15" hidden="false" customHeight="false" outlineLevel="0" collapsed="false">
      <c r="A189" s="20"/>
      <c r="B189" s="20"/>
      <c r="C189" s="20"/>
      <c r="D189" s="20"/>
      <c r="E189" s="20"/>
      <c r="F189" s="20"/>
      <c r="G189" s="22" t="str">
        <f aca="false">IFERROR(F189/E189,"")</f>
        <v/>
      </c>
      <c r="H189" s="20"/>
      <c r="I189" s="20"/>
      <c r="J189" s="20"/>
      <c r="K189" s="20"/>
    </row>
    <row r="190" customFormat="false" ht="15" hidden="false" customHeight="false" outlineLevel="0" collapsed="false">
      <c r="A190" s="20"/>
      <c r="B190" s="20"/>
      <c r="C190" s="20"/>
      <c r="D190" s="20"/>
      <c r="E190" s="20"/>
      <c r="F190" s="20"/>
      <c r="G190" s="22" t="str">
        <f aca="false">IFERROR(F190/E190,"")</f>
        <v/>
      </c>
      <c r="H190" s="20"/>
      <c r="I190" s="20"/>
      <c r="J190" s="20"/>
      <c r="K190" s="20"/>
    </row>
    <row r="191" customFormat="false" ht="15" hidden="false" customHeight="false" outlineLevel="0" collapsed="false">
      <c r="A191" s="20"/>
      <c r="B191" s="20"/>
      <c r="C191" s="20"/>
      <c r="D191" s="20"/>
      <c r="E191" s="20"/>
      <c r="F191" s="20"/>
      <c r="G191" s="22" t="str">
        <f aca="false">IFERROR(F191/E191,"")</f>
        <v/>
      </c>
      <c r="H191" s="20"/>
      <c r="I191" s="20"/>
      <c r="J191" s="20"/>
      <c r="K191" s="20"/>
    </row>
    <row r="192" customFormat="false" ht="15" hidden="false" customHeight="false" outlineLevel="0" collapsed="false">
      <c r="A192" s="20"/>
      <c r="B192" s="20"/>
      <c r="C192" s="20"/>
      <c r="D192" s="20"/>
      <c r="E192" s="20"/>
      <c r="F192" s="20"/>
      <c r="G192" s="22" t="str">
        <f aca="false">IFERROR(F192/E192,"")</f>
        <v/>
      </c>
      <c r="H192" s="20"/>
      <c r="I192" s="20"/>
      <c r="J192" s="20"/>
      <c r="K192" s="20"/>
    </row>
    <row r="193" customFormat="false" ht="15" hidden="false" customHeight="false" outlineLevel="0" collapsed="false">
      <c r="A193" s="20"/>
      <c r="B193" s="20"/>
      <c r="C193" s="20"/>
      <c r="D193" s="20"/>
      <c r="E193" s="20"/>
      <c r="F193" s="20"/>
      <c r="G193" s="22" t="str">
        <f aca="false">IFERROR(F193/E193,"")</f>
        <v/>
      </c>
      <c r="H193" s="20"/>
      <c r="I193" s="20"/>
      <c r="J193" s="20"/>
      <c r="K193" s="20"/>
    </row>
    <row r="194" customFormat="false" ht="15" hidden="false" customHeight="false" outlineLevel="0" collapsed="false">
      <c r="A194" s="20"/>
      <c r="B194" s="20"/>
      <c r="C194" s="20"/>
      <c r="D194" s="20"/>
      <c r="E194" s="20"/>
      <c r="F194" s="20"/>
      <c r="G194" s="22" t="str">
        <f aca="false">IFERROR(F194/E194,"")</f>
        <v/>
      </c>
      <c r="H194" s="20"/>
      <c r="I194" s="20"/>
      <c r="J194" s="20"/>
      <c r="K194" s="20"/>
    </row>
    <row r="195" customFormat="false" ht="15" hidden="false" customHeight="false" outlineLevel="0" collapsed="false">
      <c r="A195" s="20"/>
      <c r="B195" s="20"/>
      <c r="C195" s="20"/>
      <c r="D195" s="20"/>
      <c r="E195" s="20"/>
      <c r="F195" s="20"/>
      <c r="G195" s="22" t="str">
        <f aca="false">IFERROR(F195/E195,"")</f>
        <v/>
      </c>
      <c r="H195" s="20"/>
      <c r="I195" s="20"/>
      <c r="J195" s="20"/>
      <c r="K195" s="20"/>
    </row>
    <row r="196" customFormat="false" ht="15" hidden="false" customHeight="false" outlineLevel="0" collapsed="false">
      <c r="A196" s="20"/>
      <c r="B196" s="20"/>
      <c r="C196" s="20"/>
      <c r="D196" s="20"/>
      <c r="E196" s="20"/>
      <c r="F196" s="20"/>
      <c r="G196" s="22" t="str">
        <f aca="false">IFERROR(F196/E196,"")</f>
        <v/>
      </c>
      <c r="H196" s="20"/>
      <c r="I196" s="20"/>
      <c r="J196" s="20"/>
      <c r="K196" s="20"/>
    </row>
    <row r="197" customFormat="false" ht="15" hidden="false" customHeight="false" outlineLevel="0" collapsed="false">
      <c r="A197" s="20"/>
      <c r="B197" s="20"/>
      <c r="C197" s="20"/>
      <c r="D197" s="20"/>
      <c r="E197" s="20"/>
      <c r="F197" s="20"/>
      <c r="G197" s="22" t="str">
        <f aca="false">IFERROR(F197/E197,"")</f>
        <v/>
      </c>
      <c r="H197" s="20"/>
      <c r="I197" s="20"/>
      <c r="J197" s="20"/>
      <c r="K197" s="20"/>
    </row>
    <row r="198" customFormat="false" ht="15" hidden="false" customHeight="false" outlineLevel="0" collapsed="false">
      <c r="A198" s="20"/>
      <c r="B198" s="20"/>
      <c r="C198" s="20"/>
      <c r="D198" s="20"/>
      <c r="E198" s="20"/>
      <c r="F198" s="20"/>
      <c r="G198" s="22" t="str">
        <f aca="false">IFERROR(F198/E198,"")</f>
        <v/>
      </c>
      <c r="H198" s="20"/>
      <c r="I198" s="20"/>
      <c r="J198" s="20"/>
      <c r="K198" s="20"/>
    </row>
    <row r="199" customFormat="false" ht="15" hidden="false" customHeight="false" outlineLevel="0" collapsed="false">
      <c r="A199" s="20"/>
      <c r="B199" s="20"/>
      <c r="C199" s="20"/>
      <c r="D199" s="20"/>
      <c r="E199" s="20"/>
      <c r="F199" s="20"/>
      <c r="G199" s="22" t="str">
        <f aca="false">IFERROR(F199/E199,"")</f>
        <v/>
      </c>
      <c r="H199" s="20"/>
      <c r="I199" s="20"/>
      <c r="J199" s="20"/>
      <c r="K199" s="20"/>
    </row>
    <row r="200" customFormat="false" ht="15" hidden="false" customHeight="false" outlineLevel="0" collapsed="false">
      <c r="A200" s="20"/>
      <c r="B200" s="20"/>
      <c r="C200" s="20"/>
      <c r="D200" s="20"/>
      <c r="E200" s="20"/>
      <c r="F200" s="20"/>
      <c r="G200" s="22" t="str">
        <f aca="false">IFERROR(F200/E200,"")</f>
        <v/>
      </c>
      <c r="H200" s="20"/>
      <c r="I200" s="20"/>
      <c r="J200" s="20"/>
      <c r="K200" s="20"/>
    </row>
    <row r="201" customFormat="false" ht="15" hidden="false" customHeight="false" outlineLevel="0" collapsed="false">
      <c r="A201" s="20"/>
      <c r="B201" s="20"/>
      <c r="C201" s="20"/>
      <c r="D201" s="20"/>
      <c r="E201" s="20"/>
      <c r="F201" s="20"/>
      <c r="G201" s="22" t="str">
        <f aca="false">IFERROR(F201/E201,"")</f>
        <v/>
      </c>
      <c r="H201" s="20"/>
      <c r="I201" s="20"/>
      <c r="J201" s="20"/>
      <c r="K201" s="20"/>
    </row>
    <row r="202" customFormat="false" ht="15" hidden="false" customHeight="false" outlineLevel="0" collapsed="false">
      <c r="A202" s="20"/>
      <c r="B202" s="20"/>
      <c r="C202" s="20"/>
      <c r="D202" s="20"/>
      <c r="E202" s="20"/>
      <c r="F202" s="20"/>
      <c r="G202" s="22" t="str">
        <f aca="false">IFERROR(F202/E202,"")</f>
        <v/>
      </c>
      <c r="H202" s="20"/>
      <c r="I202" s="20"/>
      <c r="J202" s="20"/>
      <c r="K202" s="20"/>
    </row>
    <row r="203" customFormat="false" ht="15" hidden="false" customHeight="false" outlineLevel="0" collapsed="false">
      <c r="A203" s="20"/>
      <c r="B203" s="20"/>
      <c r="C203" s="20"/>
      <c r="D203" s="20"/>
      <c r="E203" s="20"/>
      <c r="F203" s="20"/>
      <c r="G203" s="22" t="str">
        <f aca="false">IFERROR(F203/E203,"")</f>
        <v/>
      </c>
      <c r="H203" s="20"/>
      <c r="I203" s="20"/>
      <c r="J203" s="20"/>
      <c r="K203" s="20"/>
    </row>
    <row r="204" customFormat="false" ht="15" hidden="false" customHeight="false" outlineLevel="0" collapsed="false">
      <c r="A204" s="20"/>
      <c r="B204" s="20"/>
      <c r="C204" s="20"/>
      <c r="D204" s="20"/>
      <c r="E204" s="20"/>
      <c r="F204" s="20"/>
      <c r="G204" s="22" t="str">
        <f aca="false">IFERROR(F204/E204,"")</f>
        <v/>
      </c>
      <c r="H204" s="20"/>
      <c r="I204" s="20"/>
      <c r="J204" s="20"/>
      <c r="K204" s="20"/>
    </row>
  </sheetData>
  <autoFilter ref="A4:K20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8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8" min="6" style="0" width="12"/>
    <col collapsed="false" customWidth="true" hidden="false" outlineLevel="0" max="9" min="9" style="0" width="32"/>
    <col collapsed="false" customWidth="true" hidden="false" outlineLevel="0" max="11" min="10" style="0" width="14"/>
    <col collapsed="false" customWidth="true" hidden="false" outlineLevel="0" max="12" min="12" style="0" width="36"/>
    <col collapsed="false" customWidth="true" hidden="false" outlineLevel="0" max="13" min="13" style="0" width="30"/>
    <col collapsed="false" customWidth="true" hidden="false" outlineLevel="0" max="14" min="14" style="0" width="14"/>
  </cols>
  <sheetData>
    <row r="1" customFormat="false" ht="19.7" hidden="false" customHeight="false" outlineLevel="0" collapsed="false">
      <c r="A1" s="1" t="s">
        <v>530</v>
      </c>
    </row>
    <row r="2" customFormat="false" ht="15" hidden="false" customHeight="false" outlineLevel="0" collapsed="false">
      <c r="A2" s="2" t="s">
        <v>531</v>
      </c>
    </row>
    <row r="4" customFormat="false" ht="31.5" hidden="false" customHeight="true" outlineLevel="0" collapsed="false">
      <c r="A4" s="9" t="s">
        <v>111</v>
      </c>
      <c r="B4" s="9" t="s">
        <v>532</v>
      </c>
      <c r="C4" s="9" t="s">
        <v>512</v>
      </c>
      <c r="D4" s="9" t="s">
        <v>513</v>
      </c>
      <c r="E4" s="9" t="s">
        <v>80</v>
      </c>
      <c r="F4" s="9" t="s">
        <v>514</v>
      </c>
      <c r="G4" s="9" t="s">
        <v>533</v>
      </c>
      <c r="H4" s="9" t="s">
        <v>534</v>
      </c>
      <c r="I4" s="9" t="s">
        <v>535</v>
      </c>
      <c r="J4" s="9" t="s">
        <v>536</v>
      </c>
      <c r="K4" s="9" t="s">
        <v>537</v>
      </c>
      <c r="L4" s="9" t="s">
        <v>538</v>
      </c>
      <c r="M4" s="9" t="s">
        <v>136</v>
      </c>
      <c r="N4" s="27" t="s">
        <v>539</v>
      </c>
    </row>
    <row r="5" customFormat="false" ht="15" hidden="false" customHeight="false" outlineLevel="0" collapsed="false">
      <c r="A5" s="20" t="s">
        <v>284</v>
      </c>
      <c r="B5" s="20" t="n">
        <v>1</v>
      </c>
      <c r="C5" s="24"/>
      <c r="D5" s="24"/>
      <c r="E5" s="22" t="str">
        <f aca="false">IFERROR(D5/C5,"")</f>
        <v/>
      </c>
      <c r="F5" s="20"/>
      <c r="G5" s="20"/>
      <c r="H5" s="20"/>
      <c r="I5" s="20"/>
      <c r="J5" s="22" t="str">
        <f aca="false">IF(OR(K5="",K5=0,D5=""),"",D5/K5-1)</f>
        <v/>
      </c>
      <c r="K5" s="20"/>
      <c r="L5" s="26" t="s">
        <v>540</v>
      </c>
      <c r="M5" s="20"/>
      <c r="N5" s="28" t="str">
        <f aca="false">IFERROR(D5/$D$15,"")</f>
        <v/>
      </c>
    </row>
    <row r="6" customFormat="false" ht="15" hidden="false" customHeight="false" outlineLevel="0" collapsed="false">
      <c r="A6" s="20" t="s">
        <v>248</v>
      </c>
      <c r="B6" s="20" t="n">
        <v>1</v>
      </c>
      <c r="C6" s="24"/>
      <c r="D6" s="24"/>
      <c r="E6" s="22" t="str">
        <f aca="false">IFERROR(D6/C6,"")</f>
        <v/>
      </c>
      <c r="F6" s="20"/>
      <c r="G6" s="20"/>
      <c r="H6" s="20"/>
      <c r="I6" s="20"/>
      <c r="J6" s="22" t="str">
        <f aca="false">IF(OR(K6="",K6=0,D6=""),"",D6/K6-1)</f>
        <v/>
      </c>
      <c r="K6" s="20"/>
      <c r="L6" s="26" t="s">
        <v>540</v>
      </c>
      <c r="M6" s="20"/>
      <c r="N6" s="28" t="str">
        <f aca="false">IFERROR(D6/$D$15,"")</f>
        <v/>
      </c>
    </row>
    <row r="7" customFormat="false" ht="15" hidden="false" customHeight="false" outlineLevel="0" collapsed="false">
      <c r="A7" s="20" t="s">
        <v>429</v>
      </c>
      <c r="B7" s="20" t="n">
        <v>1</v>
      </c>
      <c r="C7" s="24"/>
      <c r="D7" s="24"/>
      <c r="E7" s="22" t="str">
        <f aca="false">IFERROR(D7/C7,"")</f>
        <v/>
      </c>
      <c r="F7" s="20"/>
      <c r="G7" s="20"/>
      <c r="H7" s="20"/>
      <c r="I7" s="20"/>
      <c r="J7" s="22" t="str">
        <f aca="false">IF(OR(K7="",K7=0,D7=""),"",D7/K7-1)</f>
        <v/>
      </c>
      <c r="K7" s="20"/>
      <c r="L7" s="26" t="s">
        <v>541</v>
      </c>
      <c r="M7" s="20"/>
      <c r="N7" s="28" t="str">
        <f aca="false">IFERROR(D7/$D$15,"")</f>
        <v/>
      </c>
    </row>
    <row r="8" customFormat="false" ht="15" hidden="false" customHeight="false" outlineLevel="0" collapsed="false">
      <c r="A8" s="20" t="s">
        <v>542</v>
      </c>
      <c r="B8" s="20" t="n">
        <v>2</v>
      </c>
      <c r="C8" s="24"/>
      <c r="D8" s="24"/>
      <c r="E8" s="22" t="str">
        <f aca="false">IFERROR(D8/C8,"")</f>
        <v/>
      </c>
      <c r="F8" s="20"/>
      <c r="G8" s="20"/>
      <c r="H8" s="20"/>
      <c r="I8" s="20"/>
      <c r="J8" s="22" t="str">
        <f aca="false">IF(OR(K8="",K8=0,D8=""),"",D8/K8-1)</f>
        <v/>
      </c>
      <c r="K8" s="20"/>
      <c r="L8" s="26" t="s">
        <v>543</v>
      </c>
      <c r="M8" s="20"/>
      <c r="N8" s="28" t="str">
        <f aca="false">IFERROR(D8/$D$15,"")</f>
        <v/>
      </c>
    </row>
    <row r="9" customFormat="false" ht="15" hidden="false" customHeight="false" outlineLevel="0" collapsed="false">
      <c r="A9" s="20" t="s">
        <v>544</v>
      </c>
      <c r="B9" s="20" t="n">
        <v>2</v>
      </c>
      <c r="C9" s="24"/>
      <c r="D9" s="24"/>
      <c r="E9" s="22" t="str">
        <f aca="false">IFERROR(D9/C9,"")</f>
        <v/>
      </c>
      <c r="F9" s="20"/>
      <c r="G9" s="20"/>
      <c r="H9" s="20"/>
      <c r="I9" s="20"/>
      <c r="J9" s="22" t="str">
        <f aca="false">IF(OR(K9="",K9=0,D9=""),"",D9/K9-1)</f>
        <v/>
      </c>
      <c r="K9" s="20"/>
      <c r="L9" s="26" t="s">
        <v>545</v>
      </c>
      <c r="M9" s="20"/>
      <c r="N9" s="28" t="str">
        <f aca="false">IFERROR(D9/$D$15,"")</f>
        <v/>
      </c>
    </row>
    <row r="10" customFormat="false" ht="15" hidden="false" customHeight="false" outlineLevel="0" collapsed="false">
      <c r="A10" s="20" t="s">
        <v>546</v>
      </c>
      <c r="B10" s="20" t="n">
        <v>2</v>
      </c>
      <c r="C10" s="24"/>
      <c r="D10" s="24"/>
      <c r="E10" s="22" t="str">
        <f aca="false">IFERROR(D10/C10,"")</f>
        <v/>
      </c>
      <c r="F10" s="20"/>
      <c r="G10" s="20"/>
      <c r="H10" s="20"/>
      <c r="I10" s="20"/>
      <c r="J10" s="22" t="str">
        <f aca="false">IF(OR(K10="",K10=0,D10=""),"",D10/K10-1)</f>
        <v/>
      </c>
      <c r="K10" s="20"/>
      <c r="L10" s="26" t="s">
        <v>547</v>
      </c>
      <c r="M10" s="20"/>
      <c r="N10" s="28" t="str">
        <f aca="false">IFERROR(D10/$D$15,"")</f>
        <v/>
      </c>
    </row>
    <row r="11" customFormat="false" ht="15" hidden="false" customHeight="false" outlineLevel="0" collapsed="false">
      <c r="A11" s="20" t="s">
        <v>548</v>
      </c>
      <c r="B11" s="20" t="n">
        <v>2</v>
      </c>
      <c r="C11" s="24"/>
      <c r="D11" s="24"/>
      <c r="E11" s="22" t="str">
        <f aca="false">IFERROR(D11/C11,"")</f>
        <v/>
      </c>
      <c r="F11" s="20"/>
      <c r="G11" s="20"/>
      <c r="H11" s="20"/>
      <c r="I11" s="20"/>
      <c r="J11" s="22" t="str">
        <f aca="false">IF(OR(K11="",K11=0,D11=""),"",D11/K11-1)</f>
        <v/>
      </c>
      <c r="K11" s="20"/>
      <c r="L11" s="26" t="s">
        <v>549</v>
      </c>
      <c r="M11" s="20"/>
      <c r="N11" s="28" t="str">
        <f aca="false">IFERROR(D11/$D$15,"")</f>
        <v/>
      </c>
    </row>
    <row r="12" customFormat="false" ht="15" hidden="false" customHeight="false" outlineLevel="0" collapsed="false">
      <c r="A12" s="20" t="s">
        <v>550</v>
      </c>
      <c r="B12" s="20" t="n">
        <v>3</v>
      </c>
      <c r="C12" s="24"/>
      <c r="D12" s="24"/>
      <c r="E12" s="22" t="str">
        <f aca="false">IFERROR(D12/C12,"")</f>
        <v/>
      </c>
      <c r="F12" s="20"/>
      <c r="G12" s="20"/>
      <c r="H12" s="20"/>
      <c r="I12" s="20"/>
      <c r="J12" s="22" t="str">
        <f aca="false">IF(OR(K12="",K12=0,D12=""),"",D12/K12-1)</f>
        <v/>
      </c>
      <c r="K12" s="20"/>
      <c r="L12" s="26" t="s">
        <v>551</v>
      </c>
      <c r="M12" s="20"/>
      <c r="N12" s="28" t="str">
        <f aca="false">IFERROR(D12/$D$15,"")</f>
        <v/>
      </c>
    </row>
    <row r="13" customFormat="false" ht="15" hidden="false" customHeight="false" outlineLevel="0" collapsed="false">
      <c r="A13" s="20" t="s">
        <v>552</v>
      </c>
      <c r="B13" s="20" t="n">
        <v>3</v>
      </c>
      <c r="C13" s="24"/>
      <c r="D13" s="24"/>
      <c r="E13" s="22" t="str">
        <f aca="false">IFERROR(D13/C13,"")</f>
        <v/>
      </c>
      <c r="F13" s="20"/>
      <c r="G13" s="20"/>
      <c r="H13" s="20"/>
      <c r="I13" s="20"/>
      <c r="J13" s="22" t="str">
        <f aca="false">IF(OR(K13="",K13=0,D13=""),"",D13/K13-1)</f>
        <v/>
      </c>
      <c r="K13" s="20"/>
      <c r="L13" s="26" t="s">
        <v>551</v>
      </c>
      <c r="M13" s="20"/>
      <c r="N13" s="28" t="str">
        <f aca="false">IFERROR(D13/$D$15,"")</f>
        <v/>
      </c>
    </row>
    <row r="14" customFormat="false" ht="15" hidden="false" customHeight="false" outlineLevel="0" collapsed="false">
      <c r="A14" s="20" t="s">
        <v>553</v>
      </c>
      <c r="B14" s="20" t="n">
        <v>3</v>
      </c>
      <c r="C14" s="24"/>
      <c r="D14" s="24"/>
      <c r="E14" s="22" t="str">
        <f aca="false">IFERROR(D14/C14,"")</f>
        <v/>
      </c>
      <c r="F14" s="20"/>
      <c r="G14" s="20"/>
      <c r="H14" s="20"/>
      <c r="I14" s="20"/>
      <c r="J14" s="22" t="str">
        <f aca="false">IF(OR(K14="",K14=0,D14=""),"",D14/K14-1)</f>
        <v/>
      </c>
      <c r="K14" s="20"/>
      <c r="L14" s="26" t="s">
        <v>554</v>
      </c>
      <c r="M14" s="20"/>
      <c r="N14" s="28" t="str">
        <f aca="false">IFERROR(D14/$D$15,"")</f>
        <v/>
      </c>
    </row>
    <row r="15" customFormat="false" ht="15" hidden="false" customHeight="false" outlineLevel="0" collapsed="false">
      <c r="A15" s="6" t="s">
        <v>555</v>
      </c>
      <c r="C15" s="6" t="n">
        <f aca="false">SUM(C5:C14)</f>
        <v>0</v>
      </c>
      <c r="D15" s="6" t="n">
        <f aca="false">SUM(D5:D14)</f>
        <v>0</v>
      </c>
      <c r="E15" s="29" t="str">
        <f aca="false">IFERROR(D15/C15,"")</f>
        <v/>
      </c>
    </row>
    <row r="17" customFormat="false" ht="15" hidden="false" customHeight="false" outlineLevel="0" collapsed="false">
      <c r="A17" s="2" t="s">
        <v>556</v>
      </c>
    </row>
    <row r="18" customFormat="false" ht="15" hidden="false" customHeight="false" outlineLevel="0" collapsed="false">
      <c r="A18" s="6"/>
    </row>
  </sheetData>
  <autoFilter ref="A4:M1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2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20"/>
    <col collapsed="false" customWidth="true" hidden="false" outlineLevel="0" max="3" min="3" style="0" width="32"/>
    <col collapsed="false" customWidth="true" hidden="false" outlineLevel="0" max="4" min="4" style="0" width="12"/>
    <col collapsed="false" customWidth="true" hidden="false" outlineLevel="0" max="5" min="5" style="0" width="8"/>
    <col collapsed="false" customWidth="true" hidden="false" outlineLevel="0" max="6" min="6" style="0" width="24"/>
    <col collapsed="false" customWidth="true" hidden="false" outlineLevel="0" max="7" min="7" style="0" width="13"/>
    <col collapsed="false" customWidth="true" hidden="false" outlineLevel="0" max="8" min="8" style="0" width="16"/>
    <col collapsed="false" customWidth="true" hidden="false" outlineLevel="0" max="9" min="9" style="0" width="18"/>
    <col collapsed="false" customWidth="true" hidden="false" outlineLevel="0" max="10" min="10" style="0" width="12"/>
    <col collapsed="false" customWidth="true" hidden="false" outlineLevel="0" max="11" min="11" style="0" width="10"/>
  </cols>
  <sheetData>
    <row r="1" customFormat="false" ht="19.7" hidden="false" customHeight="false" outlineLevel="0" collapsed="false">
      <c r="A1" s="1" t="s">
        <v>57</v>
      </c>
    </row>
    <row r="2" customFormat="false" ht="15" hidden="false" customHeight="false" outlineLevel="0" collapsed="false">
      <c r="A2" s="2" t="s">
        <v>557</v>
      </c>
    </row>
    <row r="4" customFormat="false" ht="31.5" hidden="false" customHeight="true" outlineLevel="0" collapsed="false">
      <c r="A4" s="9" t="s">
        <v>558</v>
      </c>
      <c r="B4" s="9" t="s">
        <v>111</v>
      </c>
      <c r="C4" s="9" t="s">
        <v>559</v>
      </c>
      <c r="D4" s="9" t="s">
        <v>560</v>
      </c>
      <c r="E4" s="9" t="s">
        <v>561</v>
      </c>
      <c r="F4" s="9" t="s">
        <v>562</v>
      </c>
      <c r="G4" s="9" t="s">
        <v>563</v>
      </c>
      <c r="H4" s="9" t="s">
        <v>564</v>
      </c>
      <c r="I4" s="9" t="s">
        <v>565</v>
      </c>
      <c r="J4" s="9" t="s">
        <v>512</v>
      </c>
      <c r="K4" s="9" t="s">
        <v>420</v>
      </c>
    </row>
    <row r="5" customFormat="false" ht="15" hidden="false" customHeight="false" outlineLevel="0" collapsed="false">
      <c r="A5" s="20" t="s">
        <v>566</v>
      </c>
      <c r="B5" s="20" t="s">
        <v>429</v>
      </c>
      <c r="C5" s="20" t="s">
        <v>430</v>
      </c>
      <c r="D5" s="20" t="s">
        <v>567</v>
      </c>
      <c r="E5" s="20"/>
      <c r="F5" s="20"/>
      <c r="G5" s="19"/>
      <c r="H5" s="20"/>
      <c r="I5" s="20"/>
      <c r="J5" s="20"/>
      <c r="K5" s="20"/>
    </row>
    <row r="6" customFormat="false" ht="15" hidden="false" customHeight="false" outlineLevel="0" collapsed="false">
      <c r="A6" s="20" t="s">
        <v>568</v>
      </c>
      <c r="B6" s="20" t="s">
        <v>248</v>
      </c>
      <c r="C6" s="20" t="s">
        <v>569</v>
      </c>
      <c r="D6" s="20" t="s">
        <v>567</v>
      </c>
      <c r="E6" s="20"/>
      <c r="F6" s="20"/>
      <c r="G6" s="19"/>
      <c r="H6" s="20"/>
      <c r="I6" s="20"/>
      <c r="J6" s="20"/>
      <c r="K6" s="20"/>
    </row>
    <row r="7" customFormat="false" ht="15" hidden="false" customHeight="false" outlineLevel="0" collapsed="false">
      <c r="A7" s="20" t="s">
        <v>570</v>
      </c>
      <c r="B7" s="20" t="s">
        <v>139</v>
      </c>
      <c r="C7" s="20" t="s">
        <v>571</v>
      </c>
      <c r="D7" s="20" t="s">
        <v>567</v>
      </c>
      <c r="E7" s="20"/>
      <c r="F7" s="20"/>
      <c r="G7" s="19"/>
      <c r="H7" s="20"/>
      <c r="I7" s="20"/>
      <c r="J7" s="20"/>
      <c r="K7" s="20"/>
    </row>
    <row r="8" customFormat="false" ht="15" hidden="false" customHeight="false" outlineLevel="0" collapsed="false">
      <c r="A8" s="20" t="s">
        <v>435</v>
      </c>
      <c r="B8" s="20" t="s">
        <v>284</v>
      </c>
      <c r="C8" s="20" t="s">
        <v>572</v>
      </c>
      <c r="D8" s="20" t="s">
        <v>567</v>
      </c>
      <c r="E8" s="20"/>
      <c r="F8" s="20"/>
      <c r="G8" s="19"/>
      <c r="H8" s="20"/>
      <c r="I8" s="20"/>
      <c r="J8" s="20"/>
      <c r="K8" s="20"/>
    </row>
    <row r="9" customFormat="false" ht="15" hidden="false" customHeight="false" outlineLevel="0" collapsed="false">
      <c r="A9" s="20" t="s">
        <v>573</v>
      </c>
      <c r="B9" s="20" t="s">
        <v>248</v>
      </c>
      <c r="C9" s="20" t="s">
        <v>432</v>
      </c>
      <c r="D9" s="20" t="s">
        <v>567</v>
      </c>
      <c r="E9" s="20"/>
      <c r="F9" s="20"/>
      <c r="G9" s="19"/>
      <c r="H9" s="20"/>
      <c r="I9" s="20"/>
      <c r="J9" s="20"/>
      <c r="K9" s="20"/>
    </row>
    <row r="10" customFormat="false" ht="15" hidden="false" customHeight="false" outlineLevel="0" collapsed="false">
      <c r="A10" s="20" t="s">
        <v>574</v>
      </c>
      <c r="B10" s="20" t="s">
        <v>284</v>
      </c>
      <c r="C10" s="20" t="s">
        <v>425</v>
      </c>
      <c r="D10" s="20" t="s">
        <v>567</v>
      </c>
      <c r="E10" s="20"/>
      <c r="F10" s="20"/>
      <c r="G10" s="19"/>
      <c r="H10" s="20"/>
      <c r="I10" s="20"/>
      <c r="J10" s="20"/>
      <c r="K10" s="20"/>
    </row>
    <row r="11" customFormat="false" ht="23.85" hidden="false" customHeight="false" outlineLevel="0" collapsed="false">
      <c r="A11" s="20" t="s">
        <v>575</v>
      </c>
      <c r="B11" s="20" t="s">
        <v>139</v>
      </c>
      <c r="C11" s="20" t="s">
        <v>576</v>
      </c>
      <c r="D11" s="20" t="s">
        <v>567</v>
      </c>
      <c r="E11" s="20"/>
      <c r="F11" s="20"/>
      <c r="G11" s="19"/>
      <c r="H11" s="20"/>
      <c r="I11" s="20"/>
      <c r="J11" s="20"/>
      <c r="K11" s="20"/>
    </row>
    <row r="12" customFormat="false" ht="15" hidden="false" customHeight="false" outlineLevel="0" collapsed="false">
      <c r="A12" s="20"/>
      <c r="B12" s="20"/>
      <c r="C12" s="20"/>
      <c r="D12" s="20"/>
      <c r="E12" s="20"/>
      <c r="F12" s="20"/>
      <c r="G12" s="19"/>
      <c r="H12" s="20"/>
      <c r="I12" s="20"/>
      <c r="J12" s="20"/>
      <c r="K12" s="20"/>
    </row>
    <row r="13" customFormat="false" ht="15" hidden="false" customHeight="false" outlineLevel="0" collapsed="false">
      <c r="A13" s="20"/>
      <c r="B13" s="20"/>
      <c r="C13" s="20"/>
      <c r="D13" s="20"/>
      <c r="E13" s="20"/>
      <c r="F13" s="20"/>
      <c r="G13" s="19"/>
      <c r="H13" s="20"/>
      <c r="I13" s="20"/>
      <c r="J13" s="20"/>
      <c r="K13" s="20"/>
    </row>
    <row r="14" customFormat="false" ht="15" hidden="false" customHeight="false" outlineLevel="0" collapsed="false">
      <c r="A14" s="20"/>
      <c r="B14" s="20"/>
      <c r="C14" s="20"/>
      <c r="D14" s="20"/>
      <c r="E14" s="20"/>
      <c r="F14" s="20"/>
      <c r="G14" s="19"/>
      <c r="H14" s="20"/>
      <c r="I14" s="20"/>
      <c r="J14" s="20"/>
      <c r="K14" s="20"/>
    </row>
    <row r="15" customFormat="false" ht="15" hidden="false" customHeight="false" outlineLevel="0" collapsed="false">
      <c r="A15" s="20"/>
      <c r="B15" s="20"/>
      <c r="C15" s="20"/>
      <c r="D15" s="20"/>
      <c r="E15" s="20"/>
      <c r="F15" s="20"/>
      <c r="G15" s="19"/>
      <c r="H15" s="20"/>
      <c r="I15" s="20"/>
      <c r="J15" s="20"/>
      <c r="K15" s="20"/>
    </row>
    <row r="16" customFormat="false" ht="15" hidden="false" customHeight="false" outlineLevel="0" collapsed="false">
      <c r="A16" s="20"/>
      <c r="B16" s="20"/>
      <c r="C16" s="20"/>
      <c r="D16" s="20"/>
      <c r="E16" s="20"/>
      <c r="F16" s="20"/>
      <c r="G16" s="19"/>
      <c r="H16" s="20"/>
      <c r="I16" s="20"/>
      <c r="J16" s="20"/>
      <c r="K16" s="20"/>
    </row>
    <row r="17" customFormat="false" ht="15" hidden="false" customHeight="false" outlineLevel="0" collapsed="false">
      <c r="A17" s="20"/>
      <c r="B17" s="20"/>
      <c r="C17" s="20"/>
      <c r="D17" s="20"/>
      <c r="E17" s="20"/>
      <c r="F17" s="20"/>
      <c r="G17" s="19"/>
      <c r="H17" s="20"/>
      <c r="I17" s="20"/>
      <c r="J17" s="20"/>
      <c r="K17" s="20"/>
    </row>
    <row r="18" customFormat="false" ht="15" hidden="false" customHeight="false" outlineLevel="0" collapsed="false">
      <c r="A18" s="20"/>
      <c r="B18" s="20"/>
      <c r="C18" s="20"/>
      <c r="D18" s="20"/>
      <c r="E18" s="20"/>
      <c r="F18" s="20"/>
      <c r="G18" s="19"/>
      <c r="H18" s="20"/>
      <c r="I18" s="20"/>
      <c r="J18" s="20"/>
      <c r="K18" s="20"/>
    </row>
    <row r="19" customFormat="false" ht="15" hidden="false" customHeight="false" outlineLevel="0" collapsed="false">
      <c r="A19" s="20"/>
      <c r="B19" s="20"/>
      <c r="C19" s="20"/>
      <c r="D19" s="20"/>
      <c r="E19" s="20"/>
      <c r="F19" s="20"/>
      <c r="G19" s="19"/>
      <c r="H19" s="20"/>
      <c r="I19" s="20"/>
      <c r="J19" s="20"/>
      <c r="K19" s="20"/>
    </row>
    <row r="20" customFormat="false" ht="15" hidden="false" customHeight="false" outlineLevel="0" collapsed="false">
      <c r="A20" s="20"/>
      <c r="B20" s="20"/>
      <c r="C20" s="20"/>
      <c r="D20" s="20"/>
      <c r="E20" s="20"/>
      <c r="F20" s="20"/>
      <c r="G20" s="19"/>
      <c r="H20" s="20"/>
      <c r="I20" s="20"/>
      <c r="J20" s="20"/>
      <c r="K20" s="20"/>
    </row>
    <row r="21" customFormat="false" ht="15" hidden="false" customHeight="false" outlineLevel="0" collapsed="false">
      <c r="A21" s="20"/>
      <c r="B21" s="20"/>
      <c r="C21" s="20"/>
      <c r="D21" s="20"/>
      <c r="E21" s="20"/>
      <c r="F21" s="20"/>
      <c r="G21" s="19"/>
      <c r="H21" s="20"/>
      <c r="I21" s="20"/>
      <c r="J21" s="20"/>
      <c r="K21" s="20"/>
    </row>
    <row r="22" customFormat="false" ht="15" hidden="false" customHeight="false" outlineLevel="0" collapsed="false">
      <c r="A22" s="20"/>
      <c r="B22" s="20"/>
      <c r="C22" s="20"/>
      <c r="D22" s="20"/>
      <c r="E22" s="20"/>
      <c r="F22" s="20"/>
      <c r="G22" s="19"/>
      <c r="H22" s="20"/>
      <c r="I22" s="20"/>
      <c r="J22" s="20"/>
      <c r="K22" s="20"/>
    </row>
    <row r="23" customFormat="false" ht="15" hidden="false" customHeight="false" outlineLevel="0" collapsed="false">
      <c r="A23" s="20"/>
      <c r="B23" s="20"/>
      <c r="C23" s="20"/>
      <c r="D23" s="20"/>
      <c r="E23" s="20"/>
      <c r="F23" s="20"/>
      <c r="G23" s="19"/>
      <c r="H23" s="20"/>
      <c r="I23" s="20"/>
      <c r="J23" s="20"/>
      <c r="K23" s="20"/>
    </row>
    <row r="24" customFormat="false" ht="15" hidden="false" customHeight="false" outlineLevel="0" collapsed="false">
      <c r="A24" s="20"/>
      <c r="B24" s="20"/>
      <c r="C24" s="20"/>
      <c r="D24" s="20"/>
      <c r="E24" s="20"/>
      <c r="F24" s="20"/>
      <c r="G24" s="19"/>
      <c r="H24" s="20"/>
      <c r="I24" s="20"/>
      <c r="J24" s="20"/>
      <c r="K24" s="20"/>
    </row>
    <row r="25" customFormat="false" ht="15" hidden="false" customHeight="false" outlineLevel="0" collapsed="false">
      <c r="A25" s="20"/>
      <c r="B25" s="20"/>
      <c r="C25" s="20"/>
      <c r="D25" s="20"/>
      <c r="E25" s="20"/>
      <c r="F25" s="20"/>
      <c r="G25" s="19"/>
      <c r="H25" s="20"/>
      <c r="I25" s="20"/>
      <c r="J25" s="20"/>
      <c r="K25" s="20"/>
    </row>
    <row r="26" customFormat="false" ht="15" hidden="false" customHeight="false" outlineLevel="0" collapsed="false">
      <c r="A26" s="20"/>
      <c r="B26" s="20"/>
      <c r="C26" s="20"/>
      <c r="D26" s="20"/>
      <c r="E26" s="20"/>
      <c r="F26" s="20"/>
      <c r="G26" s="19"/>
      <c r="H26" s="20"/>
      <c r="I26" s="20"/>
      <c r="J26" s="20"/>
      <c r="K26" s="20"/>
    </row>
    <row r="27" customFormat="false" ht="15" hidden="false" customHeight="false" outlineLevel="0" collapsed="false">
      <c r="A27" s="20"/>
      <c r="B27" s="20"/>
      <c r="C27" s="20"/>
      <c r="D27" s="20"/>
      <c r="E27" s="20"/>
      <c r="F27" s="20"/>
      <c r="G27" s="19"/>
      <c r="H27" s="20"/>
      <c r="I27" s="20"/>
      <c r="J27" s="20"/>
      <c r="K27" s="20"/>
    </row>
    <row r="28" customFormat="false" ht="15" hidden="false" customHeight="false" outlineLevel="0" collapsed="false">
      <c r="A28" s="20"/>
      <c r="B28" s="20"/>
      <c r="C28" s="20"/>
      <c r="D28" s="20"/>
      <c r="E28" s="20"/>
      <c r="F28" s="20"/>
      <c r="G28" s="19"/>
      <c r="H28" s="20"/>
      <c r="I28" s="20"/>
      <c r="J28" s="20"/>
      <c r="K28" s="20"/>
    </row>
    <row r="29" customFormat="false" ht="15" hidden="false" customHeight="false" outlineLevel="0" collapsed="false">
      <c r="A29" s="20"/>
      <c r="B29" s="20"/>
      <c r="C29" s="20"/>
      <c r="D29" s="20"/>
      <c r="E29" s="20"/>
      <c r="F29" s="20"/>
      <c r="G29" s="19"/>
      <c r="H29" s="20"/>
      <c r="I29" s="20"/>
      <c r="J29" s="20"/>
      <c r="K29" s="20"/>
    </row>
    <row r="30" customFormat="false" ht="15" hidden="false" customHeight="false" outlineLevel="0" collapsed="false">
      <c r="A30" s="20"/>
      <c r="B30" s="20"/>
      <c r="C30" s="20"/>
      <c r="D30" s="20"/>
      <c r="E30" s="20"/>
      <c r="F30" s="20"/>
      <c r="G30" s="19"/>
      <c r="H30" s="20"/>
      <c r="I30" s="20"/>
      <c r="J30" s="20"/>
      <c r="K30" s="20"/>
    </row>
    <row r="31" customFormat="false" ht="15" hidden="false" customHeight="false" outlineLevel="0" collapsed="false">
      <c r="A31" s="20"/>
      <c r="B31" s="20"/>
      <c r="C31" s="20"/>
      <c r="D31" s="20"/>
      <c r="E31" s="20"/>
      <c r="F31" s="20"/>
      <c r="G31" s="19"/>
      <c r="H31" s="20"/>
      <c r="I31" s="20"/>
      <c r="J31" s="20"/>
      <c r="K31" s="20"/>
    </row>
    <row r="32" customFormat="false" ht="15" hidden="false" customHeight="false" outlineLevel="0" collapsed="false">
      <c r="A32" s="20"/>
      <c r="B32" s="20"/>
      <c r="C32" s="20"/>
      <c r="D32" s="20"/>
      <c r="E32" s="20"/>
      <c r="F32" s="20"/>
      <c r="G32" s="19"/>
      <c r="H32" s="20"/>
      <c r="I32" s="20"/>
      <c r="J32" s="20"/>
      <c r="K32" s="20"/>
    </row>
    <row r="33" customFormat="false" ht="15" hidden="false" customHeight="false" outlineLevel="0" collapsed="false">
      <c r="A33" s="20"/>
      <c r="B33" s="20"/>
      <c r="C33" s="20"/>
      <c r="D33" s="20"/>
      <c r="E33" s="20"/>
      <c r="F33" s="20"/>
      <c r="G33" s="19"/>
      <c r="H33" s="20"/>
      <c r="I33" s="20"/>
      <c r="J33" s="20"/>
      <c r="K33" s="20"/>
    </row>
    <row r="34" customFormat="false" ht="15" hidden="false" customHeight="false" outlineLevel="0" collapsed="false">
      <c r="A34" s="20"/>
      <c r="B34" s="20"/>
      <c r="C34" s="20"/>
      <c r="D34" s="20"/>
      <c r="E34" s="20"/>
      <c r="F34" s="20"/>
      <c r="G34" s="19"/>
      <c r="H34" s="20"/>
      <c r="I34" s="20"/>
      <c r="J34" s="20"/>
      <c r="K34" s="20"/>
    </row>
    <row r="35" customFormat="false" ht="15" hidden="false" customHeight="false" outlineLevel="0" collapsed="false">
      <c r="A35" s="20"/>
      <c r="B35" s="20"/>
      <c r="C35" s="20"/>
      <c r="D35" s="20"/>
      <c r="E35" s="20"/>
      <c r="F35" s="20"/>
      <c r="G35" s="19"/>
      <c r="H35" s="20"/>
      <c r="I35" s="20"/>
      <c r="J35" s="20"/>
      <c r="K35" s="20"/>
    </row>
    <row r="36" customFormat="false" ht="15" hidden="false" customHeight="false" outlineLevel="0" collapsed="false">
      <c r="A36" s="20"/>
      <c r="B36" s="20"/>
      <c r="C36" s="20"/>
      <c r="D36" s="20"/>
      <c r="E36" s="20"/>
      <c r="F36" s="20"/>
      <c r="G36" s="19"/>
      <c r="H36" s="20"/>
      <c r="I36" s="20"/>
      <c r="J36" s="20"/>
      <c r="K36" s="20"/>
    </row>
    <row r="37" customFormat="false" ht="15" hidden="false" customHeight="false" outlineLevel="0" collapsed="false">
      <c r="A37" s="20"/>
      <c r="B37" s="20"/>
      <c r="C37" s="20"/>
      <c r="D37" s="20"/>
      <c r="E37" s="20"/>
      <c r="F37" s="20"/>
      <c r="G37" s="19"/>
      <c r="H37" s="20"/>
      <c r="I37" s="20"/>
      <c r="J37" s="20"/>
      <c r="K37" s="20"/>
    </row>
    <row r="38" customFormat="false" ht="15" hidden="false" customHeight="false" outlineLevel="0" collapsed="false">
      <c r="A38" s="20"/>
      <c r="B38" s="20"/>
      <c r="C38" s="20"/>
      <c r="D38" s="20"/>
      <c r="E38" s="20"/>
      <c r="F38" s="20"/>
      <c r="G38" s="19"/>
      <c r="H38" s="20"/>
      <c r="I38" s="20"/>
      <c r="J38" s="20"/>
      <c r="K38" s="20"/>
    </row>
    <row r="39" customFormat="false" ht="15" hidden="false" customHeight="false" outlineLevel="0" collapsed="false">
      <c r="A39" s="20"/>
      <c r="B39" s="20"/>
      <c r="C39" s="20"/>
      <c r="D39" s="20"/>
      <c r="E39" s="20"/>
      <c r="F39" s="20"/>
      <c r="G39" s="19"/>
      <c r="H39" s="20"/>
      <c r="I39" s="20"/>
      <c r="J39" s="20"/>
      <c r="K39" s="20"/>
    </row>
    <row r="40" customFormat="false" ht="15" hidden="false" customHeight="false" outlineLevel="0" collapsed="false">
      <c r="A40" s="20"/>
      <c r="B40" s="20"/>
      <c r="C40" s="20"/>
      <c r="D40" s="20"/>
      <c r="E40" s="20"/>
      <c r="F40" s="20"/>
      <c r="G40" s="19"/>
      <c r="H40" s="20"/>
      <c r="I40" s="20"/>
      <c r="J40" s="20"/>
      <c r="K40" s="20"/>
    </row>
    <row r="41" customFormat="false" ht="15" hidden="false" customHeight="false" outlineLevel="0" collapsed="false">
      <c r="A41" s="20"/>
      <c r="B41" s="20"/>
      <c r="C41" s="20"/>
      <c r="D41" s="20"/>
      <c r="E41" s="20"/>
      <c r="F41" s="20"/>
      <c r="G41" s="19"/>
      <c r="H41" s="20"/>
      <c r="I41" s="20"/>
      <c r="J41" s="20"/>
      <c r="K41" s="20"/>
    </row>
    <row r="42" customFormat="false" ht="15" hidden="false" customHeight="false" outlineLevel="0" collapsed="false">
      <c r="A42" s="20"/>
      <c r="B42" s="20"/>
      <c r="C42" s="20"/>
      <c r="D42" s="20"/>
      <c r="E42" s="20"/>
      <c r="F42" s="20"/>
      <c r="G42" s="19"/>
      <c r="H42" s="20"/>
      <c r="I42" s="20"/>
      <c r="J42" s="20"/>
      <c r="K42" s="20"/>
    </row>
    <row r="43" customFormat="false" ht="15" hidden="false" customHeight="false" outlineLevel="0" collapsed="false">
      <c r="A43" s="20"/>
      <c r="B43" s="20"/>
      <c r="C43" s="20"/>
      <c r="D43" s="20"/>
      <c r="E43" s="20"/>
      <c r="F43" s="20"/>
      <c r="G43" s="19"/>
      <c r="H43" s="20"/>
      <c r="I43" s="20"/>
      <c r="J43" s="20"/>
      <c r="K43" s="20"/>
    </row>
    <row r="44" customFormat="false" ht="15" hidden="false" customHeight="false" outlineLevel="0" collapsed="false">
      <c r="A44" s="20"/>
      <c r="B44" s="20"/>
      <c r="C44" s="20"/>
      <c r="D44" s="20"/>
      <c r="E44" s="20"/>
      <c r="F44" s="20"/>
      <c r="G44" s="19"/>
      <c r="H44" s="20"/>
      <c r="I44" s="20"/>
      <c r="J44" s="20"/>
      <c r="K44" s="20"/>
    </row>
    <row r="45" customFormat="false" ht="15" hidden="false" customHeight="false" outlineLevel="0" collapsed="false">
      <c r="A45" s="20"/>
      <c r="B45" s="20"/>
      <c r="C45" s="20"/>
      <c r="D45" s="20"/>
      <c r="E45" s="20"/>
      <c r="F45" s="20"/>
      <c r="G45" s="19"/>
      <c r="H45" s="20"/>
      <c r="I45" s="20"/>
      <c r="J45" s="20"/>
      <c r="K45" s="20"/>
    </row>
    <row r="46" customFormat="false" ht="15" hidden="false" customHeight="false" outlineLevel="0" collapsed="false">
      <c r="A46" s="20"/>
      <c r="B46" s="20"/>
      <c r="C46" s="20"/>
      <c r="D46" s="20"/>
      <c r="E46" s="20"/>
      <c r="F46" s="20"/>
      <c r="G46" s="19"/>
      <c r="H46" s="20"/>
      <c r="I46" s="20"/>
      <c r="J46" s="20"/>
      <c r="K46" s="20"/>
    </row>
    <row r="47" customFormat="false" ht="15" hidden="false" customHeight="false" outlineLevel="0" collapsed="false">
      <c r="A47" s="20"/>
      <c r="B47" s="20"/>
      <c r="C47" s="20"/>
      <c r="D47" s="20"/>
      <c r="E47" s="20"/>
      <c r="F47" s="20"/>
      <c r="G47" s="19"/>
      <c r="H47" s="20"/>
      <c r="I47" s="20"/>
      <c r="J47" s="20"/>
      <c r="K47" s="20"/>
    </row>
    <row r="48" customFormat="false" ht="15" hidden="false" customHeight="false" outlineLevel="0" collapsed="false">
      <c r="A48" s="20"/>
      <c r="B48" s="20"/>
      <c r="C48" s="20"/>
      <c r="D48" s="20"/>
      <c r="E48" s="20"/>
      <c r="F48" s="20"/>
      <c r="G48" s="19"/>
      <c r="H48" s="20"/>
      <c r="I48" s="20"/>
      <c r="J48" s="20"/>
      <c r="K48" s="20"/>
    </row>
    <row r="49" customFormat="false" ht="15" hidden="false" customHeight="false" outlineLevel="0" collapsed="false">
      <c r="A49" s="20"/>
      <c r="B49" s="20"/>
      <c r="C49" s="20"/>
      <c r="D49" s="20"/>
      <c r="E49" s="20"/>
      <c r="F49" s="20"/>
      <c r="G49" s="19"/>
      <c r="H49" s="20"/>
      <c r="I49" s="20"/>
      <c r="J49" s="20"/>
      <c r="K49" s="20"/>
    </row>
    <row r="50" customFormat="false" ht="15" hidden="false" customHeight="false" outlineLevel="0" collapsed="false">
      <c r="A50" s="20"/>
      <c r="B50" s="20"/>
      <c r="C50" s="20"/>
      <c r="D50" s="20"/>
      <c r="E50" s="20"/>
      <c r="F50" s="20"/>
      <c r="G50" s="19"/>
      <c r="H50" s="20"/>
      <c r="I50" s="20"/>
      <c r="J50" s="20"/>
      <c r="K50" s="20"/>
    </row>
    <row r="51" customFormat="false" ht="15" hidden="false" customHeight="false" outlineLevel="0" collapsed="false">
      <c r="A51" s="20"/>
      <c r="B51" s="20"/>
      <c r="C51" s="20"/>
      <c r="D51" s="20"/>
      <c r="E51" s="20"/>
      <c r="F51" s="20"/>
      <c r="G51" s="19"/>
      <c r="H51" s="20"/>
      <c r="I51" s="20"/>
      <c r="J51" s="20"/>
      <c r="K51" s="20"/>
    </row>
    <row r="52" customFormat="false" ht="15" hidden="false" customHeight="false" outlineLevel="0" collapsed="false">
      <c r="A52" s="20"/>
      <c r="B52" s="20"/>
      <c r="C52" s="20"/>
      <c r="D52" s="20"/>
      <c r="E52" s="20"/>
      <c r="F52" s="20"/>
      <c r="G52" s="19"/>
      <c r="H52" s="20"/>
      <c r="I52" s="20"/>
      <c r="J52" s="20"/>
      <c r="K52" s="20"/>
    </row>
    <row r="53" customFormat="false" ht="15" hidden="false" customHeight="false" outlineLevel="0" collapsed="false">
      <c r="A53" s="20"/>
      <c r="B53" s="20"/>
      <c r="C53" s="20"/>
      <c r="D53" s="20"/>
      <c r="E53" s="20"/>
      <c r="F53" s="20"/>
      <c r="G53" s="19"/>
      <c r="H53" s="20"/>
      <c r="I53" s="20"/>
      <c r="J53" s="20"/>
      <c r="K53" s="20"/>
    </row>
    <row r="54" customFormat="false" ht="15" hidden="false" customHeight="false" outlineLevel="0" collapsed="false">
      <c r="A54" s="20"/>
      <c r="B54" s="20"/>
      <c r="C54" s="20"/>
      <c r="D54" s="20"/>
      <c r="E54" s="20"/>
      <c r="F54" s="20"/>
      <c r="G54" s="19"/>
      <c r="H54" s="20"/>
      <c r="I54" s="20"/>
      <c r="J54" s="20"/>
      <c r="K54" s="20"/>
    </row>
    <row r="55" customFormat="false" ht="15" hidden="false" customHeight="false" outlineLevel="0" collapsed="false">
      <c r="A55" s="20"/>
      <c r="B55" s="20"/>
      <c r="C55" s="20"/>
      <c r="D55" s="20"/>
      <c r="E55" s="20"/>
      <c r="F55" s="20"/>
      <c r="G55" s="19"/>
      <c r="H55" s="20"/>
      <c r="I55" s="20"/>
      <c r="J55" s="20"/>
      <c r="K55" s="20"/>
    </row>
    <row r="56" customFormat="false" ht="15" hidden="false" customHeight="false" outlineLevel="0" collapsed="false">
      <c r="A56" s="20"/>
      <c r="B56" s="20"/>
      <c r="C56" s="20"/>
      <c r="D56" s="20"/>
      <c r="E56" s="20"/>
      <c r="F56" s="20"/>
      <c r="G56" s="19"/>
      <c r="H56" s="20"/>
      <c r="I56" s="20"/>
      <c r="J56" s="20"/>
      <c r="K56" s="20"/>
    </row>
    <row r="57" customFormat="false" ht="15" hidden="false" customHeight="false" outlineLevel="0" collapsed="false">
      <c r="A57" s="20"/>
      <c r="B57" s="20"/>
      <c r="C57" s="20"/>
      <c r="D57" s="20"/>
      <c r="E57" s="20"/>
      <c r="F57" s="20"/>
      <c r="G57" s="19"/>
      <c r="H57" s="20"/>
      <c r="I57" s="20"/>
      <c r="J57" s="20"/>
      <c r="K57" s="20"/>
    </row>
    <row r="58" customFormat="false" ht="15" hidden="false" customHeight="false" outlineLevel="0" collapsed="false">
      <c r="A58" s="20"/>
      <c r="B58" s="20"/>
      <c r="C58" s="20"/>
      <c r="D58" s="20"/>
      <c r="E58" s="20"/>
      <c r="F58" s="20"/>
      <c r="G58" s="19"/>
      <c r="H58" s="20"/>
      <c r="I58" s="20"/>
      <c r="J58" s="20"/>
      <c r="K58" s="20"/>
    </row>
    <row r="59" customFormat="false" ht="15" hidden="false" customHeight="false" outlineLevel="0" collapsed="false">
      <c r="A59" s="20"/>
      <c r="B59" s="20"/>
      <c r="C59" s="20"/>
      <c r="D59" s="20"/>
      <c r="E59" s="20"/>
      <c r="F59" s="20"/>
      <c r="G59" s="19"/>
      <c r="H59" s="20"/>
      <c r="I59" s="20"/>
      <c r="J59" s="20"/>
      <c r="K59" s="20"/>
    </row>
    <row r="60" customFormat="false" ht="15" hidden="false" customHeight="false" outlineLevel="0" collapsed="false">
      <c r="A60" s="20"/>
      <c r="B60" s="20"/>
      <c r="C60" s="20"/>
      <c r="D60" s="20"/>
      <c r="E60" s="20"/>
      <c r="F60" s="20"/>
      <c r="G60" s="19"/>
      <c r="H60" s="20"/>
      <c r="I60" s="20"/>
      <c r="J60" s="20"/>
      <c r="K60" s="20"/>
    </row>
    <row r="61" customFormat="false" ht="15" hidden="false" customHeight="false" outlineLevel="0" collapsed="false">
      <c r="A61" s="20"/>
      <c r="B61" s="20"/>
      <c r="C61" s="20"/>
      <c r="D61" s="20"/>
      <c r="E61" s="20"/>
      <c r="F61" s="20"/>
      <c r="G61" s="19"/>
      <c r="H61" s="20"/>
      <c r="I61" s="20"/>
      <c r="J61" s="20"/>
      <c r="K61" s="20"/>
    </row>
    <row r="62" customFormat="false" ht="15" hidden="false" customHeight="false" outlineLevel="0" collapsed="false">
      <c r="A62" s="20"/>
      <c r="B62" s="20"/>
      <c r="C62" s="20"/>
      <c r="D62" s="20"/>
      <c r="E62" s="20"/>
      <c r="F62" s="20"/>
      <c r="G62" s="19"/>
      <c r="H62" s="20"/>
      <c r="I62" s="20"/>
      <c r="J62" s="20"/>
      <c r="K62" s="20"/>
    </row>
    <row r="63" customFormat="false" ht="15" hidden="false" customHeight="false" outlineLevel="0" collapsed="false">
      <c r="A63" s="20"/>
      <c r="B63" s="20"/>
      <c r="C63" s="20"/>
      <c r="D63" s="20"/>
      <c r="E63" s="20"/>
      <c r="F63" s="20"/>
      <c r="G63" s="19"/>
      <c r="H63" s="20"/>
      <c r="I63" s="20"/>
      <c r="J63" s="20"/>
      <c r="K63" s="20"/>
    </row>
    <row r="64" customFormat="false" ht="15" hidden="false" customHeight="false" outlineLevel="0" collapsed="false">
      <c r="A64" s="20"/>
      <c r="B64" s="20"/>
      <c r="C64" s="20"/>
      <c r="D64" s="20"/>
      <c r="E64" s="20"/>
      <c r="F64" s="20"/>
      <c r="G64" s="19"/>
      <c r="H64" s="20"/>
      <c r="I64" s="20"/>
      <c r="J64" s="20"/>
      <c r="K64" s="20"/>
    </row>
    <row r="65" customFormat="false" ht="15" hidden="false" customHeight="false" outlineLevel="0" collapsed="false">
      <c r="A65" s="20"/>
      <c r="B65" s="20"/>
      <c r="C65" s="20"/>
      <c r="D65" s="20"/>
      <c r="E65" s="20"/>
      <c r="F65" s="20"/>
      <c r="G65" s="19"/>
      <c r="H65" s="20"/>
      <c r="I65" s="20"/>
      <c r="J65" s="20"/>
      <c r="K65" s="20"/>
    </row>
    <row r="66" customFormat="false" ht="15" hidden="false" customHeight="false" outlineLevel="0" collapsed="false">
      <c r="A66" s="20"/>
      <c r="B66" s="20"/>
      <c r="C66" s="20"/>
      <c r="D66" s="20"/>
      <c r="E66" s="20"/>
      <c r="F66" s="20"/>
      <c r="G66" s="19"/>
      <c r="H66" s="20"/>
      <c r="I66" s="20"/>
      <c r="J66" s="20"/>
      <c r="K66" s="20"/>
    </row>
    <row r="67" customFormat="false" ht="15" hidden="false" customHeight="false" outlineLevel="0" collapsed="false">
      <c r="A67" s="20"/>
      <c r="B67" s="20"/>
      <c r="C67" s="20"/>
      <c r="D67" s="20"/>
      <c r="E67" s="20"/>
      <c r="F67" s="20"/>
      <c r="G67" s="19"/>
      <c r="H67" s="20"/>
      <c r="I67" s="20"/>
      <c r="J67" s="20"/>
      <c r="K67" s="20"/>
    </row>
    <row r="68" customFormat="false" ht="15" hidden="false" customHeight="false" outlineLevel="0" collapsed="false">
      <c r="A68" s="20"/>
      <c r="B68" s="20"/>
      <c r="C68" s="20"/>
      <c r="D68" s="20"/>
      <c r="E68" s="20"/>
      <c r="F68" s="20"/>
      <c r="G68" s="19"/>
      <c r="H68" s="20"/>
      <c r="I68" s="20"/>
      <c r="J68" s="20"/>
      <c r="K68" s="20"/>
    </row>
    <row r="69" customFormat="false" ht="15" hidden="false" customHeight="false" outlineLevel="0" collapsed="false">
      <c r="A69" s="20"/>
      <c r="B69" s="20"/>
      <c r="C69" s="20"/>
      <c r="D69" s="20"/>
      <c r="E69" s="20"/>
      <c r="F69" s="20"/>
      <c r="G69" s="19"/>
      <c r="H69" s="20"/>
      <c r="I69" s="20"/>
      <c r="J69" s="20"/>
      <c r="K69" s="20"/>
    </row>
    <row r="70" customFormat="false" ht="15" hidden="false" customHeight="false" outlineLevel="0" collapsed="false">
      <c r="A70" s="20"/>
      <c r="B70" s="20"/>
      <c r="C70" s="20"/>
      <c r="D70" s="20"/>
      <c r="E70" s="20"/>
      <c r="F70" s="20"/>
      <c r="G70" s="19"/>
      <c r="H70" s="20"/>
      <c r="I70" s="20"/>
      <c r="J70" s="20"/>
      <c r="K70" s="20"/>
    </row>
    <row r="71" customFormat="false" ht="15" hidden="false" customHeight="false" outlineLevel="0" collapsed="false">
      <c r="A71" s="20"/>
      <c r="B71" s="20"/>
      <c r="C71" s="20"/>
      <c r="D71" s="20"/>
      <c r="E71" s="20"/>
      <c r="F71" s="20"/>
      <c r="G71" s="19"/>
      <c r="H71" s="20"/>
      <c r="I71" s="20"/>
      <c r="J71" s="20"/>
      <c r="K71" s="20"/>
    </row>
    <row r="72" customFormat="false" ht="15" hidden="false" customHeight="false" outlineLevel="0" collapsed="false">
      <c r="A72" s="20"/>
      <c r="B72" s="20"/>
      <c r="C72" s="20"/>
      <c r="D72" s="20"/>
      <c r="E72" s="20"/>
      <c r="F72" s="20"/>
      <c r="G72" s="19"/>
      <c r="H72" s="20"/>
      <c r="I72" s="20"/>
      <c r="J72" s="20"/>
      <c r="K72" s="20"/>
    </row>
    <row r="73" customFormat="false" ht="15" hidden="false" customHeight="false" outlineLevel="0" collapsed="false">
      <c r="A73" s="20"/>
      <c r="B73" s="20"/>
      <c r="C73" s="20"/>
      <c r="D73" s="20"/>
      <c r="E73" s="20"/>
      <c r="F73" s="20"/>
      <c r="G73" s="19"/>
      <c r="H73" s="20"/>
      <c r="I73" s="20"/>
      <c r="J73" s="20"/>
      <c r="K73" s="20"/>
    </row>
    <row r="74" customFormat="false" ht="15" hidden="false" customHeight="false" outlineLevel="0" collapsed="false">
      <c r="A74" s="20"/>
      <c r="B74" s="20"/>
      <c r="C74" s="20"/>
      <c r="D74" s="20"/>
      <c r="E74" s="20"/>
      <c r="F74" s="20"/>
      <c r="G74" s="19"/>
      <c r="H74" s="20"/>
      <c r="I74" s="20"/>
      <c r="J74" s="20"/>
      <c r="K74" s="20"/>
    </row>
    <row r="75" customFormat="false" ht="15" hidden="false" customHeight="false" outlineLevel="0" collapsed="false">
      <c r="A75" s="20"/>
      <c r="B75" s="20"/>
      <c r="C75" s="20"/>
      <c r="D75" s="20"/>
      <c r="E75" s="20"/>
      <c r="F75" s="20"/>
      <c r="G75" s="19"/>
      <c r="H75" s="20"/>
      <c r="I75" s="20"/>
      <c r="J75" s="20"/>
      <c r="K75" s="20"/>
    </row>
    <row r="76" customFormat="false" ht="15" hidden="false" customHeight="false" outlineLevel="0" collapsed="false">
      <c r="A76" s="20"/>
      <c r="B76" s="20"/>
      <c r="C76" s="20"/>
      <c r="D76" s="20"/>
      <c r="E76" s="20"/>
      <c r="F76" s="20"/>
      <c r="G76" s="19"/>
      <c r="H76" s="20"/>
      <c r="I76" s="20"/>
      <c r="J76" s="20"/>
      <c r="K76" s="20"/>
    </row>
    <row r="77" customFormat="false" ht="15" hidden="false" customHeight="false" outlineLevel="0" collapsed="false">
      <c r="A77" s="20"/>
      <c r="B77" s="20"/>
      <c r="C77" s="20"/>
      <c r="D77" s="20"/>
      <c r="E77" s="20"/>
      <c r="F77" s="20"/>
      <c r="G77" s="19"/>
      <c r="H77" s="20"/>
      <c r="I77" s="20"/>
      <c r="J77" s="20"/>
      <c r="K77" s="20"/>
    </row>
    <row r="78" customFormat="false" ht="15" hidden="false" customHeight="false" outlineLevel="0" collapsed="false">
      <c r="A78" s="20"/>
      <c r="B78" s="20"/>
      <c r="C78" s="20"/>
      <c r="D78" s="20"/>
      <c r="E78" s="20"/>
      <c r="F78" s="20"/>
      <c r="G78" s="19"/>
      <c r="H78" s="20"/>
      <c r="I78" s="20"/>
      <c r="J78" s="20"/>
      <c r="K78" s="20"/>
    </row>
    <row r="79" customFormat="false" ht="15" hidden="false" customHeight="false" outlineLevel="0" collapsed="false">
      <c r="A79" s="20"/>
      <c r="B79" s="20"/>
      <c r="C79" s="20"/>
      <c r="D79" s="20"/>
      <c r="E79" s="20"/>
      <c r="F79" s="20"/>
      <c r="G79" s="19"/>
      <c r="H79" s="20"/>
      <c r="I79" s="20"/>
      <c r="J79" s="20"/>
      <c r="K79" s="20"/>
    </row>
    <row r="80" customFormat="false" ht="15" hidden="false" customHeight="false" outlineLevel="0" collapsed="false">
      <c r="A80" s="20"/>
      <c r="B80" s="20"/>
      <c r="C80" s="20"/>
      <c r="D80" s="20"/>
      <c r="E80" s="20"/>
      <c r="F80" s="20"/>
      <c r="G80" s="19"/>
      <c r="H80" s="20"/>
      <c r="I80" s="20"/>
      <c r="J80" s="20"/>
      <c r="K80" s="20"/>
    </row>
    <row r="81" customFormat="false" ht="15" hidden="false" customHeight="false" outlineLevel="0" collapsed="false">
      <c r="A81" s="20"/>
      <c r="B81" s="20"/>
      <c r="C81" s="20"/>
      <c r="D81" s="20"/>
      <c r="E81" s="20"/>
      <c r="F81" s="20"/>
      <c r="G81" s="19"/>
      <c r="H81" s="20"/>
      <c r="I81" s="20"/>
      <c r="J81" s="20"/>
      <c r="K81" s="20"/>
    </row>
    <row r="82" customFormat="false" ht="15" hidden="false" customHeight="false" outlineLevel="0" collapsed="false">
      <c r="A82" s="20"/>
      <c r="B82" s="20"/>
      <c r="C82" s="20"/>
      <c r="D82" s="20"/>
      <c r="E82" s="20"/>
      <c r="F82" s="20"/>
      <c r="G82" s="19"/>
      <c r="H82" s="20"/>
      <c r="I82" s="20"/>
      <c r="J82" s="20"/>
      <c r="K82" s="20"/>
    </row>
    <row r="83" customFormat="false" ht="15" hidden="false" customHeight="false" outlineLevel="0" collapsed="false">
      <c r="A83" s="20"/>
      <c r="B83" s="20"/>
      <c r="C83" s="20"/>
      <c r="D83" s="20"/>
      <c r="E83" s="20"/>
      <c r="F83" s="20"/>
      <c r="G83" s="19"/>
      <c r="H83" s="20"/>
      <c r="I83" s="20"/>
      <c r="J83" s="20"/>
      <c r="K83" s="20"/>
    </row>
    <row r="84" customFormat="false" ht="15" hidden="false" customHeight="false" outlineLevel="0" collapsed="false">
      <c r="A84" s="20"/>
      <c r="B84" s="20"/>
      <c r="C84" s="20"/>
      <c r="D84" s="20"/>
      <c r="E84" s="20"/>
      <c r="F84" s="20"/>
      <c r="G84" s="19"/>
      <c r="H84" s="20"/>
      <c r="I84" s="20"/>
      <c r="J84" s="20"/>
      <c r="K84" s="20"/>
    </row>
    <row r="85" customFormat="false" ht="15" hidden="false" customHeight="false" outlineLevel="0" collapsed="false">
      <c r="A85" s="20"/>
      <c r="B85" s="20"/>
      <c r="C85" s="20"/>
      <c r="D85" s="20"/>
      <c r="E85" s="20"/>
      <c r="F85" s="20"/>
      <c r="G85" s="19"/>
      <c r="H85" s="20"/>
      <c r="I85" s="20"/>
      <c r="J85" s="20"/>
      <c r="K85" s="20"/>
    </row>
    <row r="86" customFormat="false" ht="15" hidden="false" customHeight="false" outlineLevel="0" collapsed="false">
      <c r="A86" s="20"/>
      <c r="B86" s="20"/>
      <c r="C86" s="20"/>
      <c r="D86" s="20"/>
      <c r="E86" s="20"/>
      <c r="F86" s="20"/>
      <c r="G86" s="19"/>
      <c r="H86" s="20"/>
      <c r="I86" s="20"/>
      <c r="J86" s="20"/>
      <c r="K86" s="20"/>
    </row>
    <row r="87" customFormat="false" ht="15" hidden="false" customHeight="false" outlineLevel="0" collapsed="false">
      <c r="A87" s="20"/>
      <c r="B87" s="20"/>
      <c r="C87" s="20"/>
      <c r="D87" s="20"/>
      <c r="E87" s="20"/>
      <c r="F87" s="20"/>
      <c r="G87" s="19"/>
      <c r="H87" s="20"/>
      <c r="I87" s="20"/>
      <c r="J87" s="20"/>
      <c r="K87" s="20"/>
    </row>
    <row r="88" customFormat="false" ht="15" hidden="false" customHeight="false" outlineLevel="0" collapsed="false">
      <c r="A88" s="20"/>
      <c r="B88" s="20"/>
      <c r="C88" s="20"/>
      <c r="D88" s="20"/>
      <c r="E88" s="20"/>
      <c r="F88" s="20"/>
      <c r="G88" s="19"/>
      <c r="H88" s="20"/>
      <c r="I88" s="20"/>
      <c r="J88" s="20"/>
      <c r="K88" s="20"/>
    </row>
    <row r="89" customFormat="false" ht="15" hidden="false" customHeight="false" outlineLevel="0" collapsed="false">
      <c r="A89" s="20"/>
      <c r="B89" s="20"/>
      <c r="C89" s="20"/>
      <c r="D89" s="20"/>
      <c r="E89" s="20"/>
      <c r="F89" s="20"/>
      <c r="G89" s="19"/>
      <c r="H89" s="20"/>
      <c r="I89" s="20"/>
      <c r="J89" s="20"/>
      <c r="K89" s="20"/>
    </row>
    <row r="90" customFormat="false" ht="15" hidden="false" customHeight="false" outlineLevel="0" collapsed="false">
      <c r="A90" s="20"/>
      <c r="B90" s="20"/>
      <c r="C90" s="20"/>
      <c r="D90" s="20"/>
      <c r="E90" s="20"/>
      <c r="F90" s="20"/>
      <c r="G90" s="19"/>
      <c r="H90" s="20"/>
      <c r="I90" s="20"/>
      <c r="J90" s="20"/>
      <c r="K90" s="20"/>
    </row>
    <row r="91" customFormat="false" ht="15" hidden="false" customHeight="false" outlineLevel="0" collapsed="false">
      <c r="A91" s="20"/>
      <c r="B91" s="20"/>
      <c r="C91" s="20"/>
      <c r="D91" s="20"/>
      <c r="E91" s="20"/>
      <c r="F91" s="20"/>
      <c r="G91" s="19"/>
      <c r="H91" s="20"/>
      <c r="I91" s="20"/>
      <c r="J91" s="20"/>
      <c r="K91" s="20"/>
    </row>
    <row r="92" customFormat="false" ht="15" hidden="false" customHeight="false" outlineLevel="0" collapsed="false">
      <c r="A92" s="20"/>
      <c r="B92" s="20"/>
      <c r="C92" s="20"/>
      <c r="D92" s="20"/>
      <c r="E92" s="20"/>
      <c r="F92" s="20"/>
      <c r="G92" s="19"/>
      <c r="H92" s="20"/>
      <c r="I92" s="20"/>
      <c r="J92" s="20"/>
      <c r="K92" s="20"/>
    </row>
    <row r="93" customFormat="false" ht="15" hidden="false" customHeight="false" outlineLevel="0" collapsed="false">
      <c r="A93" s="20"/>
      <c r="B93" s="20"/>
      <c r="C93" s="20"/>
      <c r="D93" s="20"/>
      <c r="E93" s="20"/>
      <c r="F93" s="20"/>
      <c r="G93" s="19"/>
      <c r="H93" s="20"/>
      <c r="I93" s="20"/>
      <c r="J93" s="20"/>
      <c r="K93" s="20"/>
    </row>
    <row r="94" customFormat="false" ht="15" hidden="false" customHeight="false" outlineLevel="0" collapsed="false">
      <c r="A94" s="20"/>
      <c r="B94" s="20"/>
      <c r="C94" s="20"/>
      <c r="D94" s="20"/>
      <c r="E94" s="20"/>
      <c r="F94" s="20"/>
      <c r="G94" s="19"/>
      <c r="H94" s="20"/>
      <c r="I94" s="20"/>
      <c r="J94" s="20"/>
      <c r="K94" s="20"/>
    </row>
    <row r="95" customFormat="false" ht="15" hidden="false" customHeight="false" outlineLevel="0" collapsed="false">
      <c r="A95" s="20"/>
      <c r="B95" s="20"/>
      <c r="C95" s="20"/>
      <c r="D95" s="20"/>
      <c r="E95" s="20"/>
      <c r="F95" s="20"/>
      <c r="G95" s="19"/>
      <c r="H95" s="20"/>
      <c r="I95" s="20"/>
      <c r="J95" s="20"/>
      <c r="K95" s="20"/>
    </row>
    <row r="96" customFormat="false" ht="15" hidden="false" customHeight="false" outlineLevel="0" collapsed="false">
      <c r="A96" s="20"/>
      <c r="B96" s="20"/>
      <c r="C96" s="20"/>
      <c r="D96" s="20"/>
      <c r="E96" s="20"/>
      <c r="F96" s="20"/>
      <c r="G96" s="19"/>
      <c r="H96" s="20"/>
      <c r="I96" s="20"/>
      <c r="J96" s="20"/>
      <c r="K96" s="20"/>
    </row>
    <row r="97" customFormat="false" ht="15" hidden="false" customHeight="false" outlineLevel="0" collapsed="false">
      <c r="A97" s="20"/>
      <c r="B97" s="20"/>
      <c r="C97" s="20"/>
      <c r="D97" s="20"/>
      <c r="E97" s="20"/>
      <c r="F97" s="20"/>
      <c r="G97" s="19"/>
      <c r="H97" s="20"/>
      <c r="I97" s="20"/>
      <c r="J97" s="20"/>
      <c r="K97" s="20"/>
    </row>
    <row r="98" customFormat="false" ht="15" hidden="false" customHeight="false" outlineLevel="0" collapsed="false">
      <c r="A98" s="20"/>
      <c r="B98" s="20"/>
      <c r="C98" s="20"/>
      <c r="D98" s="20"/>
      <c r="E98" s="20"/>
      <c r="F98" s="20"/>
      <c r="G98" s="19"/>
      <c r="H98" s="20"/>
      <c r="I98" s="20"/>
      <c r="J98" s="20"/>
      <c r="K98" s="20"/>
    </row>
    <row r="99" customFormat="false" ht="15" hidden="false" customHeight="false" outlineLevel="0" collapsed="false">
      <c r="A99" s="20"/>
      <c r="B99" s="20"/>
      <c r="C99" s="20"/>
      <c r="D99" s="20"/>
      <c r="E99" s="20"/>
      <c r="F99" s="20"/>
      <c r="G99" s="19"/>
      <c r="H99" s="20"/>
      <c r="I99" s="20"/>
      <c r="J99" s="20"/>
      <c r="K99" s="20"/>
    </row>
    <row r="100" customFormat="false" ht="15" hidden="false" customHeight="false" outlineLevel="0" collapsed="false">
      <c r="A100" s="20"/>
      <c r="B100" s="20"/>
      <c r="C100" s="20"/>
      <c r="D100" s="20"/>
      <c r="E100" s="20"/>
      <c r="F100" s="20"/>
      <c r="G100" s="19"/>
      <c r="H100" s="20"/>
      <c r="I100" s="20"/>
      <c r="J100" s="20"/>
      <c r="K100" s="20"/>
    </row>
    <row r="101" customFormat="false" ht="15" hidden="false" customHeight="false" outlineLevel="0" collapsed="false">
      <c r="A101" s="20"/>
      <c r="B101" s="20"/>
      <c r="C101" s="20"/>
      <c r="D101" s="20"/>
      <c r="E101" s="20"/>
      <c r="F101" s="20"/>
      <c r="G101" s="19"/>
      <c r="H101" s="20"/>
      <c r="I101" s="20"/>
      <c r="J101" s="20"/>
      <c r="K101" s="20"/>
    </row>
    <row r="102" customFormat="false" ht="15" hidden="false" customHeight="false" outlineLevel="0" collapsed="false">
      <c r="A102" s="20"/>
      <c r="B102" s="20"/>
      <c r="C102" s="20"/>
      <c r="D102" s="20"/>
      <c r="E102" s="20"/>
      <c r="F102" s="20"/>
      <c r="G102" s="19"/>
      <c r="H102" s="20"/>
      <c r="I102" s="20"/>
      <c r="J102" s="20"/>
      <c r="K102" s="20"/>
    </row>
    <row r="103" customFormat="false" ht="15" hidden="false" customHeight="false" outlineLevel="0" collapsed="false">
      <c r="A103" s="20"/>
      <c r="B103" s="20"/>
      <c r="C103" s="20"/>
      <c r="D103" s="20"/>
      <c r="E103" s="20"/>
      <c r="F103" s="20"/>
      <c r="G103" s="19"/>
      <c r="H103" s="20"/>
      <c r="I103" s="20"/>
      <c r="J103" s="20"/>
      <c r="K103" s="20"/>
    </row>
    <row r="104" customFormat="false" ht="15" hidden="false" customHeight="false" outlineLevel="0" collapsed="false">
      <c r="A104" s="20"/>
      <c r="B104" s="20"/>
      <c r="C104" s="20"/>
      <c r="D104" s="20"/>
      <c r="E104" s="20"/>
      <c r="F104" s="20"/>
      <c r="G104" s="19"/>
      <c r="H104" s="20"/>
      <c r="I104" s="20"/>
      <c r="J104" s="20"/>
      <c r="K104" s="20"/>
    </row>
    <row r="105" customFormat="false" ht="15" hidden="false" customHeight="false" outlineLevel="0" collapsed="false">
      <c r="A105" s="20"/>
      <c r="B105" s="20"/>
      <c r="C105" s="20"/>
      <c r="D105" s="20"/>
      <c r="E105" s="20"/>
      <c r="F105" s="20"/>
      <c r="G105" s="19"/>
      <c r="H105" s="20"/>
      <c r="I105" s="20"/>
      <c r="J105" s="20"/>
      <c r="K105" s="20"/>
    </row>
    <row r="106" customFormat="false" ht="15" hidden="false" customHeight="false" outlineLevel="0" collapsed="false">
      <c r="A106" s="20"/>
      <c r="B106" s="20"/>
      <c r="C106" s="20"/>
      <c r="D106" s="20"/>
      <c r="E106" s="20"/>
      <c r="F106" s="20"/>
      <c r="G106" s="19"/>
      <c r="H106" s="20"/>
      <c r="I106" s="20"/>
      <c r="J106" s="20"/>
      <c r="K106" s="20"/>
    </row>
    <row r="107" customFormat="false" ht="15" hidden="false" customHeight="false" outlineLevel="0" collapsed="false">
      <c r="A107" s="20"/>
      <c r="B107" s="20"/>
      <c r="C107" s="20"/>
      <c r="D107" s="20"/>
      <c r="E107" s="20"/>
      <c r="F107" s="20"/>
      <c r="G107" s="19"/>
      <c r="H107" s="20"/>
      <c r="I107" s="20"/>
      <c r="J107" s="20"/>
      <c r="K107" s="20"/>
    </row>
    <row r="108" customFormat="false" ht="15" hidden="false" customHeight="false" outlineLevel="0" collapsed="false">
      <c r="A108" s="20"/>
      <c r="B108" s="20"/>
      <c r="C108" s="20"/>
      <c r="D108" s="20"/>
      <c r="E108" s="20"/>
      <c r="F108" s="20"/>
      <c r="G108" s="19"/>
      <c r="H108" s="20"/>
      <c r="I108" s="20"/>
      <c r="J108" s="20"/>
      <c r="K108" s="20"/>
    </row>
    <row r="109" customFormat="false" ht="15" hidden="false" customHeight="false" outlineLevel="0" collapsed="false">
      <c r="A109" s="20"/>
      <c r="B109" s="20"/>
      <c r="C109" s="20"/>
      <c r="D109" s="20"/>
      <c r="E109" s="20"/>
      <c r="F109" s="20"/>
      <c r="G109" s="19"/>
      <c r="H109" s="20"/>
      <c r="I109" s="20"/>
      <c r="J109" s="20"/>
      <c r="K109" s="20"/>
    </row>
    <row r="110" customFormat="false" ht="15" hidden="false" customHeight="false" outlineLevel="0" collapsed="false">
      <c r="A110" s="20"/>
      <c r="B110" s="20"/>
      <c r="C110" s="20"/>
      <c r="D110" s="20"/>
      <c r="E110" s="20"/>
      <c r="F110" s="20"/>
      <c r="G110" s="19"/>
      <c r="H110" s="20"/>
      <c r="I110" s="20"/>
      <c r="J110" s="20"/>
      <c r="K110" s="20"/>
    </row>
    <row r="111" customFormat="false" ht="15" hidden="false" customHeight="false" outlineLevel="0" collapsed="false">
      <c r="A111" s="20"/>
      <c r="B111" s="20"/>
      <c r="C111" s="20"/>
      <c r="D111" s="20"/>
      <c r="E111" s="20"/>
      <c r="F111" s="20"/>
      <c r="G111" s="19"/>
      <c r="H111" s="20"/>
      <c r="I111" s="20"/>
      <c r="J111" s="20"/>
      <c r="K111" s="20"/>
    </row>
    <row r="112" customFormat="false" ht="15" hidden="false" customHeight="false" outlineLevel="0" collapsed="false">
      <c r="A112" s="20"/>
      <c r="B112" s="20"/>
      <c r="C112" s="20"/>
      <c r="D112" s="20"/>
      <c r="E112" s="20"/>
      <c r="F112" s="20"/>
      <c r="G112" s="19"/>
      <c r="H112" s="20"/>
      <c r="I112" s="20"/>
      <c r="J112" s="20"/>
      <c r="K112" s="20"/>
    </row>
    <row r="113" customFormat="false" ht="15" hidden="false" customHeight="false" outlineLevel="0" collapsed="false">
      <c r="A113" s="20"/>
      <c r="B113" s="20"/>
      <c r="C113" s="20"/>
      <c r="D113" s="20"/>
      <c r="E113" s="20"/>
      <c r="F113" s="20"/>
      <c r="G113" s="19"/>
      <c r="H113" s="20"/>
      <c r="I113" s="20"/>
      <c r="J113" s="20"/>
      <c r="K113" s="20"/>
    </row>
    <row r="114" customFormat="false" ht="15" hidden="false" customHeight="false" outlineLevel="0" collapsed="false">
      <c r="A114" s="20"/>
      <c r="B114" s="20"/>
      <c r="C114" s="20"/>
      <c r="D114" s="20"/>
      <c r="E114" s="20"/>
      <c r="F114" s="20"/>
      <c r="G114" s="19"/>
      <c r="H114" s="20"/>
      <c r="I114" s="20"/>
      <c r="J114" s="20"/>
      <c r="K114" s="20"/>
    </row>
    <row r="115" customFormat="false" ht="15" hidden="false" customHeight="false" outlineLevel="0" collapsed="false">
      <c r="A115" s="20"/>
      <c r="B115" s="20"/>
      <c r="C115" s="20"/>
      <c r="D115" s="20"/>
      <c r="E115" s="20"/>
      <c r="F115" s="20"/>
      <c r="G115" s="19"/>
      <c r="H115" s="20"/>
      <c r="I115" s="20"/>
      <c r="J115" s="20"/>
      <c r="K115" s="20"/>
    </row>
    <row r="116" customFormat="false" ht="15" hidden="false" customHeight="false" outlineLevel="0" collapsed="false">
      <c r="A116" s="20"/>
      <c r="B116" s="20"/>
      <c r="C116" s="20"/>
      <c r="D116" s="20"/>
      <c r="E116" s="20"/>
      <c r="F116" s="20"/>
      <c r="G116" s="19"/>
      <c r="H116" s="20"/>
      <c r="I116" s="20"/>
      <c r="J116" s="20"/>
      <c r="K116" s="20"/>
    </row>
    <row r="117" customFormat="false" ht="15" hidden="false" customHeight="false" outlineLevel="0" collapsed="false">
      <c r="A117" s="20"/>
      <c r="B117" s="20"/>
      <c r="C117" s="20"/>
      <c r="D117" s="20"/>
      <c r="E117" s="20"/>
      <c r="F117" s="20"/>
      <c r="G117" s="19"/>
      <c r="H117" s="20"/>
      <c r="I117" s="20"/>
      <c r="J117" s="20"/>
      <c r="K117" s="20"/>
    </row>
    <row r="118" customFormat="false" ht="15" hidden="false" customHeight="false" outlineLevel="0" collapsed="false">
      <c r="A118" s="20"/>
      <c r="B118" s="20"/>
      <c r="C118" s="20"/>
      <c r="D118" s="20"/>
      <c r="E118" s="20"/>
      <c r="F118" s="20"/>
      <c r="G118" s="19"/>
      <c r="H118" s="20"/>
      <c r="I118" s="20"/>
      <c r="J118" s="20"/>
      <c r="K118" s="20"/>
    </row>
    <row r="119" customFormat="false" ht="15" hidden="false" customHeight="false" outlineLevel="0" collapsed="false">
      <c r="A119" s="20"/>
      <c r="B119" s="20"/>
      <c r="C119" s="20"/>
      <c r="D119" s="20"/>
      <c r="E119" s="20"/>
      <c r="F119" s="20"/>
      <c r="G119" s="19"/>
      <c r="H119" s="20"/>
      <c r="I119" s="20"/>
      <c r="J119" s="20"/>
      <c r="K119" s="20"/>
    </row>
    <row r="120" customFormat="false" ht="15" hidden="false" customHeight="false" outlineLevel="0" collapsed="false">
      <c r="A120" s="20"/>
      <c r="B120" s="20"/>
      <c r="C120" s="20"/>
      <c r="D120" s="20"/>
      <c r="E120" s="20"/>
      <c r="F120" s="20"/>
      <c r="G120" s="19"/>
      <c r="H120" s="20"/>
      <c r="I120" s="20"/>
      <c r="J120" s="20"/>
      <c r="K120" s="20"/>
    </row>
    <row r="121" customFormat="false" ht="15" hidden="false" customHeight="false" outlineLevel="0" collapsed="false">
      <c r="A121" s="20"/>
      <c r="B121" s="20"/>
      <c r="C121" s="20"/>
      <c r="D121" s="20"/>
      <c r="E121" s="20"/>
      <c r="F121" s="20"/>
      <c r="G121" s="19"/>
      <c r="H121" s="20"/>
      <c r="I121" s="20"/>
      <c r="J121" s="20"/>
      <c r="K121" s="20"/>
    </row>
    <row r="122" customFormat="false" ht="15" hidden="false" customHeight="false" outlineLevel="0" collapsed="false">
      <c r="A122" s="20"/>
      <c r="B122" s="20"/>
      <c r="C122" s="20"/>
      <c r="D122" s="20"/>
      <c r="E122" s="20"/>
      <c r="F122" s="20"/>
      <c r="G122" s="19"/>
      <c r="H122" s="20"/>
      <c r="I122" s="20"/>
      <c r="J122" s="20"/>
      <c r="K122" s="20"/>
    </row>
    <row r="123" customFormat="false" ht="15" hidden="false" customHeight="false" outlineLevel="0" collapsed="false">
      <c r="A123" s="20"/>
      <c r="B123" s="20"/>
      <c r="C123" s="20"/>
      <c r="D123" s="20"/>
      <c r="E123" s="20"/>
      <c r="F123" s="20"/>
      <c r="G123" s="19"/>
      <c r="H123" s="20"/>
      <c r="I123" s="20"/>
      <c r="J123" s="20"/>
      <c r="K123" s="20"/>
    </row>
    <row r="124" customFormat="false" ht="15" hidden="false" customHeight="false" outlineLevel="0" collapsed="false">
      <c r="A124" s="20"/>
      <c r="B124" s="20"/>
      <c r="C124" s="20"/>
      <c r="D124" s="20"/>
      <c r="E124" s="20"/>
      <c r="F124" s="20"/>
      <c r="G124" s="19"/>
      <c r="H124" s="20"/>
      <c r="I124" s="20"/>
      <c r="J124" s="20"/>
      <c r="K124" s="20"/>
    </row>
    <row r="125" customFormat="false" ht="15" hidden="false" customHeight="false" outlineLevel="0" collapsed="false">
      <c r="A125" s="20"/>
      <c r="B125" s="20"/>
      <c r="C125" s="20"/>
      <c r="D125" s="20"/>
      <c r="E125" s="20"/>
      <c r="F125" s="20"/>
      <c r="G125" s="19"/>
      <c r="H125" s="20"/>
      <c r="I125" s="20"/>
      <c r="J125" s="20"/>
      <c r="K125" s="20"/>
    </row>
    <row r="126" customFormat="false" ht="15" hidden="false" customHeight="false" outlineLevel="0" collapsed="false">
      <c r="A126" s="20"/>
      <c r="B126" s="20"/>
      <c r="C126" s="20"/>
      <c r="D126" s="20"/>
      <c r="E126" s="20"/>
      <c r="F126" s="20"/>
      <c r="G126" s="19"/>
      <c r="H126" s="20"/>
      <c r="I126" s="20"/>
      <c r="J126" s="20"/>
      <c r="K126" s="20"/>
    </row>
    <row r="127" customFormat="false" ht="15" hidden="false" customHeight="false" outlineLevel="0" collapsed="false">
      <c r="A127" s="20"/>
      <c r="B127" s="20"/>
      <c r="C127" s="20"/>
      <c r="D127" s="20"/>
      <c r="E127" s="20"/>
      <c r="F127" s="20"/>
      <c r="G127" s="19"/>
      <c r="H127" s="20"/>
      <c r="I127" s="20"/>
      <c r="J127" s="20"/>
      <c r="K127" s="20"/>
    </row>
    <row r="128" customFormat="false" ht="15" hidden="false" customHeight="false" outlineLevel="0" collapsed="false">
      <c r="A128" s="20"/>
      <c r="B128" s="20"/>
      <c r="C128" s="20"/>
      <c r="D128" s="20"/>
      <c r="E128" s="20"/>
      <c r="F128" s="20"/>
      <c r="G128" s="19"/>
      <c r="H128" s="20"/>
      <c r="I128" s="20"/>
      <c r="J128" s="20"/>
      <c r="K128" s="20"/>
    </row>
    <row r="129" customFormat="false" ht="15" hidden="false" customHeight="false" outlineLevel="0" collapsed="false">
      <c r="A129" s="20"/>
      <c r="B129" s="20"/>
      <c r="C129" s="20"/>
      <c r="D129" s="20"/>
      <c r="E129" s="20"/>
      <c r="F129" s="20"/>
      <c r="G129" s="19"/>
      <c r="H129" s="20"/>
      <c r="I129" s="20"/>
      <c r="J129" s="20"/>
      <c r="K129" s="20"/>
    </row>
    <row r="130" customFormat="false" ht="15" hidden="false" customHeight="false" outlineLevel="0" collapsed="false">
      <c r="A130" s="20"/>
      <c r="B130" s="20"/>
      <c r="C130" s="20"/>
      <c r="D130" s="20"/>
      <c r="E130" s="20"/>
      <c r="F130" s="20"/>
      <c r="G130" s="19"/>
      <c r="H130" s="20"/>
      <c r="I130" s="20"/>
      <c r="J130" s="20"/>
      <c r="K130" s="20"/>
    </row>
    <row r="131" customFormat="false" ht="15" hidden="false" customHeight="false" outlineLevel="0" collapsed="false">
      <c r="A131" s="20"/>
      <c r="B131" s="20"/>
      <c r="C131" s="20"/>
      <c r="D131" s="20"/>
      <c r="E131" s="20"/>
      <c r="F131" s="20"/>
      <c r="G131" s="19"/>
      <c r="H131" s="20"/>
      <c r="I131" s="20"/>
      <c r="J131" s="20"/>
      <c r="K131" s="20"/>
    </row>
    <row r="132" customFormat="false" ht="15" hidden="false" customHeight="false" outlineLevel="0" collapsed="false">
      <c r="A132" s="20"/>
      <c r="B132" s="20"/>
      <c r="C132" s="20"/>
      <c r="D132" s="20"/>
      <c r="E132" s="20"/>
      <c r="F132" s="20"/>
      <c r="G132" s="19"/>
      <c r="H132" s="20"/>
      <c r="I132" s="20"/>
      <c r="J132" s="20"/>
      <c r="K132" s="20"/>
    </row>
    <row r="133" customFormat="false" ht="15" hidden="false" customHeight="false" outlineLevel="0" collapsed="false">
      <c r="A133" s="20"/>
      <c r="B133" s="20"/>
      <c r="C133" s="20"/>
      <c r="D133" s="20"/>
      <c r="E133" s="20"/>
      <c r="F133" s="20"/>
      <c r="G133" s="19"/>
      <c r="H133" s="20"/>
      <c r="I133" s="20"/>
      <c r="J133" s="20"/>
      <c r="K133" s="20"/>
    </row>
    <row r="134" customFormat="false" ht="15" hidden="false" customHeight="false" outlineLevel="0" collapsed="false">
      <c r="A134" s="20"/>
      <c r="B134" s="20"/>
      <c r="C134" s="20"/>
      <c r="D134" s="20"/>
      <c r="E134" s="20"/>
      <c r="F134" s="20"/>
      <c r="G134" s="19"/>
      <c r="H134" s="20"/>
      <c r="I134" s="20"/>
      <c r="J134" s="20"/>
      <c r="K134" s="20"/>
    </row>
    <row r="135" customFormat="false" ht="15" hidden="false" customHeight="false" outlineLevel="0" collapsed="false">
      <c r="A135" s="20"/>
      <c r="B135" s="20"/>
      <c r="C135" s="20"/>
      <c r="D135" s="20"/>
      <c r="E135" s="20"/>
      <c r="F135" s="20"/>
      <c r="G135" s="19"/>
      <c r="H135" s="20"/>
      <c r="I135" s="20"/>
      <c r="J135" s="20"/>
      <c r="K135" s="20"/>
    </row>
    <row r="136" customFormat="false" ht="15" hidden="false" customHeight="false" outlineLevel="0" collapsed="false">
      <c r="A136" s="20"/>
      <c r="B136" s="20"/>
      <c r="C136" s="20"/>
      <c r="D136" s="20"/>
      <c r="E136" s="20"/>
      <c r="F136" s="20"/>
      <c r="G136" s="19"/>
      <c r="H136" s="20"/>
      <c r="I136" s="20"/>
      <c r="J136" s="20"/>
      <c r="K136" s="20"/>
    </row>
    <row r="137" customFormat="false" ht="15" hidden="false" customHeight="false" outlineLevel="0" collapsed="false">
      <c r="A137" s="20"/>
      <c r="B137" s="20"/>
      <c r="C137" s="20"/>
      <c r="D137" s="20"/>
      <c r="E137" s="20"/>
      <c r="F137" s="20"/>
      <c r="G137" s="19"/>
      <c r="H137" s="20"/>
      <c r="I137" s="20"/>
      <c r="J137" s="20"/>
      <c r="K137" s="20"/>
    </row>
    <row r="138" customFormat="false" ht="15" hidden="false" customHeight="false" outlineLevel="0" collapsed="false">
      <c r="A138" s="20"/>
      <c r="B138" s="20"/>
      <c r="C138" s="20"/>
      <c r="D138" s="20"/>
      <c r="E138" s="20"/>
      <c r="F138" s="20"/>
      <c r="G138" s="19"/>
      <c r="H138" s="20"/>
      <c r="I138" s="20"/>
      <c r="J138" s="20"/>
      <c r="K138" s="20"/>
    </row>
    <row r="139" customFormat="false" ht="15" hidden="false" customHeight="false" outlineLevel="0" collapsed="false">
      <c r="A139" s="20"/>
      <c r="B139" s="20"/>
      <c r="C139" s="20"/>
      <c r="D139" s="20"/>
      <c r="E139" s="20"/>
      <c r="F139" s="20"/>
      <c r="G139" s="19"/>
      <c r="H139" s="20"/>
      <c r="I139" s="20"/>
      <c r="J139" s="20"/>
      <c r="K139" s="20"/>
    </row>
    <row r="140" customFormat="false" ht="15" hidden="false" customHeight="false" outlineLevel="0" collapsed="false">
      <c r="A140" s="20"/>
      <c r="B140" s="20"/>
      <c r="C140" s="20"/>
      <c r="D140" s="20"/>
      <c r="E140" s="20"/>
      <c r="F140" s="20"/>
      <c r="G140" s="19"/>
      <c r="H140" s="20"/>
      <c r="I140" s="20"/>
      <c r="J140" s="20"/>
      <c r="K140" s="20"/>
    </row>
    <row r="141" customFormat="false" ht="15" hidden="false" customHeight="false" outlineLevel="0" collapsed="false">
      <c r="A141" s="20"/>
      <c r="B141" s="20"/>
      <c r="C141" s="20"/>
      <c r="D141" s="20"/>
      <c r="E141" s="20"/>
      <c r="F141" s="20"/>
      <c r="G141" s="19"/>
      <c r="H141" s="20"/>
      <c r="I141" s="20"/>
      <c r="J141" s="20"/>
      <c r="K141" s="20"/>
    </row>
    <row r="142" customFormat="false" ht="15" hidden="false" customHeight="false" outlineLevel="0" collapsed="false">
      <c r="A142" s="20"/>
      <c r="B142" s="20"/>
      <c r="C142" s="20"/>
      <c r="D142" s="20"/>
      <c r="E142" s="20"/>
      <c r="F142" s="20"/>
      <c r="G142" s="19"/>
      <c r="H142" s="20"/>
      <c r="I142" s="20"/>
      <c r="J142" s="20"/>
      <c r="K142" s="20"/>
    </row>
    <row r="143" customFormat="false" ht="15" hidden="false" customHeight="false" outlineLevel="0" collapsed="false">
      <c r="A143" s="20"/>
      <c r="B143" s="20"/>
      <c r="C143" s="20"/>
      <c r="D143" s="20"/>
      <c r="E143" s="20"/>
      <c r="F143" s="20"/>
      <c r="G143" s="19"/>
      <c r="H143" s="20"/>
      <c r="I143" s="20"/>
      <c r="J143" s="20"/>
      <c r="K143" s="20"/>
    </row>
    <row r="144" customFormat="false" ht="15" hidden="false" customHeight="false" outlineLevel="0" collapsed="false">
      <c r="A144" s="20"/>
      <c r="B144" s="20"/>
      <c r="C144" s="20"/>
      <c r="D144" s="20"/>
      <c r="E144" s="20"/>
      <c r="F144" s="20"/>
      <c r="G144" s="19"/>
      <c r="H144" s="20"/>
      <c r="I144" s="20"/>
      <c r="J144" s="20"/>
      <c r="K144" s="20"/>
    </row>
    <row r="145" customFormat="false" ht="15" hidden="false" customHeight="false" outlineLevel="0" collapsed="false">
      <c r="A145" s="20"/>
      <c r="B145" s="20"/>
      <c r="C145" s="20"/>
      <c r="D145" s="20"/>
      <c r="E145" s="20"/>
      <c r="F145" s="20"/>
      <c r="G145" s="19"/>
      <c r="H145" s="20"/>
      <c r="I145" s="20"/>
      <c r="J145" s="20"/>
      <c r="K145" s="20"/>
    </row>
    <row r="146" customFormat="false" ht="15" hidden="false" customHeight="false" outlineLevel="0" collapsed="false">
      <c r="A146" s="20"/>
      <c r="B146" s="20"/>
      <c r="C146" s="20"/>
      <c r="D146" s="20"/>
      <c r="E146" s="20"/>
      <c r="F146" s="20"/>
      <c r="G146" s="19"/>
      <c r="H146" s="20"/>
      <c r="I146" s="20"/>
      <c r="J146" s="20"/>
      <c r="K146" s="20"/>
    </row>
    <row r="147" customFormat="false" ht="15" hidden="false" customHeight="false" outlineLevel="0" collapsed="false">
      <c r="A147" s="20"/>
      <c r="B147" s="20"/>
      <c r="C147" s="20"/>
      <c r="D147" s="20"/>
      <c r="E147" s="20"/>
      <c r="F147" s="20"/>
      <c r="G147" s="19"/>
      <c r="H147" s="20"/>
      <c r="I147" s="20"/>
      <c r="J147" s="20"/>
      <c r="K147" s="20"/>
    </row>
    <row r="148" customFormat="false" ht="15" hidden="false" customHeight="false" outlineLevel="0" collapsed="false">
      <c r="A148" s="20"/>
      <c r="B148" s="20"/>
      <c r="C148" s="20"/>
      <c r="D148" s="20"/>
      <c r="E148" s="20"/>
      <c r="F148" s="20"/>
      <c r="G148" s="19"/>
      <c r="H148" s="20"/>
      <c r="I148" s="20"/>
      <c r="J148" s="20"/>
      <c r="K148" s="20"/>
    </row>
    <row r="149" customFormat="false" ht="15" hidden="false" customHeight="false" outlineLevel="0" collapsed="false">
      <c r="A149" s="20"/>
      <c r="B149" s="20"/>
      <c r="C149" s="20"/>
      <c r="D149" s="20"/>
      <c r="E149" s="20"/>
      <c r="F149" s="20"/>
      <c r="G149" s="19"/>
      <c r="H149" s="20"/>
      <c r="I149" s="20"/>
      <c r="J149" s="20"/>
      <c r="K149" s="20"/>
    </row>
    <row r="150" customFormat="false" ht="15" hidden="false" customHeight="false" outlineLevel="0" collapsed="false">
      <c r="A150" s="20"/>
      <c r="B150" s="20"/>
      <c r="C150" s="20"/>
      <c r="D150" s="20"/>
      <c r="E150" s="20"/>
      <c r="F150" s="20"/>
      <c r="G150" s="19"/>
      <c r="H150" s="20"/>
      <c r="I150" s="20"/>
      <c r="J150" s="20"/>
      <c r="K150" s="20"/>
    </row>
    <row r="151" customFormat="false" ht="15" hidden="false" customHeight="false" outlineLevel="0" collapsed="false">
      <c r="A151" s="20"/>
      <c r="B151" s="20"/>
      <c r="C151" s="20"/>
      <c r="D151" s="20"/>
      <c r="E151" s="20"/>
      <c r="F151" s="20"/>
      <c r="G151" s="19"/>
      <c r="H151" s="20"/>
      <c r="I151" s="20"/>
      <c r="J151" s="20"/>
      <c r="K151" s="20"/>
    </row>
    <row r="152" customFormat="false" ht="15" hidden="false" customHeight="false" outlineLevel="0" collapsed="false">
      <c r="A152" s="20"/>
      <c r="B152" s="20"/>
      <c r="C152" s="20"/>
      <c r="D152" s="20"/>
      <c r="E152" s="20"/>
      <c r="F152" s="20"/>
      <c r="G152" s="19"/>
      <c r="H152" s="20"/>
      <c r="I152" s="20"/>
      <c r="J152" s="20"/>
      <c r="K152" s="20"/>
    </row>
    <row r="153" customFormat="false" ht="15" hidden="false" customHeight="false" outlineLevel="0" collapsed="false">
      <c r="A153" s="20"/>
      <c r="B153" s="20"/>
      <c r="C153" s="20"/>
      <c r="D153" s="20"/>
      <c r="E153" s="20"/>
      <c r="F153" s="20"/>
      <c r="G153" s="19"/>
      <c r="H153" s="20"/>
      <c r="I153" s="20"/>
      <c r="J153" s="20"/>
      <c r="K153" s="20"/>
    </row>
    <row r="154" customFormat="false" ht="15" hidden="false" customHeight="false" outlineLevel="0" collapsed="false">
      <c r="A154" s="20"/>
      <c r="B154" s="20"/>
      <c r="C154" s="20"/>
      <c r="D154" s="20"/>
      <c r="E154" s="20"/>
      <c r="F154" s="20"/>
      <c r="G154" s="19"/>
      <c r="H154" s="20"/>
      <c r="I154" s="20"/>
      <c r="J154" s="20"/>
      <c r="K154" s="20"/>
    </row>
    <row r="155" customFormat="false" ht="15" hidden="false" customHeight="false" outlineLevel="0" collapsed="false">
      <c r="A155" s="20"/>
      <c r="B155" s="20"/>
      <c r="C155" s="20"/>
      <c r="D155" s="20"/>
      <c r="E155" s="20"/>
      <c r="F155" s="20"/>
      <c r="G155" s="19"/>
      <c r="H155" s="20"/>
      <c r="I155" s="20"/>
      <c r="J155" s="20"/>
      <c r="K155" s="20"/>
    </row>
    <row r="156" customFormat="false" ht="15" hidden="false" customHeight="false" outlineLevel="0" collapsed="false">
      <c r="A156" s="20"/>
      <c r="B156" s="20"/>
      <c r="C156" s="20"/>
      <c r="D156" s="20"/>
      <c r="E156" s="20"/>
      <c r="F156" s="20"/>
      <c r="G156" s="19"/>
      <c r="H156" s="20"/>
      <c r="I156" s="20"/>
      <c r="J156" s="20"/>
      <c r="K156" s="20"/>
    </row>
    <row r="157" customFormat="false" ht="15" hidden="false" customHeight="false" outlineLevel="0" collapsed="false">
      <c r="A157" s="20"/>
      <c r="B157" s="20"/>
      <c r="C157" s="20"/>
      <c r="D157" s="20"/>
      <c r="E157" s="20"/>
      <c r="F157" s="20"/>
      <c r="G157" s="19"/>
      <c r="H157" s="20"/>
      <c r="I157" s="20"/>
      <c r="J157" s="20"/>
      <c r="K157" s="20"/>
    </row>
    <row r="158" customFormat="false" ht="15" hidden="false" customHeight="false" outlineLevel="0" collapsed="false">
      <c r="A158" s="20"/>
      <c r="B158" s="20"/>
      <c r="C158" s="20"/>
      <c r="D158" s="20"/>
      <c r="E158" s="20"/>
      <c r="F158" s="20"/>
      <c r="G158" s="19"/>
      <c r="H158" s="20"/>
      <c r="I158" s="20"/>
      <c r="J158" s="20"/>
      <c r="K158" s="20"/>
    </row>
    <row r="159" customFormat="false" ht="15" hidden="false" customHeight="false" outlineLevel="0" collapsed="false">
      <c r="A159" s="20"/>
      <c r="B159" s="20"/>
      <c r="C159" s="20"/>
      <c r="D159" s="20"/>
      <c r="E159" s="20"/>
      <c r="F159" s="20"/>
      <c r="G159" s="19"/>
      <c r="H159" s="20"/>
      <c r="I159" s="20"/>
      <c r="J159" s="20"/>
      <c r="K159" s="20"/>
    </row>
    <row r="160" customFormat="false" ht="15" hidden="false" customHeight="false" outlineLevel="0" collapsed="false">
      <c r="A160" s="20"/>
      <c r="B160" s="20"/>
      <c r="C160" s="20"/>
      <c r="D160" s="20"/>
      <c r="E160" s="20"/>
      <c r="F160" s="20"/>
      <c r="G160" s="19"/>
      <c r="H160" s="20"/>
      <c r="I160" s="20"/>
      <c r="J160" s="20"/>
      <c r="K160" s="20"/>
    </row>
    <row r="161" customFormat="false" ht="15" hidden="false" customHeight="false" outlineLevel="0" collapsed="false">
      <c r="A161" s="20"/>
      <c r="B161" s="20"/>
      <c r="C161" s="20"/>
      <c r="D161" s="20"/>
      <c r="E161" s="20"/>
      <c r="F161" s="20"/>
      <c r="G161" s="19"/>
      <c r="H161" s="20"/>
      <c r="I161" s="20"/>
      <c r="J161" s="20"/>
      <c r="K161" s="20"/>
    </row>
    <row r="162" customFormat="false" ht="15" hidden="false" customHeight="false" outlineLevel="0" collapsed="false">
      <c r="A162" s="20"/>
      <c r="B162" s="20"/>
      <c r="C162" s="20"/>
      <c r="D162" s="20"/>
      <c r="E162" s="20"/>
      <c r="F162" s="20"/>
      <c r="G162" s="19"/>
      <c r="H162" s="20"/>
      <c r="I162" s="20"/>
      <c r="J162" s="20"/>
      <c r="K162" s="20"/>
    </row>
    <row r="163" customFormat="false" ht="15" hidden="false" customHeight="false" outlineLevel="0" collapsed="false">
      <c r="A163" s="20"/>
      <c r="B163" s="20"/>
      <c r="C163" s="20"/>
      <c r="D163" s="20"/>
      <c r="E163" s="20"/>
      <c r="F163" s="20"/>
      <c r="G163" s="19"/>
      <c r="H163" s="20"/>
      <c r="I163" s="20"/>
      <c r="J163" s="20"/>
      <c r="K163" s="20"/>
    </row>
    <row r="164" customFormat="false" ht="15" hidden="false" customHeight="false" outlineLevel="0" collapsed="false">
      <c r="A164" s="20"/>
      <c r="B164" s="20"/>
      <c r="C164" s="20"/>
      <c r="D164" s="20"/>
      <c r="E164" s="20"/>
      <c r="F164" s="20"/>
      <c r="G164" s="19"/>
      <c r="H164" s="20"/>
      <c r="I164" s="20"/>
      <c r="J164" s="20"/>
      <c r="K164" s="20"/>
    </row>
    <row r="165" customFormat="false" ht="15" hidden="false" customHeight="false" outlineLevel="0" collapsed="false">
      <c r="A165" s="20"/>
      <c r="B165" s="20"/>
      <c r="C165" s="20"/>
      <c r="D165" s="20"/>
      <c r="E165" s="20"/>
      <c r="F165" s="20"/>
      <c r="G165" s="19"/>
      <c r="H165" s="20"/>
      <c r="I165" s="20"/>
      <c r="J165" s="20"/>
      <c r="K165" s="20"/>
    </row>
    <row r="166" customFormat="false" ht="15" hidden="false" customHeight="false" outlineLevel="0" collapsed="false">
      <c r="A166" s="20"/>
      <c r="B166" s="20"/>
      <c r="C166" s="20"/>
      <c r="D166" s="20"/>
      <c r="E166" s="20"/>
      <c r="F166" s="20"/>
      <c r="G166" s="19"/>
      <c r="H166" s="20"/>
      <c r="I166" s="20"/>
      <c r="J166" s="20"/>
      <c r="K166" s="20"/>
    </row>
    <row r="167" customFormat="false" ht="15" hidden="false" customHeight="false" outlineLevel="0" collapsed="false">
      <c r="A167" s="20"/>
      <c r="B167" s="20"/>
      <c r="C167" s="20"/>
      <c r="D167" s="20"/>
      <c r="E167" s="20"/>
      <c r="F167" s="20"/>
      <c r="G167" s="19"/>
      <c r="H167" s="20"/>
      <c r="I167" s="20"/>
      <c r="J167" s="20"/>
      <c r="K167" s="20"/>
    </row>
    <row r="168" customFormat="false" ht="15" hidden="false" customHeight="false" outlineLevel="0" collapsed="false">
      <c r="A168" s="20"/>
      <c r="B168" s="20"/>
      <c r="C168" s="20"/>
      <c r="D168" s="20"/>
      <c r="E168" s="20"/>
      <c r="F168" s="20"/>
      <c r="G168" s="19"/>
      <c r="H168" s="20"/>
      <c r="I168" s="20"/>
      <c r="J168" s="20"/>
      <c r="K168" s="20"/>
    </row>
    <row r="169" customFormat="false" ht="15" hidden="false" customHeight="false" outlineLevel="0" collapsed="false">
      <c r="A169" s="20"/>
      <c r="B169" s="20"/>
      <c r="C169" s="20"/>
      <c r="D169" s="20"/>
      <c r="E169" s="20"/>
      <c r="F169" s="20"/>
      <c r="G169" s="19"/>
      <c r="H169" s="20"/>
      <c r="I169" s="20"/>
      <c r="J169" s="20"/>
      <c r="K169" s="20"/>
    </row>
    <row r="170" customFormat="false" ht="15" hidden="false" customHeight="false" outlineLevel="0" collapsed="false">
      <c r="A170" s="20"/>
      <c r="B170" s="20"/>
      <c r="C170" s="20"/>
      <c r="D170" s="20"/>
      <c r="E170" s="20"/>
      <c r="F170" s="20"/>
      <c r="G170" s="19"/>
      <c r="H170" s="20"/>
      <c r="I170" s="20"/>
      <c r="J170" s="20"/>
      <c r="K170" s="20"/>
    </row>
    <row r="171" customFormat="false" ht="15" hidden="false" customHeight="false" outlineLevel="0" collapsed="false">
      <c r="A171" s="20"/>
      <c r="B171" s="20"/>
      <c r="C171" s="20"/>
      <c r="D171" s="20"/>
      <c r="E171" s="20"/>
      <c r="F171" s="20"/>
      <c r="G171" s="19"/>
      <c r="H171" s="20"/>
      <c r="I171" s="20"/>
      <c r="J171" s="20"/>
      <c r="K171" s="20"/>
    </row>
    <row r="172" customFormat="false" ht="15" hidden="false" customHeight="false" outlineLevel="0" collapsed="false">
      <c r="A172" s="20"/>
      <c r="B172" s="20"/>
      <c r="C172" s="20"/>
      <c r="D172" s="20"/>
      <c r="E172" s="20"/>
      <c r="F172" s="20"/>
      <c r="G172" s="19"/>
      <c r="H172" s="20"/>
      <c r="I172" s="20"/>
      <c r="J172" s="20"/>
      <c r="K172" s="20"/>
    </row>
    <row r="173" customFormat="false" ht="15" hidden="false" customHeight="false" outlineLevel="0" collapsed="false">
      <c r="A173" s="20"/>
      <c r="B173" s="20"/>
      <c r="C173" s="20"/>
      <c r="D173" s="20"/>
      <c r="E173" s="20"/>
      <c r="F173" s="20"/>
      <c r="G173" s="19"/>
      <c r="H173" s="20"/>
      <c r="I173" s="20"/>
      <c r="J173" s="20"/>
      <c r="K173" s="20"/>
    </row>
    <row r="174" customFormat="false" ht="15" hidden="false" customHeight="false" outlineLevel="0" collapsed="false">
      <c r="A174" s="20"/>
      <c r="B174" s="20"/>
      <c r="C174" s="20"/>
      <c r="D174" s="20"/>
      <c r="E174" s="20"/>
      <c r="F174" s="20"/>
      <c r="G174" s="19"/>
      <c r="H174" s="20"/>
      <c r="I174" s="20"/>
      <c r="J174" s="20"/>
      <c r="K174" s="20"/>
    </row>
    <row r="175" customFormat="false" ht="15" hidden="false" customHeight="false" outlineLevel="0" collapsed="false">
      <c r="A175" s="20"/>
      <c r="B175" s="20"/>
      <c r="C175" s="20"/>
      <c r="D175" s="20"/>
      <c r="E175" s="20"/>
      <c r="F175" s="20"/>
      <c r="G175" s="19"/>
      <c r="H175" s="20"/>
      <c r="I175" s="20"/>
      <c r="J175" s="20"/>
      <c r="K175" s="20"/>
    </row>
    <row r="176" customFormat="false" ht="15" hidden="false" customHeight="false" outlineLevel="0" collapsed="false">
      <c r="A176" s="20"/>
      <c r="B176" s="20"/>
      <c r="C176" s="20"/>
      <c r="D176" s="20"/>
      <c r="E176" s="20"/>
      <c r="F176" s="20"/>
      <c r="G176" s="19"/>
      <c r="H176" s="20"/>
      <c r="I176" s="20"/>
      <c r="J176" s="20"/>
      <c r="K176" s="20"/>
    </row>
    <row r="177" customFormat="false" ht="15" hidden="false" customHeight="false" outlineLevel="0" collapsed="false">
      <c r="A177" s="20"/>
      <c r="B177" s="20"/>
      <c r="C177" s="20"/>
      <c r="D177" s="20"/>
      <c r="E177" s="20"/>
      <c r="F177" s="20"/>
      <c r="G177" s="19"/>
      <c r="H177" s="20"/>
      <c r="I177" s="20"/>
      <c r="J177" s="20"/>
      <c r="K177" s="20"/>
    </row>
    <row r="178" customFormat="false" ht="15" hidden="false" customHeight="false" outlineLevel="0" collapsed="false">
      <c r="A178" s="20"/>
      <c r="B178" s="20"/>
      <c r="C178" s="20"/>
      <c r="D178" s="20"/>
      <c r="E178" s="20"/>
      <c r="F178" s="20"/>
      <c r="G178" s="19"/>
      <c r="H178" s="20"/>
      <c r="I178" s="20"/>
      <c r="J178" s="20"/>
      <c r="K178" s="20"/>
    </row>
    <row r="179" customFormat="false" ht="15" hidden="false" customHeight="false" outlineLevel="0" collapsed="false">
      <c r="A179" s="20"/>
      <c r="B179" s="20"/>
      <c r="C179" s="20"/>
      <c r="D179" s="20"/>
      <c r="E179" s="20"/>
      <c r="F179" s="20"/>
      <c r="G179" s="19"/>
      <c r="H179" s="20"/>
      <c r="I179" s="20"/>
      <c r="J179" s="20"/>
      <c r="K179" s="20"/>
    </row>
    <row r="180" customFormat="false" ht="15" hidden="false" customHeight="false" outlineLevel="0" collapsed="false">
      <c r="A180" s="20"/>
      <c r="B180" s="20"/>
      <c r="C180" s="20"/>
      <c r="D180" s="20"/>
      <c r="E180" s="20"/>
      <c r="F180" s="20"/>
      <c r="G180" s="19"/>
      <c r="H180" s="20"/>
      <c r="I180" s="20"/>
      <c r="J180" s="20"/>
      <c r="K180" s="20"/>
    </row>
    <row r="181" customFormat="false" ht="15" hidden="false" customHeight="false" outlineLevel="0" collapsed="false">
      <c r="A181" s="20"/>
      <c r="B181" s="20"/>
      <c r="C181" s="20"/>
      <c r="D181" s="20"/>
      <c r="E181" s="20"/>
      <c r="F181" s="20"/>
      <c r="G181" s="19"/>
      <c r="H181" s="20"/>
      <c r="I181" s="20"/>
      <c r="J181" s="20"/>
      <c r="K181" s="20"/>
    </row>
    <row r="182" customFormat="false" ht="15" hidden="false" customHeight="false" outlineLevel="0" collapsed="false">
      <c r="A182" s="20"/>
      <c r="B182" s="20"/>
      <c r="C182" s="20"/>
      <c r="D182" s="20"/>
      <c r="E182" s="20"/>
      <c r="F182" s="20"/>
      <c r="G182" s="19"/>
      <c r="H182" s="20"/>
      <c r="I182" s="20"/>
      <c r="J182" s="20"/>
      <c r="K182" s="20"/>
    </row>
    <row r="183" customFormat="false" ht="15" hidden="false" customHeight="false" outlineLevel="0" collapsed="false">
      <c r="A183" s="20"/>
      <c r="B183" s="20"/>
      <c r="C183" s="20"/>
      <c r="D183" s="20"/>
      <c r="E183" s="20"/>
      <c r="F183" s="20"/>
      <c r="G183" s="19"/>
      <c r="H183" s="20"/>
      <c r="I183" s="20"/>
      <c r="J183" s="20"/>
      <c r="K183" s="20"/>
    </row>
    <row r="184" customFormat="false" ht="15" hidden="false" customHeight="false" outlineLevel="0" collapsed="false">
      <c r="A184" s="20"/>
      <c r="B184" s="20"/>
      <c r="C184" s="20"/>
      <c r="D184" s="20"/>
      <c r="E184" s="20"/>
      <c r="F184" s="20"/>
      <c r="G184" s="19"/>
      <c r="H184" s="20"/>
      <c r="I184" s="20"/>
      <c r="J184" s="20"/>
      <c r="K184" s="20"/>
    </row>
    <row r="185" customFormat="false" ht="15" hidden="false" customHeight="false" outlineLevel="0" collapsed="false">
      <c r="A185" s="20"/>
      <c r="B185" s="20"/>
      <c r="C185" s="20"/>
      <c r="D185" s="20"/>
      <c r="E185" s="20"/>
      <c r="F185" s="20"/>
      <c r="G185" s="19"/>
      <c r="H185" s="20"/>
      <c r="I185" s="20"/>
      <c r="J185" s="20"/>
      <c r="K185" s="20"/>
    </row>
    <row r="186" customFormat="false" ht="15" hidden="false" customHeight="false" outlineLevel="0" collapsed="false">
      <c r="A186" s="20"/>
      <c r="B186" s="20"/>
      <c r="C186" s="20"/>
      <c r="D186" s="20"/>
      <c r="E186" s="20"/>
      <c r="F186" s="20"/>
      <c r="G186" s="19"/>
      <c r="H186" s="20"/>
      <c r="I186" s="20"/>
      <c r="J186" s="20"/>
      <c r="K186" s="20"/>
    </row>
    <row r="187" customFormat="false" ht="15" hidden="false" customHeight="false" outlineLevel="0" collapsed="false">
      <c r="A187" s="20"/>
      <c r="B187" s="20"/>
      <c r="C187" s="20"/>
      <c r="D187" s="20"/>
      <c r="E187" s="20"/>
      <c r="F187" s="20"/>
      <c r="G187" s="19"/>
      <c r="H187" s="20"/>
      <c r="I187" s="20"/>
      <c r="J187" s="20"/>
      <c r="K187" s="20"/>
    </row>
    <row r="188" customFormat="false" ht="15" hidden="false" customHeight="false" outlineLevel="0" collapsed="false">
      <c r="A188" s="20"/>
      <c r="B188" s="20"/>
      <c r="C188" s="20"/>
      <c r="D188" s="20"/>
      <c r="E188" s="20"/>
      <c r="F188" s="20"/>
      <c r="G188" s="19"/>
      <c r="H188" s="20"/>
      <c r="I188" s="20"/>
      <c r="J188" s="20"/>
      <c r="K188" s="20"/>
    </row>
    <row r="189" customFormat="false" ht="15" hidden="false" customHeight="false" outlineLevel="0" collapsed="false">
      <c r="A189" s="20"/>
      <c r="B189" s="20"/>
      <c r="C189" s="20"/>
      <c r="D189" s="20"/>
      <c r="E189" s="20"/>
      <c r="F189" s="20"/>
      <c r="G189" s="19"/>
      <c r="H189" s="20"/>
      <c r="I189" s="20"/>
      <c r="J189" s="20"/>
      <c r="K189" s="20"/>
    </row>
    <row r="190" customFormat="false" ht="15" hidden="false" customHeight="false" outlineLevel="0" collapsed="false">
      <c r="A190" s="20"/>
      <c r="B190" s="20"/>
      <c r="C190" s="20"/>
      <c r="D190" s="20"/>
      <c r="E190" s="20"/>
      <c r="F190" s="20"/>
      <c r="G190" s="19"/>
      <c r="H190" s="20"/>
      <c r="I190" s="20"/>
      <c r="J190" s="20"/>
      <c r="K190" s="20"/>
    </row>
    <row r="191" customFormat="false" ht="15" hidden="false" customHeight="false" outlineLevel="0" collapsed="false">
      <c r="A191" s="20"/>
      <c r="B191" s="20"/>
      <c r="C191" s="20"/>
      <c r="D191" s="20"/>
      <c r="E191" s="20"/>
      <c r="F191" s="20"/>
      <c r="G191" s="19"/>
      <c r="H191" s="20"/>
      <c r="I191" s="20"/>
      <c r="J191" s="20"/>
      <c r="K191" s="20"/>
    </row>
    <row r="192" customFormat="false" ht="15" hidden="false" customHeight="false" outlineLevel="0" collapsed="false">
      <c r="A192" s="20"/>
      <c r="B192" s="20"/>
      <c r="C192" s="20"/>
      <c r="D192" s="20"/>
      <c r="E192" s="20"/>
      <c r="F192" s="20"/>
      <c r="G192" s="19"/>
      <c r="H192" s="20"/>
      <c r="I192" s="20"/>
      <c r="J192" s="20"/>
      <c r="K192" s="20"/>
    </row>
    <row r="193" customFormat="false" ht="15" hidden="false" customHeight="false" outlineLevel="0" collapsed="false">
      <c r="A193" s="20"/>
      <c r="B193" s="20"/>
      <c r="C193" s="20"/>
      <c r="D193" s="20"/>
      <c r="E193" s="20"/>
      <c r="F193" s="20"/>
      <c r="G193" s="19"/>
      <c r="H193" s="20"/>
      <c r="I193" s="20"/>
      <c r="J193" s="20"/>
      <c r="K193" s="20"/>
    </row>
    <row r="194" customFormat="false" ht="15" hidden="false" customHeight="false" outlineLevel="0" collapsed="false">
      <c r="A194" s="20"/>
      <c r="B194" s="20"/>
      <c r="C194" s="20"/>
      <c r="D194" s="20"/>
      <c r="E194" s="20"/>
      <c r="F194" s="20"/>
      <c r="G194" s="19"/>
      <c r="H194" s="20"/>
      <c r="I194" s="20"/>
      <c r="J194" s="20"/>
      <c r="K194" s="20"/>
    </row>
    <row r="195" customFormat="false" ht="15" hidden="false" customHeight="false" outlineLevel="0" collapsed="false">
      <c r="A195" s="20"/>
      <c r="B195" s="20"/>
      <c r="C195" s="20"/>
      <c r="D195" s="20"/>
      <c r="E195" s="20"/>
      <c r="F195" s="20"/>
      <c r="G195" s="19"/>
      <c r="H195" s="20"/>
      <c r="I195" s="20"/>
      <c r="J195" s="20"/>
      <c r="K195" s="20"/>
    </row>
    <row r="196" customFormat="false" ht="15" hidden="false" customHeight="false" outlineLevel="0" collapsed="false">
      <c r="A196" s="20"/>
      <c r="B196" s="20"/>
      <c r="C196" s="20"/>
      <c r="D196" s="20"/>
      <c r="E196" s="20"/>
      <c r="F196" s="20"/>
      <c r="G196" s="19"/>
      <c r="H196" s="20"/>
      <c r="I196" s="20"/>
      <c r="J196" s="20"/>
      <c r="K196" s="20"/>
    </row>
    <row r="197" customFormat="false" ht="15" hidden="false" customHeight="false" outlineLevel="0" collapsed="false">
      <c r="A197" s="20"/>
      <c r="B197" s="20"/>
      <c r="C197" s="20"/>
      <c r="D197" s="20"/>
      <c r="E197" s="20"/>
      <c r="F197" s="20"/>
      <c r="G197" s="19"/>
      <c r="H197" s="20"/>
      <c r="I197" s="20"/>
      <c r="J197" s="20"/>
      <c r="K197" s="20"/>
    </row>
    <row r="198" customFormat="false" ht="15" hidden="false" customHeight="false" outlineLevel="0" collapsed="false">
      <c r="A198" s="20"/>
      <c r="B198" s="20"/>
      <c r="C198" s="20"/>
      <c r="D198" s="20"/>
      <c r="E198" s="20"/>
      <c r="F198" s="20"/>
      <c r="G198" s="19"/>
      <c r="H198" s="20"/>
      <c r="I198" s="20"/>
      <c r="J198" s="20"/>
      <c r="K198" s="20"/>
    </row>
    <row r="199" customFormat="false" ht="15" hidden="false" customHeight="false" outlineLevel="0" collapsed="false">
      <c r="A199" s="20"/>
      <c r="B199" s="20"/>
      <c r="C199" s="20"/>
      <c r="D199" s="20"/>
      <c r="E199" s="20"/>
      <c r="F199" s="20"/>
      <c r="G199" s="19"/>
      <c r="H199" s="20"/>
      <c r="I199" s="20"/>
      <c r="J199" s="20"/>
      <c r="K199" s="20"/>
    </row>
    <row r="200" customFormat="false" ht="15" hidden="false" customHeight="false" outlineLevel="0" collapsed="false">
      <c r="A200" s="20"/>
      <c r="B200" s="20"/>
      <c r="C200" s="20"/>
      <c r="D200" s="20"/>
      <c r="E200" s="20"/>
      <c r="F200" s="20"/>
      <c r="G200" s="19"/>
      <c r="H200" s="20"/>
      <c r="I200" s="20"/>
      <c r="J200" s="20"/>
      <c r="K200" s="20"/>
    </row>
    <row r="201" customFormat="false" ht="15" hidden="false" customHeight="false" outlineLevel="0" collapsed="false">
      <c r="A201" s="20"/>
      <c r="B201" s="20"/>
      <c r="C201" s="20"/>
      <c r="D201" s="20"/>
      <c r="E201" s="20"/>
      <c r="F201" s="20"/>
      <c r="G201" s="19"/>
      <c r="H201" s="20"/>
      <c r="I201" s="20"/>
      <c r="J201" s="20"/>
      <c r="K201" s="20"/>
    </row>
    <row r="202" customFormat="false" ht="15" hidden="false" customHeight="false" outlineLevel="0" collapsed="false">
      <c r="A202" s="20"/>
      <c r="B202" s="20"/>
      <c r="C202" s="20"/>
      <c r="D202" s="20"/>
      <c r="E202" s="20"/>
      <c r="F202" s="20"/>
      <c r="G202" s="19"/>
      <c r="H202" s="20"/>
      <c r="I202" s="20"/>
      <c r="J202" s="20"/>
      <c r="K202" s="20"/>
    </row>
    <row r="203" customFormat="false" ht="15" hidden="false" customHeight="false" outlineLevel="0" collapsed="false">
      <c r="A203" s="20"/>
      <c r="B203" s="20"/>
      <c r="C203" s="20"/>
      <c r="D203" s="20"/>
      <c r="E203" s="20"/>
      <c r="F203" s="20"/>
      <c r="G203" s="19"/>
      <c r="H203" s="20"/>
      <c r="I203" s="20"/>
      <c r="J203" s="20"/>
      <c r="K203" s="20"/>
    </row>
    <row r="204" customFormat="false" ht="15" hidden="false" customHeight="false" outlineLevel="0" collapsed="false">
      <c r="A204" s="20"/>
      <c r="B204" s="20"/>
      <c r="C204" s="20"/>
      <c r="D204" s="20"/>
      <c r="E204" s="20"/>
      <c r="F204" s="20"/>
      <c r="G204" s="19"/>
      <c r="H204" s="20"/>
      <c r="I204" s="20"/>
      <c r="J204" s="20"/>
      <c r="K204" s="20"/>
    </row>
  </sheetData>
  <autoFilter ref="A4:K204"/>
  <dataValidations count="1">
    <dataValidation allowBlank="true" errorStyle="stop" operator="between" showDropDown="false" showErrorMessage="false" showInputMessage="false" sqref="B5:B204" type="list">
      <formula1>Lists!$F$2:$F$12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5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2"/>
    <col collapsed="false" customWidth="true" hidden="false" outlineLevel="0" max="3" min="3" style="0" width="16"/>
    <col collapsed="false" customWidth="true" hidden="false" outlineLevel="0" max="4" min="4" style="0" width="22"/>
    <col collapsed="false" customWidth="true" hidden="false" outlineLevel="0" max="5" min="5" style="0" width="14"/>
    <col collapsed="false" customWidth="true" hidden="false" outlineLevel="0" max="6" min="6" style="0" width="34"/>
    <col collapsed="false" customWidth="true" hidden="false" outlineLevel="0" max="7" min="7" style="0" width="10"/>
    <col collapsed="false" customWidth="true" hidden="false" outlineLevel="0" max="8" min="8" style="0" width="34"/>
    <col collapsed="false" customWidth="true" hidden="false" outlineLevel="0" max="9" min="9" style="0" width="12"/>
    <col collapsed="false" customWidth="true" hidden="false" outlineLevel="0" max="10" min="10" style="0" width="30"/>
    <col collapsed="false" customWidth="true" hidden="false" outlineLevel="0" max="12" min="12" style="0" width="30"/>
  </cols>
  <sheetData>
    <row r="1" customFormat="false" ht="19.7" hidden="false" customHeight="false" outlineLevel="0" collapsed="false">
      <c r="A1" s="1" t="s">
        <v>577</v>
      </c>
    </row>
    <row r="2" customFormat="false" ht="15" hidden="false" customHeight="false" outlineLevel="0" collapsed="false">
      <c r="A2" s="2" t="s">
        <v>578</v>
      </c>
    </row>
    <row r="4" customFormat="false" ht="31.5" hidden="false" customHeight="true" outlineLevel="0" collapsed="false">
      <c r="A4" s="9" t="s">
        <v>579</v>
      </c>
      <c r="B4" s="9" t="s">
        <v>580</v>
      </c>
      <c r="C4" s="9" t="s">
        <v>581</v>
      </c>
      <c r="D4" s="9" t="s">
        <v>582</v>
      </c>
      <c r="E4" s="9" t="s">
        <v>583</v>
      </c>
      <c r="F4" s="9" t="s">
        <v>584</v>
      </c>
      <c r="G4" s="9" t="s">
        <v>585</v>
      </c>
      <c r="H4" s="9" t="s">
        <v>586</v>
      </c>
      <c r="I4" s="9" t="s">
        <v>587</v>
      </c>
      <c r="J4" s="9" t="s">
        <v>136</v>
      </c>
      <c r="L4" s="6" t="s">
        <v>588</v>
      </c>
    </row>
    <row r="5" customFormat="false" ht="15" hidden="false" customHeight="false" outlineLevel="0" collapsed="false">
      <c r="A5" s="30" t="n">
        <v>46296</v>
      </c>
      <c r="B5" s="20" t="s">
        <v>589</v>
      </c>
      <c r="C5" s="20" t="s">
        <v>590</v>
      </c>
      <c r="D5" s="20" t="s">
        <v>591</v>
      </c>
      <c r="E5" s="20"/>
      <c r="F5" s="20"/>
      <c r="G5" s="20"/>
      <c r="H5" s="20"/>
      <c r="I5" s="20"/>
      <c r="J5" s="20"/>
      <c r="L5" s="31" t="str">
        <f aca="false">IFERROR(COUNTIF(E5:E504,"Y")/COUNTA(E5:E504),"")</f>
        <v/>
      </c>
    </row>
    <row r="6" customFormat="false" ht="15" hidden="false" customHeight="false" outlineLevel="0" collapsed="false">
      <c r="A6" s="30" t="n">
        <v>46296</v>
      </c>
      <c r="B6" s="20" t="s">
        <v>592</v>
      </c>
      <c r="C6" s="20" t="s">
        <v>429</v>
      </c>
      <c r="D6" s="20" t="s">
        <v>593</v>
      </c>
      <c r="E6" s="20"/>
      <c r="F6" s="20"/>
      <c r="G6" s="20"/>
      <c r="H6" s="20"/>
      <c r="I6" s="20"/>
      <c r="J6" s="20"/>
    </row>
    <row r="7" customFormat="false" ht="15" hidden="false" customHeight="false" outlineLevel="0" collapsed="false">
      <c r="A7" s="30" t="n">
        <v>46296</v>
      </c>
      <c r="B7" s="20" t="s">
        <v>594</v>
      </c>
      <c r="C7" s="20" t="s">
        <v>248</v>
      </c>
      <c r="D7" s="20" t="s">
        <v>595</v>
      </c>
      <c r="E7" s="20"/>
      <c r="F7" s="20"/>
      <c r="G7" s="20"/>
      <c r="H7" s="20"/>
      <c r="I7" s="20"/>
      <c r="J7" s="20"/>
    </row>
    <row r="8" customFormat="false" ht="23.85" hidden="false" customHeight="false" outlineLevel="0" collapsed="false">
      <c r="A8" s="30" t="n">
        <v>46296</v>
      </c>
      <c r="B8" s="20" t="s">
        <v>596</v>
      </c>
      <c r="C8" s="20" t="s">
        <v>590</v>
      </c>
      <c r="D8" s="20" t="s">
        <v>597</v>
      </c>
      <c r="E8" s="20"/>
      <c r="F8" s="20"/>
      <c r="G8" s="20"/>
      <c r="H8" s="20"/>
      <c r="I8" s="20"/>
      <c r="J8" s="20"/>
    </row>
    <row r="9" customFormat="false" ht="15" hidden="false" customHeight="false" outlineLevel="0" collapsed="false">
      <c r="A9" s="30"/>
      <c r="B9" s="20"/>
      <c r="C9" s="20"/>
      <c r="D9" s="20"/>
      <c r="E9" s="20"/>
      <c r="F9" s="20"/>
      <c r="G9" s="20"/>
      <c r="H9" s="20"/>
      <c r="I9" s="20"/>
      <c r="J9" s="20"/>
    </row>
    <row r="10" customFormat="false" ht="15" hidden="false" customHeight="false" outlineLevel="0" collapsed="false">
      <c r="A10" s="30"/>
      <c r="B10" s="20"/>
      <c r="C10" s="20"/>
      <c r="D10" s="20"/>
      <c r="E10" s="20"/>
      <c r="F10" s="20"/>
      <c r="G10" s="20"/>
      <c r="H10" s="20"/>
      <c r="I10" s="20"/>
      <c r="J10" s="20"/>
    </row>
    <row r="11" customFormat="false" ht="15" hidden="false" customHeight="false" outlineLevel="0" collapsed="false">
      <c r="A11" s="30"/>
      <c r="B11" s="20"/>
      <c r="C11" s="20"/>
      <c r="D11" s="20"/>
      <c r="E11" s="20"/>
      <c r="F11" s="20"/>
      <c r="G11" s="20"/>
      <c r="H11" s="20"/>
      <c r="I11" s="20"/>
      <c r="J11" s="20"/>
    </row>
    <row r="12" customFormat="false" ht="15" hidden="false" customHeight="false" outlineLevel="0" collapsed="false">
      <c r="A12" s="30"/>
      <c r="B12" s="20"/>
      <c r="C12" s="20"/>
      <c r="D12" s="20"/>
      <c r="E12" s="20"/>
      <c r="F12" s="20"/>
      <c r="G12" s="20"/>
      <c r="H12" s="20"/>
      <c r="I12" s="20"/>
      <c r="J12" s="20"/>
    </row>
    <row r="13" customFormat="false" ht="15" hidden="false" customHeight="false" outlineLevel="0" collapsed="false">
      <c r="A13" s="30"/>
      <c r="B13" s="20"/>
      <c r="C13" s="20"/>
      <c r="D13" s="20"/>
      <c r="E13" s="20"/>
      <c r="F13" s="20"/>
      <c r="G13" s="20"/>
      <c r="H13" s="20"/>
      <c r="I13" s="20"/>
      <c r="J13" s="20"/>
    </row>
    <row r="14" customFormat="false" ht="15" hidden="false" customHeight="false" outlineLevel="0" collapsed="false">
      <c r="A14" s="30"/>
      <c r="B14" s="20"/>
      <c r="C14" s="20"/>
      <c r="D14" s="20"/>
      <c r="E14" s="20"/>
      <c r="F14" s="20"/>
      <c r="G14" s="20"/>
      <c r="H14" s="20"/>
      <c r="I14" s="20"/>
      <c r="J14" s="20"/>
    </row>
    <row r="15" customFormat="false" ht="15" hidden="false" customHeight="false" outlineLevel="0" collapsed="false">
      <c r="A15" s="30"/>
      <c r="B15" s="20"/>
      <c r="C15" s="20"/>
      <c r="D15" s="20"/>
      <c r="E15" s="20"/>
      <c r="F15" s="20"/>
      <c r="G15" s="20"/>
      <c r="H15" s="20"/>
      <c r="I15" s="20"/>
      <c r="J15" s="20"/>
    </row>
    <row r="16" customFormat="false" ht="15" hidden="false" customHeight="false" outlineLevel="0" collapsed="false">
      <c r="A16" s="30"/>
      <c r="B16" s="20"/>
      <c r="C16" s="20"/>
      <c r="D16" s="20"/>
      <c r="E16" s="20"/>
      <c r="F16" s="20"/>
      <c r="G16" s="20"/>
      <c r="H16" s="20"/>
      <c r="I16" s="20"/>
      <c r="J16" s="20"/>
    </row>
    <row r="17" customFormat="false" ht="15" hidden="false" customHeight="false" outlineLevel="0" collapsed="false">
      <c r="A17" s="30"/>
      <c r="B17" s="20"/>
      <c r="C17" s="20"/>
      <c r="D17" s="20"/>
      <c r="E17" s="20"/>
      <c r="F17" s="20"/>
      <c r="G17" s="20"/>
      <c r="H17" s="20"/>
      <c r="I17" s="20"/>
      <c r="J17" s="20"/>
    </row>
    <row r="18" customFormat="false" ht="15" hidden="false" customHeight="false" outlineLevel="0" collapsed="false">
      <c r="A18" s="30"/>
      <c r="B18" s="20"/>
      <c r="C18" s="20"/>
      <c r="D18" s="20"/>
      <c r="E18" s="20"/>
      <c r="F18" s="20"/>
      <c r="G18" s="20"/>
      <c r="H18" s="20"/>
      <c r="I18" s="20"/>
      <c r="J18" s="20"/>
    </row>
    <row r="19" customFormat="false" ht="15" hidden="false" customHeight="false" outlineLevel="0" collapsed="false">
      <c r="A19" s="30"/>
      <c r="B19" s="20"/>
      <c r="C19" s="20"/>
      <c r="D19" s="20"/>
      <c r="E19" s="20"/>
      <c r="F19" s="20"/>
      <c r="G19" s="20"/>
      <c r="H19" s="20"/>
      <c r="I19" s="20"/>
      <c r="J19" s="20"/>
    </row>
    <row r="20" customFormat="false" ht="15" hidden="false" customHeight="false" outlineLevel="0" collapsed="false">
      <c r="A20" s="30"/>
      <c r="B20" s="20"/>
      <c r="C20" s="20"/>
      <c r="D20" s="20"/>
      <c r="E20" s="20"/>
      <c r="F20" s="20"/>
      <c r="G20" s="20"/>
      <c r="H20" s="20"/>
      <c r="I20" s="20"/>
      <c r="J20" s="20"/>
    </row>
    <row r="21" customFormat="false" ht="15" hidden="false" customHeight="false" outlineLevel="0" collapsed="false">
      <c r="A21" s="30"/>
      <c r="B21" s="20"/>
      <c r="C21" s="20"/>
      <c r="D21" s="20"/>
      <c r="E21" s="20"/>
      <c r="F21" s="20"/>
      <c r="G21" s="20"/>
      <c r="H21" s="20"/>
      <c r="I21" s="20"/>
      <c r="J21" s="20"/>
    </row>
    <row r="22" customFormat="false" ht="15" hidden="false" customHeight="false" outlineLevel="0" collapsed="false">
      <c r="A22" s="30"/>
      <c r="B22" s="20"/>
      <c r="C22" s="20"/>
      <c r="D22" s="20"/>
      <c r="E22" s="20"/>
      <c r="F22" s="20"/>
      <c r="G22" s="20"/>
      <c r="H22" s="20"/>
      <c r="I22" s="20"/>
      <c r="J22" s="20"/>
    </row>
    <row r="23" customFormat="false" ht="15" hidden="false" customHeight="false" outlineLevel="0" collapsed="false">
      <c r="A23" s="30"/>
      <c r="B23" s="20"/>
      <c r="C23" s="20"/>
      <c r="D23" s="20"/>
      <c r="E23" s="20"/>
      <c r="F23" s="20"/>
      <c r="G23" s="20"/>
      <c r="H23" s="20"/>
      <c r="I23" s="20"/>
      <c r="J23" s="20"/>
    </row>
    <row r="24" customFormat="false" ht="15" hidden="false" customHeight="false" outlineLevel="0" collapsed="false">
      <c r="A24" s="30"/>
      <c r="B24" s="20"/>
      <c r="C24" s="20"/>
      <c r="D24" s="20"/>
      <c r="E24" s="20"/>
      <c r="F24" s="20"/>
      <c r="G24" s="20"/>
      <c r="H24" s="20"/>
      <c r="I24" s="20"/>
      <c r="J24" s="20"/>
    </row>
    <row r="25" customFormat="false" ht="15" hidden="false" customHeight="false" outlineLevel="0" collapsed="false">
      <c r="A25" s="30"/>
      <c r="B25" s="20"/>
      <c r="C25" s="20"/>
      <c r="D25" s="20"/>
      <c r="E25" s="20"/>
      <c r="F25" s="20"/>
      <c r="G25" s="20"/>
      <c r="H25" s="20"/>
      <c r="I25" s="20"/>
      <c r="J25" s="20"/>
    </row>
    <row r="26" customFormat="false" ht="15" hidden="false" customHeight="false" outlineLevel="0" collapsed="false">
      <c r="A26" s="30"/>
      <c r="B26" s="20"/>
      <c r="C26" s="20"/>
      <c r="D26" s="20"/>
      <c r="E26" s="20"/>
      <c r="F26" s="20"/>
      <c r="G26" s="20"/>
      <c r="H26" s="20"/>
      <c r="I26" s="20"/>
      <c r="J26" s="20"/>
    </row>
    <row r="27" customFormat="false" ht="15" hidden="false" customHeight="false" outlineLevel="0" collapsed="false">
      <c r="A27" s="30"/>
      <c r="B27" s="20"/>
      <c r="C27" s="20"/>
      <c r="D27" s="20"/>
      <c r="E27" s="20"/>
      <c r="F27" s="20"/>
      <c r="G27" s="20"/>
      <c r="H27" s="20"/>
      <c r="I27" s="20"/>
      <c r="J27" s="20"/>
    </row>
    <row r="28" customFormat="false" ht="15" hidden="false" customHeight="false" outlineLevel="0" collapsed="false">
      <c r="A28" s="30"/>
      <c r="B28" s="20"/>
      <c r="C28" s="20"/>
      <c r="D28" s="20"/>
      <c r="E28" s="20"/>
      <c r="F28" s="20"/>
      <c r="G28" s="20"/>
      <c r="H28" s="20"/>
      <c r="I28" s="20"/>
      <c r="J28" s="20"/>
    </row>
    <row r="29" customFormat="false" ht="15" hidden="false" customHeight="false" outlineLevel="0" collapsed="false">
      <c r="A29" s="30"/>
      <c r="B29" s="20"/>
      <c r="C29" s="20"/>
      <c r="D29" s="20"/>
      <c r="E29" s="20"/>
      <c r="F29" s="20"/>
      <c r="G29" s="20"/>
      <c r="H29" s="20"/>
      <c r="I29" s="20"/>
      <c r="J29" s="20"/>
    </row>
    <row r="30" customFormat="false" ht="15" hidden="false" customHeight="false" outlineLevel="0" collapsed="false">
      <c r="A30" s="30"/>
      <c r="B30" s="20"/>
      <c r="C30" s="20"/>
      <c r="D30" s="20"/>
      <c r="E30" s="20"/>
      <c r="F30" s="20"/>
      <c r="G30" s="20"/>
      <c r="H30" s="20"/>
      <c r="I30" s="20"/>
      <c r="J30" s="20"/>
    </row>
    <row r="31" customFormat="false" ht="15" hidden="false" customHeight="false" outlineLevel="0" collapsed="false">
      <c r="A31" s="30"/>
      <c r="B31" s="20"/>
      <c r="C31" s="20"/>
      <c r="D31" s="20"/>
      <c r="E31" s="20"/>
      <c r="F31" s="20"/>
      <c r="G31" s="20"/>
      <c r="H31" s="20"/>
      <c r="I31" s="20"/>
      <c r="J31" s="20"/>
    </row>
    <row r="32" customFormat="false" ht="15" hidden="false" customHeight="false" outlineLevel="0" collapsed="false">
      <c r="A32" s="30"/>
      <c r="B32" s="20"/>
      <c r="C32" s="20"/>
      <c r="D32" s="20"/>
      <c r="E32" s="20"/>
      <c r="F32" s="20"/>
      <c r="G32" s="20"/>
      <c r="H32" s="20"/>
      <c r="I32" s="20"/>
      <c r="J32" s="20"/>
    </row>
    <row r="33" customFormat="false" ht="15" hidden="false" customHeight="false" outlineLevel="0" collapsed="false">
      <c r="A33" s="30"/>
      <c r="B33" s="20"/>
      <c r="C33" s="20"/>
      <c r="D33" s="20"/>
      <c r="E33" s="20"/>
      <c r="F33" s="20"/>
      <c r="G33" s="20"/>
      <c r="H33" s="20"/>
      <c r="I33" s="20"/>
      <c r="J33" s="20"/>
    </row>
    <row r="34" customFormat="false" ht="15" hidden="false" customHeight="false" outlineLevel="0" collapsed="false">
      <c r="A34" s="30"/>
      <c r="B34" s="20"/>
      <c r="C34" s="20"/>
      <c r="D34" s="20"/>
      <c r="E34" s="20"/>
      <c r="F34" s="20"/>
      <c r="G34" s="20"/>
      <c r="H34" s="20"/>
      <c r="I34" s="20"/>
      <c r="J34" s="20"/>
    </row>
    <row r="35" customFormat="false" ht="15" hidden="false" customHeight="false" outlineLevel="0" collapsed="false">
      <c r="A35" s="30"/>
      <c r="B35" s="20"/>
      <c r="C35" s="20"/>
      <c r="D35" s="20"/>
      <c r="E35" s="20"/>
      <c r="F35" s="20"/>
      <c r="G35" s="20"/>
      <c r="H35" s="20"/>
      <c r="I35" s="20"/>
      <c r="J35" s="20"/>
    </row>
    <row r="36" customFormat="false" ht="15" hidden="false" customHeight="false" outlineLevel="0" collapsed="false">
      <c r="A36" s="30"/>
      <c r="B36" s="20"/>
      <c r="C36" s="20"/>
      <c r="D36" s="20"/>
      <c r="E36" s="20"/>
      <c r="F36" s="20"/>
      <c r="G36" s="20"/>
      <c r="H36" s="20"/>
      <c r="I36" s="20"/>
      <c r="J36" s="20"/>
    </row>
    <row r="37" customFormat="false" ht="15" hidden="false" customHeight="false" outlineLevel="0" collapsed="false">
      <c r="A37" s="30"/>
      <c r="B37" s="20"/>
      <c r="C37" s="20"/>
      <c r="D37" s="20"/>
      <c r="E37" s="20"/>
      <c r="F37" s="20"/>
      <c r="G37" s="20"/>
      <c r="H37" s="20"/>
      <c r="I37" s="20"/>
      <c r="J37" s="20"/>
    </row>
    <row r="38" customFormat="false" ht="15" hidden="false" customHeight="false" outlineLevel="0" collapsed="false">
      <c r="A38" s="30"/>
      <c r="B38" s="20"/>
      <c r="C38" s="20"/>
      <c r="D38" s="20"/>
      <c r="E38" s="20"/>
      <c r="F38" s="20"/>
      <c r="G38" s="20"/>
      <c r="H38" s="20"/>
      <c r="I38" s="20"/>
      <c r="J38" s="20"/>
    </row>
    <row r="39" customFormat="false" ht="15" hidden="false" customHeight="false" outlineLevel="0" collapsed="false">
      <c r="A39" s="30"/>
      <c r="B39" s="20"/>
      <c r="C39" s="20"/>
      <c r="D39" s="20"/>
      <c r="E39" s="20"/>
      <c r="F39" s="20"/>
      <c r="G39" s="20"/>
      <c r="H39" s="20"/>
      <c r="I39" s="20"/>
      <c r="J39" s="20"/>
    </row>
    <row r="40" customFormat="false" ht="15" hidden="false" customHeight="false" outlineLevel="0" collapsed="false">
      <c r="A40" s="30"/>
      <c r="B40" s="20"/>
      <c r="C40" s="20"/>
      <c r="D40" s="20"/>
      <c r="E40" s="20"/>
      <c r="F40" s="20"/>
      <c r="G40" s="20"/>
      <c r="H40" s="20"/>
      <c r="I40" s="20"/>
      <c r="J40" s="20"/>
    </row>
    <row r="41" customFormat="false" ht="15" hidden="false" customHeight="false" outlineLevel="0" collapsed="false">
      <c r="A41" s="30"/>
      <c r="B41" s="20"/>
      <c r="C41" s="20"/>
      <c r="D41" s="20"/>
      <c r="E41" s="20"/>
      <c r="F41" s="20"/>
      <c r="G41" s="20"/>
      <c r="H41" s="20"/>
      <c r="I41" s="20"/>
      <c r="J41" s="20"/>
    </row>
    <row r="42" customFormat="false" ht="15" hidden="false" customHeight="false" outlineLevel="0" collapsed="false">
      <c r="A42" s="30"/>
      <c r="B42" s="20"/>
      <c r="C42" s="20"/>
      <c r="D42" s="20"/>
      <c r="E42" s="20"/>
      <c r="F42" s="20"/>
      <c r="G42" s="20"/>
      <c r="H42" s="20"/>
      <c r="I42" s="20"/>
      <c r="J42" s="20"/>
    </row>
    <row r="43" customFormat="false" ht="15" hidden="false" customHeight="false" outlineLevel="0" collapsed="false">
      <c r="A43" s="30"/>
      <c r="B43" s="20"/>
      <c r="C43" s="20"/>
      <c r="D43" s="20"/>
      <c r="E43" s="20"/>
      <c r="F43" s="20"/>
      <c r="G43" s="20"/>
      <c r="H43" s="20"/>
      <c r="I43" s="20"/>
      <c r="J43" s="20"/>
    </row>
    <row r="44" customFormat="false" ht="15" hidden="false" customHeight="false" outlineLevel="0" collapsed="false">
      <c r="A44" s="30"/>
      <c r="B44" s="20"/>
      <c r="C44" s="20"/>
      <c r="D44" s="20"/>
      <c r="E44" s="20"/>
      <c r="F44" s="20"/>
      <c r="G44" s="20"/>
      <c r="H44" s="20"/>
      <c r="I44" s="20"/>
      <c r="J44" s="20"/>
    </row>
    <row r="45" customFormat="false" ht="15" hidden="false" customHeight="false" outlineLevel="0" collapsed="false">
      <c r="A45" s="30"/>
      <c r="B45" s="20"/>
      <c r="C45" s="20"/>
      <c r="D45" s="20"/>
      <c r="E45" s="20"/>
      <c r="F45" s="20"/>
      <c r="G45" s="20"/>
      <c r="H45" s="20"/>
      <c r="I45" s="20"/>
      <c r="J45" s="20"/>
    </row>
    <row r="46" customFormat="false" ht="15" hidden="false" customHeight="false" outlineLevel="0" collapsed="false">
      <c r="A46" s="30"/>
      <c r="B46" s="20"/>
      <c r="C46" s="20"/>
      <c r="D46" s="20"/>
      <c r="E46" s="20"/>
      <c r="F46" s="20"/>
      <c r="G46" s="20"/>
      <c r="H46" s="20"/>
      <c r="I46" s="20"/>
      <c r="J46" s="20"/>
    </row>
    <row r="47" customFormat="false" ht="15" hidden="false" customHeight="false" outlineLevel="0" collapsed="false">
      <c r="A47" s="30"/>
      <c r="B47" s="20"/>
      <c r="C47" s="20"/>
      <c r="D47" s="20"/>
      <c r="E47" s="20"/>
      <c r="F47" s="20"/>
      <c r="G47" s="20"/>
      <c r="H47" s="20"/>
      <c r="I47" s="20"/>
      <c r="J47" s="20"/>
    </row>
    <row r="48" customFormat="false" ht="15" hidden="false" customHeight="false" outlineLevel="0" collapsed="false">
      <c r="A48" s="30"/>
      <c r="B48" s="20"/>
      <c r="C48" s="20"/>
      <c r="D48" s="20"/>
      <c r="E48" s="20"/>
      <c r="F48" s="20"/>
      <c r="G48" s="20"/>
      <c r="H48" s="20"/>
      <c r="I48" s="20"/>
      <c r="J48" s="20"/>
    </row>
    <row r="49" customFormat="false" ht="15" hidden="false" customHeight="false" outlineLevel="0" collapsed="false">
      <c r="A49" s="30"/>
      <c r="B49" s="20"/>
      <c r="C49" s="20"/>
      <c r="D49" s="20"/>
      <c r="E49" s="20"/>
      <c r="F49" s="20"/>
      <c r="G49" s="20"/>
      <c r="H49" s="20"/>
      <c r="I49" s="20"/>
      <c r="J49" s="20"/>
    </row>
    <row r="50" customFormat="false" ht="15" hidden="false" customHeight="false" outlineLevel="0" collapsed="false">
      <c r="A50" s="30"/>
      <c r="B50" s="20"/>
      <c r="C50" s="20"/>
      <c r="D50" s="20"/>
      <c r="E50" s="20"/>
      <c r="F50" s="20"/>
      <c r="G50" s="20"/>
      <c r="H50" s="20"/>
      <c r="I50" s="20"/>
      <c r="J50" s="20"/>
    </row>
    <row r="51" customFormat="false" ht="15" hidden="false" customHeight="false" outlineLevel="0" collapsed="false">
      <c r="A51" s="30"/>
      <c r="B51" s="20"/>
      <c r="C51" s="20"/>
      <c r="D51" s="20"/>
      <c r="E51" s="20"/>
      <c r="F51" s="20"/>
      <c r="G51" s="20"/>
      <c r="H51" s="20"/>
      <c r="I51" s="20"/>
      <c r="J51" s="20"/>
    </row>
    <row r="52" customFormat="false" ht="15" hidden="false" customHeight="false" outlineLevel="0" collapsed="false">
      <c r="A52" s="30"/>
      <c r="B52" s="20"/>
      <c r="C52" s="20"/>
      <c r="D52" s="20"/>
      <c r="E52" s="20"/>
      <c r="F52" s="20"/>
      <c r="G52" s="20"/>
      <c r="H52" s="20"/>
      <c r="I52" s="20"/>
      <c r="J52" s="20"/>
    </row>
    <row r="53" customFormat="false" ht="15" hidden="false" customHeight="false" outlineLevel="0" collapsed="false">
      <c r="A53" s="30"/>
      <c r="B53" s="20"/>
      <c r="C53" s="20"/>
      <c r="D53" s="20"/>
      <c r="E53" s="20"/>
      <c r="F53" s="20"/>
      <c r="G53" s="20"/>
      <c r="H53" s="20"/>
      <c r="I53" s="20"/>
      <c r="J53" s="20"/>
    </row>
    <row r="54" customFormat="false" ht="15" hidden="false" customHeight="false" outlineLevel="0" collapsed="false">
      <c r="A54" s="30"/>
      <c r="B54" s="20"/>
      <c r="C54" s="20"/>
      <c r="D54" s="20"/>
      <c r="E54" s="20"/>
      <c r="F54" s="20"/>
      <c r="G54" s="20"/>
      <c r="H54" s="20"/>
      <c r="I54" s="20"/>
      <c r="J54" s="20"/>
    </row>
    <row r="55" customFormat="false" ht="15" hidden="false" customHeight="false" outlineLevel="0" collapsed="false">
      <c r="A55" s="30"/>
      <c r="B55" s="20"/>
      <c r="C55" s="20"/>
      <c r="D55" s="20"/>
      <c r="E55" s="20"/>
      <c r="F55" s="20"/>
      <c r="G55" s="20"/>
      <c r="H55" s="20"/>
      <c r="I55" s="20"/>
      <c r="J55" s="20"/>
    </row>
    <row r="56" customFormat="false" ht="15" hidden="false" customHeight="false" outlineLevel="0" collapsed="false">
      <c r="A56" s="30"/>
      <c r="B56" s="20"/>
      <c r="C56" s="20"/>
      <c r="D56" s="20"/>
      <c r="E56" s="20"/>
      <c r="F56" s="20"/>
      <c r="G56" s="20"/>
      <c r="H56" s="20"/>
      <c r="I56" s="20"/>
      <c r="J56" s="20"/>
    </row>
    <row r="57" customFormat="false" ht="15" hidden="false" customHeight="false" outlineLevel="0" collapsed="false">
      <c r="A57" s="30"/>
      <c r="B57" s="20"/>
      <c r="C57" s="20"/>
      <c r="D57" s="20"/>
      <c r="E57" s="20"/>
      <c r="F57" s="20"/>
      <c r="G57" s="20"/>
      <c r="H57" s="20"/>
      <c r="I57" s="20"/>
      <c r="J57" s="20"/>
    </row>
    <row r="58" customFormat="false" ht="15" hidden="false" customHeight="false" outlineLevel="0" collapsed="false">
      <c r="A58" s="30"/>
      <c r="B58" s="20"/>
      <c r="C58" s="20"/>
      <c r="D58" s="20"/>
      <c r="E58" s="20"/>
      <c r="F58" s="20"/>
      <c r="G58" s="20"/>
      <c r="H58" s="20"/>
      <c r="I58" s="20"/>
      <c r="J58" s="20"/>
    </row>
    <row r="59" customFormat="false" ht="15" hidden="false" customHeight="false" outlineLevel="0" collapsed="false">
      <c r="A59" s="30"/>
      <c r="B59" s="20"/>
      <c r="C59" s="20"/>
      <c r="D59" s="20"/>
      <c r="E59" s="20"/>
      <c r="F59" s="20"/>
      <c r="G59" s="20"/>
      <c r="H59" s="20"/>
      <c r="I59" s="20"/>
      <c r="J59" s="20"/>
    </row>
    <row r="60" customFormat="false" ht="15" hidden="false" customHeight="false" outlineLevel="0" collapsed="false">
      <c r="A60" s="30"/>
      <c r="B60" s="20"/>
      <c r="C60" s="20"/>
      <c r="D60" s="20"/>
      <c r="E60" s="20"/>
      <c r="F60" s="20"/>
      <c r="G60" s="20"/>
      <c r="H60" s="20"/>
      <c r="I60" s="20"/>
      <c r="J60" s="20"/>
    </row>
    <row r="61" customFormat="false" ht="15" hidden="false" customHeight="false" outlineLevel="0" collapsed="false">
      <c r="A61" s="30"/>
      <c r="B61" s="20"/>
      <c r="C61" s="20"/>
      <c r="D61" s="20"/>
      <c r="E61" s="20"/>
      <c r="F61" s="20"/>
      <c r="G61" s="20"/>
      <c r="H61" s="20"/>
      <c r="I61" s="20"/>
      <c r="J61" s="20"/>
    </row>
    <row r="62" customFormat="false" ht="15" hidden="false" customHeight="false" outlineLevel="0" collapsed="false">
      <c r="A62" s="30"/>
      <c r="B62" s="20"/>
      <c r="C62" s="20"/>
      <c r="D62" s="20"/>
      <c r="E62" s="20"/>
      <c r="F62" s="20"/>
      <c r="G62" s="20"/>
      <c r="H62" s="20"/>
      <c r="I62" s="20"/>
      <c r="J62" s="20"/>
    </row>
    <row r="63" customFormat="false" ht="15" hidden="false" customHeight="false" outlineLevel="0" collapsed="false">
      <c r="A63" s="30"/>
      <c r="B63" s="20"/>
      <c r="C63" s="20"/>
      <c r="D63" s="20"/>
      <c r="E63" s="20"/>
      <c r="F63" s="20"/>
      <c r="G63" s="20"/>
      <c r="H63" s="20"/>
      <c r="I63" s="20"/>
      <c r="J63" s="20"/>
    </row>
    <row r="64" customFormat="false" ht="15" hidden="false" customHeight="false" outlineLevel="0" collapsed="false">
      <c r="A64" s="30"/>
      <c r="B64" s="20"/>
      <c r="C64" s="20"/>
      <c r="D64" s="20"/>
      <c r="E64" s="20"/>
      <c r="F64" s="20"/>
      <c r="G64" s="20"/>
      <c r="H64" s="20"/>
      <c r="I64" s="20"/>
      <c r="J64" s="20"/>
    </row>
    <row r="65" customFormat="false" ht="15" hidden="false" customHeight="false" outlineLevel="0" collapsed="false">
      <c r="A65" s="30"/>
      <c r="B65" s="20"/>
      <c r="C65" s="20"/>
      <c r="D65" s="20"/>
      <c r="E65" s="20"/>
      <c r="F65" s="20"/>
      <c r="G65" s="20"/>
      <c r="H65" s="20"/>
      <c r="I65" s="20"/>
      <c r="J65" s="20"/>
    </row>
    <row r="66" customFormat="false" ht="15" hidden="false" customHeight="false" outlineLevel="0" collapsed="false">
      <c r="A66" s="30"/>
      <c r="B66" s="20"/>
      <c r="C66" s="20"/>
      <c r="D66" s="20"/>
      <c r="E66" s="20"/>
      <c r="F66" s="20"/>
      <c r="G66" s="20"/>
      <c r="H66" s="20"/>
      <c r="I66" s="20"/>
      <c r="J66" s="20"/>
    </row>
    <row r="67" customFormat="false" ht="15" hidden="false" customHeight="false" outlineLevel="0" collapsed="false">
      <c r="A67" s="30"/>
      <c r="B67" s="20"/>
      <c r="C67" s="20"/>
      <c r="D67" s="20"/>
      <c r="E67" s="20"/>
      <c r="F67" s="20"/>
      <c r="G67" s="20"/>
      <c r="H67" s="20"/>
      <c r="I67" s="20"/>
      <c r="J67" s="20"/>
    </row>
    <row r="68" customFormat="false" ht="15" hidden="false" customHeight="false" outlineLevel="0" collapsed="false">
      <c r="A68" s="30"/>
      <c r="B68" s="20"/>
      <c r="C68" s="20"/>
      <c r="D68" s="20"/>
      <c r="E68" s="20"/>
      <c r="F68" s="20"/>
      <c r="G68" s="20"/>
      <c r="H68" s="20"/>
      <c r="I68" s="20"/>
      <c r="J68" s="20"/>
    </row>
    <row r="69" customFormat="false" ht="15" hidden="false" customHeight="false" outlineLevel="0" collapsed="false">
      <c r="A69" s="30"/>
      <c r="B69" s="20"/>
      <c r="C69" s="20"/>
      <c r="D69" s="20"/>
      <c r="E69" s="20"/>
      <c r="F69" s="20"/>
      <c r="G69" s="20"/>
      <c r="H69" s="20"/>
      <c r="I69" s="20"/>
      <c r="J69" s="20"/>
    </row>
    <row r="70" customFormat="false" ht="15" hidden="false" customHeight="false" outlineLevel="0" collapsed="false">
      <c r="A70" s="30"/>
      <c r="B70" s="20"/>
      <c r="C70" s="20"/>
      <c r="D70" s="20"/>
      <c r="E70" s="20"/>
      <c r="F70" s="20"/>
      <c r="G70" s="20"/>
      <c r="H70" s="20"/>
      <c r="I70" s="20"/>
      <c r="J70" s="20"/>
    </row>
    <row r="71" customFormat="false" ht="15" hidden="false" customHeight="false" outlineLevel="0" collapsed="false">
      <c r="A71" s="30"/>
      <c r="B71" s="20"/>
      <c r="C71" s="20"/>
      <c r="D71" s="20"/>
      <c r="E71" s="20"/>
      <c r="F71" s="20"/>
      <c r="G71" s="20"/>
      <c r="H71" s="20"/>
      <c r="I71" s="20"/>
      <c r="J71" s="20"/>
    </row>
    <row r="72" customFormat="false" ht="15" hidden="false" customHeight="false" outlineLevel="0" collapsed="false">
      <c r="A72" s="30"/>
      <c r="B72" s="20"/>
      <c r="C72" s="20"/>
      <c r="D72" s="20"/>
      <c r="E72" s="20"/>
      <c r="F72" s="20"/>
      <c r="G72" s="20"/>
      <c r="H72" s="20"/>
      <c r="I72" s="20"/>
      <c r="J72" s="20"/>
    </row>
    <row r="73" customFormat="false" ht="15" hidden="false" customHeight="false" outlineLevel="0" collapsed="false">
      <c r="A73" s="30"/>
      <c r="B73" s="20"/>
      <c r="C73" s="20"/>
      <c r="D73" s="20"/>
      <c r="E73" s="20"/>
      <c r="F73" s="20"/>
      <c r="G73" s="20"/>
      <c r="H73" s="20"/>
      <c r="I73" s="20"/>
      <c r="J73" s="20"/>
    </row>
    <row r="74" customFormat="false" ht="15" hidden="false" customHeight="false" outlineLevel="0" collapsed="false">
      <c r="A74" s="30"/>
      <c r="B74" s="20"/>
      <c r="C74" s="20"/>
      <c r="D74" s="20"/>
      <c r="E74" s="20"/>
      <c r="F74" s="20"/>
      <c r="G74" s="20"/>
      <c r="H74" s="20"/>
      <c r="I74" s="20"/>
      <c r="J74" s="20"/>
    </row>
    <row r="75" customFormat="false" ht="15" hidden="false" customHeight="false" outlineLevel="0" collapsed="false">
      <c r="A75" s="30"/>
      <c r="B75" s="20"/>
      <c r="C75" s="20"/>
      <c r="D75" s="20"/>
      <c r="E75" s="20"/>
      <c r="F75" s="20"/>
      <c r="G75" s="20"/>
      <c r="H75" s="20"/>
      <c r="I75" s="20"/>
      <c r="J75" s="20"/>
    </row>
    <row r="76" customFormat="false" ht="15" hidden="false" customHeight="false" outlineLevel="0" collapsed="false">
      <c r="A76" s="30"/>
      <c r="B76" s="20"/>
      <c r="C76" s="20"/>
      <c r="D76" s="20"/>
      <c r="E76" s="20"/>
      <c r="F76" s="20"/>
      <c r="G76" s="20"/>
      <c r="H76" s="20"/>
      <c r="I76" s="20"/>
      <c r="J76" s="20"/>
    </row>
    <row r="77" customFormat="false" ht="15" hidden="false" customHeight="false" outlineLevel="0" collapsed="false">
      <c r="A77" s="30"/>
      <c r="B77" s="20"/>
      <c r="C77" s="20"/>
      <c r="D77" s="20"/>
      <c r="E77" s="20"/>
      <c r="F77" s="20"/>
      <c r="G77" s="20"/>
      <c r="H77" s="20"/>
      <c r="I77" s="20"/>
      <c r="J77" s="20"/>
    </row>
    <row r="78" customFormat="false" ht="15" hidden="false" customHeight="false" outlineLevel="0" collapsed="false">
      <c r="A78" s="30"/>
      <c r="B78" s="20"/>
      <c r="C78" s="20"/>
      <c r="D78" s="20"/>
      <c r="E78" s="20"/>
      <c r="F78" s="20"/>
      <c r="G78" s="20"/>
      <c r="H78" s="20"/>
      <c r="I78" s="20"/>
      <c r="J78" s="20"/>
    </row>
    <row r="79" customFormat="false" ht="15" hidden="false" customHeight="false" outlineLevel="0" collapsed="false">
      <c r="A79" s="30"/>
      <c r="B79" s="20"/>
      <c r="C79" s="20"/>
      <c r="D79" s="20"/>
      <c r="E79" s="20"/>
      <c r="F79" s="20"/>
      <c r="G79" s="20"/>
      <c r="H79" s="20"/>
      <c r="I79" s="20"/>
      <c r="J79" s="20"/>
    </row>
    <row r="80" customFormat="false" ht="15" hidden="false" customHeight="false" outlineLevel="0" collapsed="false">
      <c r="A80" s="30"/>
      <c r="B80" s="20"/>
      <c r="C80" s="20"/>
      <c r="D80" s="20"/>
      <c r="E80" s="20"/>
      <c r="F80" s="20"/>
      <c r="G80" s="20"/>
      <c r="H80" s="20"/>
      <c r="I80" s="20"/>
      <c r="J80" s="20"/>
    </row>
    <row r="81" customFormat="false" ht="15" hidden="false" customHeight="false" outlineLevel="0" collapsed="false">
      <c r="A81" s="30"/>
      <c r="B81" s="20"/>
      <c r="C81" s="20"/>
      <c r="D81" s="20"/>
      <c r="E81" s="20"/>
      <c r="F81" s="20"/>
      <c r="G81" s="20"/>
      <c r="H81" s="20"/>
      <c r="I81" s="20"/>
      <c r="J81" s="20"/>
    </row>
    <row r="82" customFormat="false" ht="15" hidden="false" customHeight="false" outlineLevel="0" collapsed="false">
      <c r="A82" s="30"/>
      <c r="B82" s="20"/>
      <c r="C82" s="20"/>
      <c r="D82" s="20"/>
      <c r="E82" s="20"/>
      <c r="F82" s="20"/>
      <c r="G82" s="20"/>
      <c r="H82" s="20"/>
      <c r="I82" s="20"/>
      <c r="J82" s="20"/>
    </row>
    <row r="83" customFormat="false" ht="15" hidden="false" customHeight="false" outlineLevel="0" collapsed="false">
      <c r="A83" s="30"/>
      <c r="B83" s="20"/>
      <c r="C83" s="20"/>
      <c r="D83" s="20"/>
      <c r="E83" s="20"/>
      <c r="F83" s="20"/>
      <c r="G83" s="20"/>
      <c r="H83" s="20"/>
      <c r="I83" s="20"/>
      <c r="J83" s="20"/>
    </row>
    <row r="84" customFormat="false" ht="15" hidden="false" customHeight="false" outlineLevel="0" collapsed="false">
      <c r="A84" s="30"/>
      <c r="B84" s="20"/>
      <c r="C84" s="20"/>
      <c r="D84" s="20"/>
      <c r="E84" s="20"/>
      <c r="F84" s="20"/>
      <c r="G84" s="20"/>
      <c r="H84" s="20"/>
      <c r="I84" s="20"/>
      <c r="J84" s="20"/>
    </row>
    <row r="85" customFormat="false" ht="15" hidden="false" customHeight="false" outlineLevel="0" collapsed="false">
      <c r="A85" s="30"/>
      <c r="B85" s="20"/>
      <c r="C85" s="20"/>
      <c r="D85" s="20"/>
      <c r="E85" s="20"/>
      <c r="F85" s="20"/>
      <c r="G85" s="20"/>
      <c r="H85" s="20"/>
      <c r="I85" s="20"/>
      <c r="J85" s="20"/>
    </row>
    <row r="86" customFormat="false" ht="15" hidden="false" customHeight="false" outlineLevel="0" collapsed="false">
      <c r="A86" s="30"/>
      <c r="B86" s="20"/>
      <c r="C86" s="20"/>
      <c r="D86" s="20"/>
      <c r="E86" s="20"/>
      <c r="F86" s="20"/>
      <c r="G86" s="20"/>
      <c r="H86" s="20"/>
      <c r="I86" s="20"/>
      <c r="J86" s="20"/>
    </row>
    <row r="87" customFormat="false" ht="15" hidden="false" customHeight="false" outlineLevel="0" collapsed="false">
      <c r="A87" s="30"/>
      <c r="B87" s="20"/>
      <c r="C87" s="20"/>
      <c r="D87" s="20"/>
      <c r="E87" s="20"/>
      <c r="F87" s="20"/>
      <c r="G87" s="20"/>
      <c r="H87" s="20"/>
      <c r="I87" s="20"/>
      <c r="J87" s="20"/>
    </row>
    <row r="88" customFormat="false" ht="15" hidden="false" customHeight="false" outlineLevel="0" collapsed="false">
      <c r="A88" s="30"/>
      <c r="B88" s="20"/>
      <c r="C88" s="20"/>
      <c r="D88" s="20"/>
      <c r="E88" s="20"/>
      <c r="F88" s="20"/>
      <c r="G88" s="20"/>
      <c r="H88" s="20"/>
      <c r="I88" s="20"/>
      <c r="J88" s="20"/>
    </row>
    <row r="89" customFormat="false" ht="15" hidden="false" customHeight="false" outlineLevel="0" collapsed="false">
      <c r="A89" s="30"/>
      <c r="B89" s="20"/>
      <c r="C89" s="20"/>
      <c r="D89" s="20"/>
      <c r="E89" s="20"/>
      <c r="F89" s="20"/>
      <c r="G89" s="20"/>
      <c r="H89" s="20"/>
      <c r="I89" s="20"/>
      <c r="J89" s="20"/>
    </row>
    <row r="90" customFormat="false" ht="15" hidden="false" customHeight="false" outlineLevel="0" collapsed="false">
      <c r="A90" s="30"/>
      <c r="B90" s="20"/>
      <c r="C90" s="20"/>
      <c r="D90" s="20"/>
      <c r="E90" s="20"/>
      <c r="F90" s="20"/>
      <c r="G90" s="20"/>
      <c r="H90" s="20"/>
      <c r="I90" s="20"/>
      <c r="J90" s="20"/>
    </row>
    <row r="91" customFormat="false" ht="15" hidden="false" customHeight="false" outlineLevel="0" collapsed="false">
      <c r="A91" s="30"/>
      <c r="B91" s="20"/>
      <c r="C91" s="20"/>
      <c r="D91" s="20"/>
      <c r="E91" s="20"/>
      <c r="F91" s="20"/>
      <c r="G91" s="20"/>
      <c r="H91" s="20"/>
      <c r="I91" s="20"/>
      <c r="J91" s="20"/>
    </row>
    <row r="92" customFormat="false" ht="15" hidden="false" customHeight="false" outlineLevel="0" collapsed="false">
      <c r="A92" s="30"/>
      <c r="B92" s="20"/>
      <c r="C92" s="20"/>
      <c r="D92" s="20"/>
      <c r="E92" s="20"/>
      <c r="F92" s="20"/>
      <c r="G92" s="20"/>
      <c r="H92" s="20"/>
      <c r="I92" s="20"/>
      <c r="J92" s="20"/>
    </row>
    <row r="93" customFormat="false" ht="15" hidden="false" customHeight="false" outlineLevel="0" collapsed="false">
      <c r="A93" s="30"/>
      <c r="B93" s="20"/>
      <c r="C93" s="20"/>
      <c r="D93" s="20"/>
      <c r="E93" s="20"/>
      <c r="F93" s="20"/>
      <c r="G93" s="20"/>
      <c r="H93" s="20"/>
      <c r="I93" s="20"/>
      <c r="J93" s="20"/>
    </row>
    <row r="94" customFormat="false" ht="15" hidden="false" customHeight="false" outlineLevel="0" collapsed="false">
      <c r="A94" s="30"/>
      <c r="B94" s="20"/>
      <c r="C94" s="20"/>
      <c r="D94" s="20"/>
      <c r="E94" s="20"/>
      <c r="F94" s="20"/>
      <c r="G94" s="20"/>
      <c r="H94" s="20"/>
      <c r="I94" s="20"/>
      <c r="J94" s="20"/>
    </row>
    <row r="95" customFormat="false" ht="15" hidden="false" customHeight="false" outlineLevel="0" collapsed="false">
      <c r="A95" s="30"/>
      <c r="B95" s="20"/>
      <c r="C95" s="20"/>
      <c r="D95" s="20"/>
      <c r="E95" s="20"/>
      <c r="F95" s="20"/>
      <c r="G95" s="20"/>
      <c r="H95" s="20"/>
      <c r="I95" s="20"/>
      <c r="J95" s="20"/>
    </row>
    <row r="96" customFormat="false" ht="15" hidden="false" customHeight="false" outlineLevel="0" collapsed="false">
      <c r="A96" s="30"/>
      <c r="B96" s="20"/>
      <c r="C96" s="20"/>
      <c r="D96" s="20"/>
      <c r="E96" s="20"/>
      <c r="F96" s="20"/>
      <c r="G96" s="20"/>
      <c r="H96" s="20"/>
      <c r="I96" s="20"/>
      <c r="J96" s="20"/>
    </row>
    <row r="97" customFormat="false" ht="15" hidden="false" customHeight="false" outlineLevel="0" collapsed="false">
      <c r="A97" s="30"/>
      <c r="B97" s="20"/>
      <c r="C97" s="20"/>
      <c r="D97" s="20"/>
      <c r="E97" s="20"/>
      <c r="F97" s="20"/>
      <c r="G97" s="20"/>
      <c r="H97" s="20"/>
      <c r="I97" s="20"/>
      <c r="J97" s="20"/>
    </row>
    <row r="98" customFormat="false" ht="15" hidden="false" customHeight="false" outlineLevel="0" collapsed="false">
      <c r="A98" s="30"/>
      <c r="B98" s="20"/>
      <c r="C98" s="20"/>
      <c r="D98" s="20"/>
      <c r="E98" s="20"/>
      <c r="F98" s="20"/>
      <c r="G98" s="20"/>
      <c r="H98" s="20"/>
      <c r="I98" s="20"/>
      <c r="J98" s="20"/>
    </row>
    <row r="99" customFormat="false" ht="15" hidden="false" customHeight="false" outlineLevel="0" collapsed="false">
      <c r="A99" s="30"/>
      <c r="B99" s="20"/>
      <c r="C99" s="20"/>
      <c r="D99" s="20"/>
      <c r="E99" s="20"/>
      <c r="F99" s="20"/>
      <c r="G99" s="20"/>
      <c r="H99" s="20"/>
      <c r="I99" s="20"/>
      <c r="J99" s="20"/>
    </row>
    <row r="100" customFormat="false" ht="15" hidden="false" customHeight="false" outlineLevel="0" collapsed="false">
      <c r="A100" s="30"/>
      <c r="B100" s="20"/>
      <c r="C100" s="20"/>
      <c r="D100" s="20"/>
      <c r="E100" s="20"/>
      <c r="F100" s="20"/>
      <c r="G100" s="20"/>
      <c r="H100" s="20"/>
      <c r="I100" s="20"/>
      <c r="J100" s="20"/>
    </row>
    <row r="101" customFormat="false" ht="15" hidden="false" customHeight="false" outlineLevel="0" collapsed="false">
      <c r="A101" s="30"/>
      <c r="B101" s="20"/>
      <c r="C101" s="20"/>
      <c r="D101" s="20"/>
      <c r="E101" s="20"/>
      <c r="F101" s="20"/>
      <c r="G101" s="20"/>
      <c r="H101" s="20"/>
      <c r="I101" s="20"/>
      <c r="J101" s="20"/>
    </row>
    <row r="102" customFormat="false" ht="15" hidden="false" customHeight="false" outlineLevel="0" collapsed="false">
      <c r="A102" s="30"/>
      <c r="B102" s="20"/>
      <c r="C102" s="20"/>
      <c r="D102" s="20"/>
      <c r="E102" s="20"/>
      <c r="F102" s="20"/>
      <c r="G102" s="20"/>
      <c r="H102" s="20"/>
      <c r="I102" s="20"/>
      <c r="J102" s="20"/>
    </row>
    <row r="103" customFormat="false" ht="15" hidden="false" customHeight="false" outlineLevel="0" collapsed="false">
      <c r="A103" s="30"/>
      <c r="B103" s="20"/>
      <c r="C103" s="20"/>
      <c r="D103" s="20"/>
      <c r="E103" s="20"/>
      <c r="F103" s="20"/>
      <c r="G103" s="20"/>
      <c r="H103" s="20"/>
      <c r="I103" s="20"/>
      <c r="J103" s="20"/>
    </row>
    <row r="104" customFormat="false" ht="15" hidden="false" customHeight="false" outlineLevel="0" collapsed="false">
      <c r="A104" s="30"/>
      <c r="B104" s="20"/>
      <c r="C104" s="20"/>
      <c r="D104" s="20"/>
      <c r="E104" s="20"/>
      <c r="F104" s="20"/>
      <c r="G104" s="20"/>
      <c r="H104" s="20"/>
      <c r="I104" s="20"/>
      <c r="J104" s="20"/>
    </row>
    <row r="105" customFormat="false" ht="15" hidden="false" customHeight="false" outlineLevel="0" collapsed="false">
      <c r="A105" s="30"/>
      <c r="B105" s="20"/>
      <c r="C105" s="20"/>
      <c r="D105" s="20"/>
      <c r="E105" s="20"/>
      <c r="F105" s="20"/>
      <c r="G105" s="20"/>
      <c r="H105" s="20"/>
      <c r="I105" s="20"/>
      <c r="J105" s="20"/>
    </row>
    <row r="106" customFormat="false" ht="15" hidden="false" customHeight="false" outlineLevel="0" collapsed="false">
      <c r="A106" s="30"/>
      <c r="B106" s="20"/>
      <c r="C106" s="20"/>
      <c r="D106" s="20"/>
      <c r="E106" s="20"/>
      <c r="F106" s="20"/>
      <c r="G106" s="20"/>
      <c r="H106" s="20"/>
      <c r="I106" s="20"/>
      <c r="J106" s="20"/>
    </row>
    <row r="107" customFormat="false" ht="15" hidden="false" customHeight="false" outlineLevel="0" collapsed="false">
      <c r="A107" s="30"/>
      <c r="B107" s="20"/>
      <c r="C107" s="20"/>
      <c r="D107" s="20"/>
      <c r="E107" s="20"/>
      <c r="F107" s="20"/>
      <c r="G107" s="20"/>
      <c r="H107" s="20"/>
      <c r="I107" s="20"/>
      <c r="J107" s="20"/>
    </row>
    <row r="108" customFormat="false" ht="15" hidden="false" customHeight="false" outlineLevel="0" collapsed="false">
      <c r="A108" s="30"/>
      <c r="B108" s="20"/>
      <c r="C108" s="20"/>
      <c r="D108" s="20"/>
      <c r="E108" s="20"/>
      <c r="F108" s="20"/>
      <c r="G108" s="20"/>
      <c r="H108" s="20"/>
      <c r="I108" s="20"/>
      <c r="J108" s="20"/>
    </row>
    <row r="109" customFormat="false" ht="15" hidden="false" customHeight="false" outlineLevel="0" collapsed="false">
      <c r="A109" s="30"/>
      <c r="B109" s="20"/>
      <c r="C109" s="20"/>
      <c r="D109" s="20"/>
      <c r="E109" s="20"/>
      <c r="F109" s="20"/>
      <c r="G109" s="20"/>
      <c r="H109" s="20"/>
      <c r="I109" s="20"/>
      <c r="J109" s="20"/>
    </row>
    <row r="110" customFormat="false" ht="15" hidden="false" customHeight="false" outlineLevel="0" collapsed="false">
      <c r="A110" s="30"/>
      <c r="B110" s="20"/>
      <c r="C110" s="20"/>
      <c r="D110" s="20"/>
      <c r="E110" s="20"/>
      <c r="F110" s="20"/>
      <c r="G110" s="20"/>
      <c r="H110" s="20"/>
      <c r="I110" s="20"/>
      <c r="J110" s="20"/>
    </row>
    <row r="111" customFormat="false" ht="15" hidden="false" customHeight="false" outlineLevel="0" collapsed="false">
      <c r="A111" s="30"/>
      <c r="B111" s="20"/>
      <c r="C111" s="20"/>
      <c r="D111" s="20"/>
      <c r="E111" s="20"/>
      <c r="F111" s="20"/>
      <c r="G111" s="20"/>
      <c r="H111" s="20"/>
      <c r="I111" s="20"/>
      <c r="J111" s="20"/>
    </row>
    <row r="112" customFormat="false" ht="15" hidden="false" customHeight="false" outlineLevel="0" collapsed="false">
      <c r="A112" s="30"/>
      <c r="B112" s="20"/>
      <c r="C112" s="20"/>
      <c r="D112" s="20"/>
      <c r="E112" s="20"/>
      <c r="F112" s="20"/>
      <c r="G112" s="20"/>
      <c r="H112" s="20"/>
      <c r="I112" s="20"/>
      <c r="J112" s="20"/>
    </row>
    <row r="113" customFormat="false" ht="15" hidden="false" customHeight="false" outlineLevel="0" collapsed="false">
      <c r="A113" s="30"/>
      <c r="B113" s="20"/>
      <c r="C113" s="20"/>
      <c r="D113" s="20"/>
      <c r="E113" s="20"/>
      <c r="F113" s="20"/>
      <c r="G113" s="20"/>
      <c r="H113" s="20"/>
      <c r="I113" s="20"/>
      <c r="J113" s="20"/>
    </row>
    <row r="114" customFormat="false" ht="15" hidden="false" customHeight="false" outlineLevel="0" collapsed="false">
      <c r="A114" s="30"/>
      <c r="B114" s="20"/>
      <c r="C114" s="20"/>
      <c r="D114" s="20"/>
      <c r="E114" s="20"/>
      <c r="F114" s="20"/>
      <c r="G114" s="20"/>
      <c r="H114" s="20"/>
      <c r="I114" s="20"/>
      <c r="J114" s="20"/>
    </row>
    <row r="115" customFormat="false" ht="15" hidden="false" customHeight="false" outlineLevel="0" collapsed="false">
      <c r="A115" s="30"/>
      <c r="B115" s="20"/>
      <c r="C115" s="20"/>
      <c r="D115" s="20"/>
      <c r="E115" s="20"/>
      <c r="F115" s="20"/>
      <c r="G115" s="20"/>
      <c r="H115" s="20"/>
      <c r="I115" s="20"/>
      <c r="J115" s="20"/>
    </row>
    <row r="116" customFormat="false" ht="15" hidden="false" customHeight="false" outlineLevel="0" collapsed="false">
      <c r="A116" s="30"/>
      <c r="B116" s="20"/>
      <c r="C116" s="20"/>
      <c r="D116" s="20"/>
      <c r="E116" s="20"/>
      <c r="F116" s="20"/>
      <c r="G116" s="20"/>
      <c r="H116" s="20"/>
      <c r="I116" s="20"/>
      <c r="J116" s="20"/>
    </row>
    <row r="117" customFormat="false" ht="15" hidden="false" customHeight="false" outlineLevel="0" collapsed="false">
      <c r="A117" s="30"/>
      <c r="B117" s="20"/>
      <c r="C117" s="20"/>
      <c r="D117" s="20"/>
      <c r="E117" s="20"/>
      <c r="F117" s="20"/>
      <c r="G117" s="20"/>
      <c r="H117" s="20"/>
      <c r="I117" s="20"/>
      <c r="J117" s="20"/>
    </row>
    <row r="118" customFormat="false" ht="15" hidden="false" customHeight="false" outlineLevel="0" collapsed="false">
      <c r="A118" s="30"/>
      <c r="B118" s="20"/>
      <c r="C118" s="20"/>
      <c r="D118" s="20"/>
      <c r="E118" s="20"/>
      <c r="F118" s="20"/>
      <c r="G118" s="20"/>
      <c r="H118" s="20"/>
      <c r="I118" s="20"/>
      <c r="J118" s="20"/>
    </row>
    <row r="119" customFormat="false" ht="15" hidden="false" customHeight="false" outlineLevel="0" collapsed="false">
      <c r="A119" s="30"/>
      <c r="B119" s="20"/>
      <c r="C119" s="20"/>
      <c r="D119" s="20"/>
      <c r="E119" s="20"/>
      <c r="F119" s="20"/>
      <c r="G119" s="20"/>
      <c r="H119" s="20"/>
      <c r="I119" s="20"/>
      <c r="J119" s="20"/>
    </row>
    <row r="120" customFormat="false" ht="15" hidden="false" customHeight="false" outlineLevel="0" collapsed="false">
      <c r="A120" s="30"/>
      <c r="B120" s="20"/>
      <c r="C120" s="20"/>
      <c r="D120" s="20"/>
      <c r="E120" s="20"/>
      <c r="F120" s="20"/>
      <c r="G120" s="20"/>
      <c r="H120" s="20"/>
      <c r="I120" s="20"/>
      <c r="J120" s="20"/>
    </row>
    <row r="121" customFormat="false" ht="15" hidden="false" customHeight="false" outlineLevel="0" collapsed="false">
      <c r="A121" s="30"/>
      <c r="B121" s="20"/>
      <c r="C121" s="20"/>
      <c r="D121" s="20"/>
      <c r="E121" s="20"/>
      <c r="F121" s="20"/>
      <c r="G121" s="20"/>
      <c r="H121" s="20"/>
      <c r="I121" s="20"/>
      <c r="J121" s="20"/>
    </row>
    <row r="122" customFormat="false" ht="15" hidden="false" customHeight="false" outlineLevel="0" collapsed="false">
      <c r="A122" s="30"/>
      <c r="B122" s="20"/>
      <c r="C122" s="20"/>
      <c r="D122" s="20"/>
      <c r="E122" s="20"/>
      <c r="F122" s="20"/>
      <c r="G122" s="20"/>
      <c r="H122" s="20"/>
      <c r="I122" s="20"/>
      <c r="J122" s="20"/>
    </row>
    <row r="123" customFormat="false" ht="15" hidden="false" customHeight="false" outlineLevel="0" collapsed="false">
      <c r="A123" s="30"/>
      <c r="B123" s="20"/>
      <c r="C123" s="20"/>
      <c r="D123" s="20"/>
      <c r="E123" s="20"/>
      <c r="F123" s="20"/>
      <c r="G123" s="20"/>
      <c r="H123" s="20"/>
      <c r="I123" s="20"/>
      <c r="J123" s="20"/>
    </row>
    <row r="124" customFormat="false" ht="15" hidden="false" customHeight="false" outlineLevel="0" collapsed="false">
      <c r="A124" s="30"/>
      <c r="B124" s="20"/>
      <c r="C124" s="20"/>
      <c r="D124" s="20"/>
      <c r="E124" s="20"/>
      <c r="F124" s="20"/>
      <c r="G124" s="20"/>
      <c r="H124" s="20"/>
      <c r="I124" s="20"/>
      <c r="J124" s="20"/>
    </row>
    <row r="125" customFormat="false" ht="15" hidden="false" customHeight="false" outlineLevel="0" collapsed="false">
      <c r="A125" s="30"/>
      <c r="B125" s="20"/>
      <c r="C125" s="20"/>
      <c r="D125" s="20"/>
      <c r="E125" s="20"/>
      <c r="F125" s="20"/>
      <c r="G125" s="20"/>
      <c r="H125" s="20"/>
      <c r="I125" s="20"/>
      <c r="J125" s="20"/>
    </row>
    <row r="126" customFormat="false" ht="15" hidden="false" customHeight="false" outlineLevel="0" collapsed="false">
      <c r="A126" s="30"/>
      <c r="B126" s="20"/>
      <c r="C126" s="20"/>
      <c r="D126" s="20"/>
      <c r="E126" s="20"/>
      <c r="F126" s="20"/>
      <c r="G126" s="20"/>
      <c r="H126" s="20"/>
      <c r="I126" s="20"/>
      <c r="J126" s="20"/>
    </row>
    <row r="127" customFormat="false" ht="15" hidden="false" customHeight="false" outlineLevel="0" collapsed="false">
      <c r="A127" s="30"/>
      <c r="B127" s="20"/>
      <c r="C127" s="20"/>
      <c r="D127" s="20"/>
      <c r="E127" s="20"/>
      <c r="F127" s="20"/>
      <c r="G127" s="20"/>
      <c r="H127" s="20"/>
      <c r="I127" s="20"/>
      <c r="J127" s="20"/>
    </row>
    <row r="128" customFormat="false" ht="15" hidden="false" customHeight="false" outlineLevel="0" collapsed="false">
      <c r="A128" s="30"/>
      <c r="B128" s="20"/>
      <c r="C128" s="20"/>
      <c r="D128" s="20"/>
      <c r="E128" s="20"/>
      <c r="F128" s="20"/>
      <c r="G128" s="20"/>
      <c r="H128" s="20"/>
      <c r="I128" s="20"/>
      <c r="J128" s="20"/>
    </row>
    <row r="129" customFormat="false" ht="15" hidden="false" customHeight="false" outlineLevel="0" collapsed="false">
      <c r="A129" s="30"/>
      <c r="B129" s="20"/>
      <c r="C129" s="20"/>
      <c r="D129" s="20"/>
      <c r="E129" s="20"/>
      <c r="F129" s="20"/>
      <c r="G129" s="20"/>
      <c r="H129" s="20"/>
      <c r="I129" s="20"/>
      <c r="J129" s="20"/>
    </row>
    <row r="130" customFormat="false" ht="15" hidden="false" customHeight="false" outlineLevel="0" collapsed="false">
      <c r="A130" s="30"/>
      <c r="B130" s="20"/>
      <c r="C130" s="20"/>
      <c r="D130" s="20"/>
      <c r="E130" s="20"/>
      <c r="F130" s="20"/>
      <c r="G130" s="20"/>
      <c r="H130" s="20"/>
      <c r="I130" s="20"/>
      <c r="J130" s="20"/>
    </row>
    <row r="131" customFormat="false" ht="15" hidden="false" customHeight="false" outlineLevel="0" collapsed="false">
      <c r="A131" s="30"/>
      <c r="B131" s="20"/>
      <c r="C131" s="20"/>
      <c r="D131" s="20"/>
      <c r="E131" s="20"/>
      <c r="F131" s="20"/>
      <c r="G131" s="20"/>
      <c r="H131" s="20"/>
      <c r="I131" s="20"/>
      <c r="J131" s="20"/>
    </row>
    <row r="132" customFormat="false" ht="15" hidden="false" customHeight="false" outlineLevel="0" collapsed="false">
      <c r="A132" s="30"/>
      <c r="B132" s="20"/>
      <c r="C132" s="20"/>
      <c r="D132" s="20"/>
      <c r="E132" s="20"/>
      <c r="F132" s="20"/>
      <c r="G132" s="20"/>
      <c r="H132" s="20"/>
      <c r="I132" s="20"/>
      <c r="J132" s="20"/>
    </row>
    <row r="133" customFormat="false" ht="15" hidden="false" customHeight="false" outlineLevel="0" collapsed="false">
      <c r="A133" s="30"/>
      <c r="B133" s="20"/>
      <c r="C133" s="20"/>
      <c r="D133" s="20"/>
      <c r="E133" s="20"/>
      <c r="F133" s="20"/>
      <c r="G133" s="20"/>
      <c r="H133" s="20"/>
      <c r="I133" s="20"/>
      <c r="J133" s="20"/>
    </row>
    <row r="134" customFormat="false" ht="15" hidden="false" customHeight="false" outlineLevel="0" collapsed="false">
      <c r="A134" s="30"/>
      <c r="B134" s="20"/>
      <c r="C134" s="20"/>
      <c r="D134" s="20"/>
      <c r="E134" s="20"/>
      <c r="F134" s="20"/>
      <c r="G134" s="20"/>
      <c r="H134" s="20"/>
      <c r="I134" s="20"/>
      <c r="J134" s="20"/>
    </row>
    <row r="135" customFormat="false" ht="15" hidden="false" customHeight="false" outlineLevel="0" collapsed="false">
      <c r="A135" s="30"/>
      <c r="B135" s="20"/>
      <c r="C135" s="20"/>
      <c r="D135" s="20"/>
      <c r="E135" s="20"/>
      <c r="F135" s="20"/>
      <c r="G135" s="20"/>
      <c r="H135" s="20"/>
      <c r="I135" s="20"/>
      <c r="J135" s="20"/>
    </row>
    <row r="136" customFormat="false" ht="15" hidden="false" customHeight="false" outlineLevel="0" collapsed="false">
      <c r="A136" s="30"/>
      <c r="B136" s="20"/>
      <c r="C136" s="20"/>
      <c r="D136" s="20"/>
      <c r="E136" s="20"/>
      <c r="F136" s="20"/>
      <c r="G136" s="20"/>
      <c r="H136" s="20"/>
      <c r="I136" s="20"/>
      <c r="J136" s="20"/>
    </row>
    <row r="137" customFormat="false" ht="15" hidden="false" customHeight="false" outlineLevel="0" collapsed="false">
      <c r="A137" s="30"/>
      <c r="B137" s="20"/>
      <c r="C137" s="20"/>
      <c r="D137" s="20"/>
      <c r="E137" s="20"/>
      <c r="F137" s="20"/>
      <c r="G137" s="20"/>
      <c r="H137" s="20"/>
      <c r="I137" s="20"/>
      <c r="J137" s="20"/>
    </row>
    <row r="138" customFormat="false" ht="15" hidden="false" customHeight="false" outlineLevel="0" collapsed="false">
      <c r="A138" s="30"/>
      <c r="B138" s="20"/>
      <c r="C138" s="20"/>
      <c r="D138" s="20"/>
      <c r="E138" s="20"/>
      <c r="F138" s="20"/>
      <c r="G138" s="20"/>
      <c r="H138" s="20"/>
      <c r="I138" s="20"/>
      <c r="J138" s="20"/>
    </row>
    <row r="139" customFormat="false" ht="15" hidden="false" customHeight="false" outlineLevel="0" collapsed="false">
      <c r="A139" s="30"/>
      <c r="B139" s="20"/>
      <c r="C139" s="20"/>
      <c r="D139" s="20"/>
      <c r="E139" s="20"/>
      <c r="F139" s="20"/>
      <c r="G139" s="20"/>
      <c r="H139" s="20"/>
      <c r="I139" s="20"/>
      <c r="J139" s="20"/>
    </row>
    <row r="140" customFormat="false" ht="15" hidden="false" customHeight="false" outlineLevel="0" collapsed="false">
      <c r="A140" s="30"/>
      <c r="B140" s="20"/>
      <c r="C140" s="20"/>
      <c r="D140" s="20"/>
      <c r="E140" s="20"/>
      <c r="F140" s="20"/>
      <c r="G140" s="20"/>
      <c r="H140" s="20"/>
      <c r="I140" s="20"/>
      <c r="J140" s="20"/>
    </row>
    <row r="141" customFormat="false" ht="15" hidden="false" customHeight="false" outlineLevel="0" collapsed="false">
      <c r="A141" s="30"/>
      <c r="B141" s="20"/>
      <c r="C141" s="20"/>
      <c r="D141" s="20"/>
      <c r="E141" s="20"/>
      <c r="F141" s="20"/>
      <c r="G141" s="20"/>
      <c r="H141" s="20"/>
      <c r="I141" s="20"/>
      <c r="J141" s="20"/>
    </row>
    <row r="142" customFormat="false" ht="15" hidden="false" customHeight="false" outlineLevel="0" collapsed="false">
      <c r="A142" s="30"/>
      <c r="B142" s="20"/>
      <c r="C142" s="20"/>
      <c r="D142" s="20"/>
      <c r="E142" s="20"/>
      <c r="F142" s="20"/>
      <c r="G142" s="20"/>
      <c r="H142" s="20"/>
      <c r="I142" s="20"/>
      <c r="J142" s="20"/>
    </row>
    <row r="143" customFormat="false" ht="15" hidden="false" customHeight="false" outlineLevel="0" collapsed="false">
      <c r="A143" s="30"/>
      <c r="B143" s="20"/>
      <c r="C143" s="20"/>
      <c r="D143" s="20"/>
      <c r="E143" s="20"/>
      <c r="F143" s="20"/>
      <c r="G143" s="20"/>
      <c r="H143" s="20"/>
      <c r="I143" s="20"/>
      <c r="J143" s="20"/>
    </row>
    <row r="144" customFormat="false" ht="15" hidden="false" customHeight="false" outlineLevel="0" collapsed="false">
      <c r="A144" s="30"/>
      <c r="B144" s="20"/>
      <c r="C144" s="20"/>
      <c r="D144" s="20"/>
      <c r="E144" s="20"/>
      <c r="F144" s="20"/>
      <c r="G144" s="20"/>
      <c r="H144" s="20"/>
      <c r="I144" s="20"/>
      <c r="J144" s="20"/>
    </row>
    <row r="145" customFormat="false" ht="15" hidden="false" customHeight="false" outlineLevel="0" collapsed="false">
      <c r="A145" s="30"/>
      <c r="B145" s="20"/>
      <c r="C145" s="20"/>
      <c r="D145" s="20"/>
      <c r="E145" s="20"/>
      <c r="F145" s="20"/>
      <c r="G145" s="20"/>
      <c r="H145" s="20"/>
      <c r="I145" s="20"/>
      <c r="J145" s="20"/>
    </row>
    <row r="146" customFormat="false" ht="15" hidden="false" customHeight="false" outlineLevel="0" collapsed="false">
      <c r="A146" s="30"/>
      <c r="B146" s="20"/>
      <c r="C146" s="20"/>
      <c r="D146" s="20"/>
      <c r="E146" s="20"/>
      <c r="F146" s="20"/>
      <c r="G146" s="20"/>
      <c r="H146" s="20"/>
      <c r="I146" s="20"/>
      <c r="J146" s="20"/>
    </row>
    <row r="147" customFormat="false" ht="15" hidden="false" customHeight="false" outlineLevel="0" collapsed="false">
      <c r="A147" s="30"/>
      <c r="B147" s="20"/>
      <c r="C147" s="20"/>
      <c r="D147" s="20"/>
      <c r="E147" s="20"/>
      <c r="F147" s="20"/>
      <c r="G147" s="20"/>
      <c r="H147" s="20"/>
      <c r="I147" s="20"/>
      <c r="J147" s="20"/>
    </row>
    <row r="148" customFormat="false" ht="15" hidden="false" customHeight="false" outlineLevel="0" collapsed="false">
      <c r="A148" s="30"/>
      <c r="B148" s="20"/>
      <c r="C148" s="20"/>
      <c r="D148" s="20"/>
      <c r="E148" s="20"/>
      <c r="F148" s="20"/>
      <c r="G148" s="20"/>
      <c r="H148" s="20"/>
      <c r="I148" s="20"/>
      <c r="J148" s="20"/>
    </row>
    <row r="149" customFormat="false" ht="15" hidden="false" customHeight="false" outlineLevel="0" collapsed="false">
      <c r="A149" s="30"/>
      <c r="B149" s="20"/>
      <c r="C149" s="20"/>
      <c r="D149" s="20"/>
      <c r="E149" s="20"/>
      <c r="F149" s="20"/>
      <c r="G149" s="20"/>
      <c r="H149" s="20"/>
      <c r="I149" s="20"/>
      <c r="J149" s="20"/>
    </row>
    <row r="150" customFormat="false" ht="15" hidden="false" customHeight="false" outlineLevel="0" collapsed="false">
      <c r="A150" s="30"/>
      <c r="B150" s="20"/>
      <c r="C150" s="20"/>
      <c r="D150" s="20"/>
      <c r="E150" s="20"/>
      <c r="F150" s="20"/>
      <c r="G150" s="20"/>
      <c r="H150" s="20"/>
      <c r="I150" s="20"/>
      <c r="J150" s="20"/>
    </row>
    <row r="151" customFormat="false" ht="15" hidden="false" customHeight="false" outlineLevel="0" collapsed="false">
      <c r="A151" s="30"/>
      <c r="B151" s="20"/>
      <c r="C151" s="20"/>
      <c r="D151" s="20"/>
      <c r="E151" s="20"/>
      <c r="F151" s="20"/>
      <c r="G151" s="20"/>
      <c r="H151" s="20"/>
      <c r="I151" s="20"/>
      <c r="J151" s="20"/>
    </row>
    <row r="152" customFormat="false" ht="15" hidden="false" customHeight="false" outlineLevel="0" collapsed="false">
      <c r="A152" s="30"/>
      <c r="B152" s="20"/>
      <c r="C152" s="20"/>
      <c r="D152" s="20"/>
      <c r="E152" s="20"/>
      <c r="F152" s="20"/>
      <c r="G152" s="20"/>
      <c r="H152" s="20"/>
      <c r="I152" s="20"/>
      <c r="J152" s="20"/>
    </row>
    <row r="153" customFormat="false" ht="15" hidden="false" customHeight="false" outlineLevel="0" collapsed="false">
      <c r="A153" s="30"/>
      <c r="B153" s="20"/>
      <c r="C153" s="20"/>
      <c r="D153" s="20"/>
      <c r="E153" s="20"/>
      <c r="F153" s="20"/>
      <c r="G153" s="20"/>
      <c r="H153" s="20"/>
      <c r="I153" s="20"/>
      <c r="J153" s="20"/>
    </row>
    <row r="154" customFormat="false" ht="15" hidden="false" customHeight="false" outlineLevel="0" collapsed="false">
      <c r="A154" s="30"/>
      <c r="B154" s="20"/>
      <c r="C154" s="20"/>
      <c r="D154" s="20"/>
      <c r="E154" s="20"/>
      <c r="F154" s="20"/>
      <c r="G154" s="20"/>
      <c r="H154" s="20"/>
      <c r="I154" s="20"/>
      <c r="J154" s="20"/>
    </row>
    <row r="155" customFormat="false" ht="15" hidden="false" customHeight="false" outlineLevel="0" collapsed="false">
      <c r="A155" s="30"/>
      <c r="B155" s="20"/>
      <c r="C155" s="20"/>
      <c r="D155" s="20"/>
      <c r="E155" s="20"/>
      <c r="F155" s="20"/>
      <c r="G155" s="20"/>
      <c r="H155" s="20"/>
      <c r="I155" s="20"/>
      <c r="J155" s="20"/>
    </row>
    <row r="156" customFormat="false" ht="15" hidden="false" customHeight="false" outlineLevel="0" collapsed="false">
      <c r="A156" s="30"/>
      <c r="B156" s="20"/>
      <c r="C156" s="20"/>
      <c r="D156" s="20"/>
      <c r="E156" s="20"/>
      <c r="F156" s="20"/>
      <c r="G156" s="20"/>
      <c r="H156" s="20"/>
      <c r="I156" s="20"/>
      <c r="J156" s="20"/>
    </row>
    <row r="157" customFormat="false" ht="15" hidden="false" customHeight="false" outlineLevel="0" collapsed="false">
      <c r="A157" s="30"/>
      <c r="B157" s="20"/>
      <c r="C157" s="20"/>
      <c r="D157" s="20"/>
      <c r="E157" s="20"/>
      <c r="F157" s="20"/>
      <c r="G157" s="20"/>
      <c r="H157" s="20"/>
      <c r="I157" s="20"/>
      <c r="J157" s="20"/>
    </row>
    <row r="158" customFormat="false" ht="15" hidden="false" customHeight="false" outlineLevel="0" collapsed="false">
      <c r="A158" s="30"/>
      <c r="B158" s="20"/>
      <c r="C158" s="20"/>
      <c r="D158" s="20"/>
      <c r="E158" s="20"/>
      <c r="F158" s="20"/>
      <c r="G158" s="20"/>
      <c r="H158" s="20"/>
      <c r="I158" s="20"/>
      <c r="J158" s="20"/>
    </row>
    <row r="159" customFormat="false" ht="15" hidden="false" customHeight="false" outlineLevel="0" collapsed="false">
      <c r="A159" s="30"/>
      <c r="B159" s="20"/>
      <c r="C159" s="20"/>
      <c r="D159" s="20"/>
      <c r="E159" s="20"/>
      <c r="F159" s="20"/>
      <c r="G159" s="20"/>
      <c r="H159" s="20"/>
      <c r="I159" s="20"/>
      <c r="J159" s="20"/>
    </row>
    <row r="160" customFormat="false" ht="15" hidden="false" customHeight="false" outlineLevel="0" collapsed="false">
      <c r="A160" s="30"/>
      <c r="B160" s="20"/>
      <c r="C160" s="20"/>
      <c r="D160" s="20"/>
      <c r="E160" s="20"/>
      <c r="F160" s="20"/>
      <c r="G160" s="20"/>
      <c r="H160" s="20"/>
      <c r="I160" s="20"/>
      <c r="J160" s="20"/>
    </row>
    <row r="161" customFormat="false" ht="15" hidden="false" customHeight="false" outlineLevel="0" collapsed="false">
      <c r="A161" s="30"/>
      <c r="B161" s="20"/>
      <c r="C161" s="20"/>
      <c r="D161" s="20"/>
      <c r="E161" s="20"/>
      <c r="F161" s="20"/>
      <c r="G161" s="20"/>
      <c r="H161" s="20"/>
      <c r="I161" s="20"/>
      <c r="J161" s="20"/>
    </row>
    <row r="162" customFormat="false" ht="15" hidden="false" customHeight="false" outlineLevel="0" collapsed="false">
      <c r="A162" s="30"/>
      <c r="B162" s="20"/>
      <c r="C162" s="20"/>
      <c r="D162" s="20"/>
      <c r="E162" s="20"/>
      <c r="F162" s="20"/>
      <c r="G162" s="20"/>
      <c r="H162" s="20"/>
      <c r="I162" s="20"/>
      <c r="J162" s="20"/>
    </row>
    <row r="163" customFormat="false" ht="15" hidden="false" customHeight="false" outlineLevel="0" collapsed="false">
      <c r="A163" s="30"/>
      <c r="B163" s="20"/>
      <c r="C163" s="20"/>
      <c r="D163" s="20"/>
      <c r="E163" s="20"/>
      <c r="F163" s="20"/>
      <c r="G163" s="20"/>
      <c r="H163" s="20"/>
      <c r="I163" s="20"/>
      <c r="J163" s="20"/>
    </row>
    <row r="164" customFormat="false" ht="15" hidden="false" customHeight="false" outlineLevel="0" collapsed="false">
      <c r="A164" s="30"/>
      <c r="B164" s="20"/>
      <c r="C164" s="20"/>
      <c r="D164" s="20"/>
      <c r="E164" s="20"/>
      <c r="F164" s="20"/>
      <c r="G164" s="20"/>
      <c r="H164" s="20"/>
      <c r="I164" s="20"/>
      <c r="J164" s="20"/>
    </row>
    <row r="165" customFormat="false" ht="15" hidden="false" customHeight="false" outlineLevel="0" collapsed="false">
      <c r="A165" s="30"/>
      <c r="B165" s="20"/>
      <c r="C165" s="20"/>
      <c r="D165" s="20"/>
      <c r="E165" s="20"/>
      <c r="F165" s="20"/>
      <c r="G165" s="20"/>
      <c r="H165" s="20"/>
      <c r="I165" s="20"/>
      <c r="J165" s="20"/>
    </row>
    <row r="166" customFormat="false" ht="15" hidden="false" customHeight="false" outlineLevel="0" collapsed="false">
      <c r="A166" s="30"/>
      <c r="B166" s="20"/>
      <c r="C166" s="20"/>
      <c r="D166" s="20"/>
      <c r="E166" s="20"/>
      <c r="F166" s="20"/>
      <c r="G166" s="20"/>
      <c r="H166" s="20"/>
      <c r="I166" s="20"/>
      <c r="J166" s="20"/>
    </row>
    <row r="167" customFormat="false" ht="15" hidden="false" customHeight="false" outlineLevel="0" collapsed="false">
      <c r="A167" s="30"/>
      <c r="B167" s="20"/>
      <c r="C167" s="20"/>
      <c r="D167" s="20"/>
      <c r="E167" s="20"/>
      <c r="F167" s="20"/>
      <c r="G167" s="20"/>
      <c r="H167" s="20"/>
      <c r="I167" s="20"/>
      <c r="J167" s="20"/>
    </row>
    <row r="168" customFormat="false" ht="15" hidden="false" customHeight="false" outlineLevel="0" collapsed="false">
      <c r="A168" s="30"/>
      <c r="B168" s="20"/>
      <c r="C168" s="20"/>
      <c r="D168" s="20"/>
      <c r="E168" s="20"/>
      <c r="F168" s="20"/>
      <c r="G168" s="20"/>
      <c r="H168" s="20"/>
      <c r="I168" s="20"/>
      <c r="J168" s="20"/>
    </row>
    <row r="169" customFormat="false" ht="15" hidden="false" customHeight="false" outlineLevel="0" collapsed="false">
      <c r="A169" s="30"/>
      <c r="B169" s="20"/>
      <c r="C169" s="20"/>
      <c r="D169" s="20"/>
      <c r="E169" s="20"/>
      <c r="F169" s="20"/>
      <c r="G169" s="20"/>
      <c r="H169" s="20"/>
      <c r="I169" s="20"/>
      <c r="J169" s="20"/>
    </row>
    <row r="170" customFormat="false" ht="15" hidden="false" customHeight="false" outlineLevel="0" collapsed="false">
      <c r="A170" s="30"/>
      <c r="B170" s="20"/>
      <c r="C170" s="20"/>
      <c r="D170" s="20"/>
      <c r="E170" s="20"/>
      <c r="F170" s="20"/>
      <c r="G170" s="20"/>
      <c r="H170" s="20"/>
      <c r="I170" s="20"/>
      <c r="J170" s="20"/>
    </row>
    <row r="171" customFormat="false" ht="15" hidden="false" customHeight="false" outlineLevel="0" collapsed="false">
      <c r="A171" s="30"/>
      <c r="B171" s="20"/>
      <c r="C171" s="20"/>
      <c r="D171" s="20"/>
      <c r="E171" s="20"/>
      <c r="F171" s="20"/>
      <c r="G171" s="20"/>
      <c r="H171" s="20"/>
      <c r="I171" s="20"/>
      <c r="J171" s="20"/>
    </row>
    <row r="172" customFormat="false" ht="15" hidden="false" customHeight="false" outlineLevel="0" collapsed="false">
      <c r="A172" s="30"/>
      <c r="B172" s="20"/>
      <c r="C172" s="20"/>
      <c r="D172" s="20"/>
      <c r="E172" s="20"/>
      <c r="F172" s="20"/>
      <c r="G172" s="20"/>
      <c r="H172" s="20"/>
      <c r="I172" s="20"/>
      <c r="J172" s="20"/>
    </row>
    <row r="173" customFormat="false" ht="15" hidden="false" customHeight="false" outlineLevel="0" collapsed="false">
      <c r="A173" s="30"/>
      <c r="B173" s="20"/>
      <c r="C173" s="20"/>
      <c r="D173" s="20"/>
      <c r="E173" s="20"/>
      <c r="F173" s="20"/>
      <c r="G173" s="20"/>
      <c r="H173" s="20"/>
      <c r="I173" s="20"/>
      <c r="J173" s="20"/>
    </row>
    <row r="174" customFormat="false" ht="15" hidden="false" customHeight="false" outlineLevel="0" collapsed="false">
      <c r="A174" s="30"/>
      <c r="B174" s="20"/>
      <c r="C174" s="20"/>
      <c r="D174" s="20"/>
      <c r="E174" s="20"/>
      <c r="F174" s="20"/>
      <c r="G174" s="20"/>
      <c r="H174" s="20"/>
      <c r="I174" s="20"/>
      <c r="J174" s="20"/>
    </row>
    <row r="175" customFormat="false" ht="15" hidden="false" customHeight="false" outlineLevel="0" collapsed="false">
      <c r="A175" s="30"/>
      <c r="B175" s="20"/>
      <c r="C175" s="20"/>
      <c r="D175" s="20"/>
      <c r="E175" s="20"/>
      <c r="F175" s="20"/>
      <c r="G175" s="20"/>
      <c r="H175" s="20"/>
      <c r="I175" s="20"/>
      <c r="J175" s="20"/>
    </row>
    <row r="176" customFormat="false" ht="15" hidden="false" customHeight="false" outlineLevel="0" collapsed="false">
      <c r="A176" s="30"/>
      <c r="B176" s="20"/>
      <c r="C176" s="20"/>
      <c r="D176" s="20"/>
      <c r="E176" s="20"/>
      <c r="F176" s="20"/>
      <c r="G176" s="20"/>
      <c r="H176" s="20"/>
      <c r="I176" s="20"/>
      <c r="J176" s="20"/>
    </row>
    <row r="177" customFormat="false" ht="15" hidden="false" customHeight="false" outlineLevel="0" collapsed="false">
      <c r="A177" s="30"/>
      <c r="B177" s="20"/>
      <c r="C177" s="20"/>
      <c r="D177" s="20"/>
      <c r="E177" s="20"/>
      <c r="F177" s="20"/>
      <c r="G177" s="20"/>
      <c r="H177" s="20"/>
      <c r="I177" s="20"/>
      <c r="J177" s="20"/>
    </row>
    <row r="178" customFormat="false" ht="15" hidden="false" customHeight="false" outlineLevel="0" collapsed="false">
      <c r="A178" s="30"/>
      <c r="B178" s="20"/>
      <c r="C178" s="20"/>
      <c r="D178" s="20"/>
      <c r="E178" s="20"/>
      <c r="F178" s="20"/>
      <c r="G178" s="20"/>
      <c r="H178" s="20"/>
      <c r="I178" s="20"/>
      <c r="J178" s="20"/>
    </row>
    <row r="179" customFormat="false" ht="15" hidden="false" customHeight="false" outlineLevel="0" collapsed="false">
      <c r="A179" s="30"/>
      <c r="B179" s="20"/>
      <c r="C179" s="20"/>
      <c r="D179" s="20"/>
      <c r="E179" s="20"/>
      <c r="F179" s="20"/>
      <c r="G179" s="20"/>
      <c r="H179" s="20"/>
      <c r="I179" s="20"/>
      <c r="J179" s="20"/>
    </row>
    <row r="180" customFormat="false" ht="15" hidden="false" customHeight="false" outlineLevel="0" collapsed="false">
      <c r="A180" s="30"/>
      <c r="B180" s="20"/>
      <c r="C180" s="20"/>
      <c r="D180" s="20"/>
      <c r="E180" s="20"/>
      <c r="F180" s="20"/>
      <c r="G180" s="20"/>
      <c r="H180" s="20"/>
      <c r="I180" s="20"/>
      <c r="J180" s="20"/>
    </row>
    <row r="181" customFormat="false" ht="15" hidden="false" customHeight="false" outlineLevel="0" collapsed="false">
      <c r="A181" s="30"/>
      <c r="B181" s="20"/>
      <c r="C181" s="20"/>
      <c r="D181" s="20"/>
      <c r="E181" s="20"/>
      <c r="F181" s="20"/>
      <c r="G181" s="20"/>
      <c r="H181" s="20"/>
      <c r="I181" s="20"/>
      <c r="J181" s="20"/>
    </row>
    <row r="182" customFormat="false" ht="15" hidden="false" customHeight="false" outlineLevel="0" collapsed="false">
      <c r="A182" s="30"/>
      <c r="B182" s="20"/>
      <c r="C182" s="20"/>
      <c r="D182" s="20"/>
      <c r="E182" s="20"/>
      <c r="F182" s="20"/>
      <c r="G182" s="20"/>
      <c r="H182" s="20"/>
      <c r="I182" s="20"/>
      <c r="J182" s="20"/>
    </row>
    <row r="183" customFormat="false" ht="15" hidden="false" customHeight="false" outlineLevel="0" collapsed="false">
      <c r="A183" s="30"/>
      <c r="B183" s="20"/>
      <c r="C183" s="20"/>
      <c r="D183" s="20"/>
      <c r="E183" s="20"/>
      <c r="F183" s="20"/>
      <c r="G183" s="20"/>
      <c r="H183" s="20"/>
      <c r="I183" s="20"/>
      <c r="J183" s="20"/>
    </row>
    <row r="184" customFormat="false" ht="15" hidden="false" customHeight="false" outlineLevel="0" collapsed="false">
      <c r="A184" s="30"/>
      <c r="B184" s="20"/>
      <c r="C184" s="20"/>
      <c r="D184" s="20"/>
      <c r="E184" s="20"/>
      <c r="F184" s="20"/>
      <c r="G184" s="20"/>
      <c r="H184" s="20"/>
      <c r="I184" s="20"/>
      <c r="J184" s="20"/>
    </row>
    <row r="185" customFormat="false" ht="15" hidden="false" customHeight="false" outlineLevel="0" collapsed="false">
      <c r="A185" s="30"/>
      <c r="B185" s="20"/>
      <c r="C185" s="20"/>
      <c r="D185" s="20"/>
      <c r="E185" s="20"/>
      <c r="F185" s="20"/>
      <c r="G185" s="20"/>
      <c r="H185" s="20"/>
      <c r="I185" s="20"/>
      <c r="J185" s="20"/>
    </row>
    <row r="186" customFormat="false" ht="15" hidden="false" customHeight="false" outlineLevel="0" collapsed="false">
      <c r="A186" s="30"/>
      <c r="B186" s="20"/>
      <c r="C186" s="20"/>
      <c r="D186" s="20"/>
      <c r="E186" s="20"/>
      <c r="F186" s="20"/>
      <c r="G186" s="20"/>
      <c r="H186" s="20"/>
      <c r="I186" s="20"/>
      <c r="J186" s="20"/>
    </row>
    <row r="187" customFormat="false" ht="15" hidden="false" customHeight="false" outlineLevel="0" collapsed="false">
      <c r="A187" s="30"/>
      <c r="B187" s="20"/>
      <c r="C187" s="20"/>
      <c r="D187" s="20"/>
      <c r="E187" s="20"/>
      <c r="F187" s="20"/>
      <c r="G187" s="20"/>
      <c r="H187" s="20"/>
      <c r="I187" s="20"/>
      <c r="J187" s="20"/>
    </row>
    <row r="188" customFormat="false" ht="15" hidden="false" customHeight="false" outlineLevel="0" collapsed="false">
      <c r="A188" s="30"/>
      <c r="B188" s="20"/>
      <c r="C188" s="20"/>
      <c r="D188" s="20"/>
      <c r="E188" s="20"/>
      <c r="F188" s="20"/>
      <c r="G188" s="20"/>
      <c r="H188" s="20"/>
      <c r="I188" s="20"/>
      <c r="J188" s="20"/>
    </row>
    <row r="189" customFormat="false" ht="15" hidden="false" customHeight="false" outlineLevel="0" collapsed="false">
      <c r="A189" s="30"/>
      <c r="B189" s="20"/>
      <c r="C189" s="20"/>
      <c r="D189" s="20"/>
      <c r="E189" s="20"/>
      <c r="F189" s="20"/>
      <c r="G189" s="20"/>
      <c r="H189" s="20"/>
      <c r="I189" s="20"/>
      <c r="J189" s="20"/>
    </row>
    <row r="190" customFormat="false" ht="15" hidden="false" customHeight="false" outlineLevel="0" collapsed="false">
      <c r="A190" s="30"/>
      <c r="B190" s="20"/>
      <c r="C190" s="20"/>
      <c r="D190" s="20"/>
      <c r="E190" s="20"/>
      <c r="F190" s="20"/>
      <c r="G190" s="20"/>
      <c r="H190" s="20"/>
      <c r="I190" s="20"/>
      <c r="J190" s="20"/>
    </row>
    <row r="191" customFormat="false" ht="15" hidden="false" customHeight="false" outlineLevel="0" collapsed="false">
      <c r="A191" s="30"/>
      <c r="B191" s="20"/>
      <c r="C191" s="20"/>
      <c r="D191" s="20"/>
      <c r="E191" s="20"/>
      <c r="F191" s="20"/>
      <c r="G191" s="20"/>
      <c r="H191" s="20"/>
      <c r="I191" s="20"/>
      <c r="J191" s="20"/>
    </row>
    <row r="192" customFormat="false" ht="15" hidden="false" customHeight="false" outlineLevel="0" collapsed="false">
      <c r="A192" s="30"/>
      <c r="B192" s="20"/>
      <c r="C192" s="20"/>
      <c r="D192" s="20"/>
      <c r="E192" s="20"/>
      <c r="F192" s="20"/>
      <c r="G192" s="20"/>
      <c r="H192" s="20"/>
      <c r="I192" s="20"/>
      <c r="J192" s="20"/>
    </row>
    <row r="193" customFormat="false" ht="15" hidden="false" customHeight="false" outlineLevel="0" collapsed="false">
      <c r="A193" s="30"/>
      <c r="B193" s="20"/>
      <c r="C193" s="20"/>
      <c r="D193" s="20"/>
      <c r="E193" s="20"/>
      <c r="F193" s="20"/>
      <c r="G193" s="20"/>
      <c r="H193" s="20"/>
      <c r="I193" s="20"/>
      <c r="J193" s="20"/>
    </row>
    <row r="194" customFormat="false" ht="15" hidden="false" customHeight="false" outlineLevel="0" collapsed="false">
      <c r="A194" s="30"/>
      <c r="B194" s="20"/>
      <c r="C194" s="20"/>
      <c r="D194" s="20"/>
      <c r="E194" s="20"/>
      <c r="F194" s="20"/>
      <c r="G194" s="20"/>
      <c r="H194" s="20"/>
      <c r="I194" s="20"/>
      <c r="J194" s="20"/>
    </row>
    <row r="195" customFormat="false" ht="15" hidden="false" customHeight="false" outlineLevel="0" collapsed="false">
      <c r="A195" s="30"/>
      <c r="B195" s="20"/>
      <c r="C195" s="20"/>
      <c r="D195" s="20"/>
      <c r="E195" s="20"/>
      <c r="F195" s="20"/>
      <c r="G195" s="20"/>
      <c r="H195" s="20"/>
      <c r="I195" s="20"/>
      <c r="J195" s="20"/>
    </row>
    <row r="196" customFormat="false" ht="15" hidden="false" customHeight="false" outlineLevel="0" collapsed="false">
      <c r="A196" s="30"/>
      <c r="B196" s="20"/>
      <c r="C196" s="20"/>
      <c r="D196" s="20"/>
      <c r="E196" s="20"/>
      <c r="F196" s="20"/>
      <c r="G196" s="20"/>
      <c r="H196" s="20"/>
      <c r="I196" s="20"/>
      <c r="J196" s="20"/>
    </row>
    <row r="197" customFormat="false" ht="15" hidden="false" customHeight="false" outlineLevel="0" collapsed="false">
      <c r="A197" s="30"/>
      <c r="B197" s="20"/>
      <c r="C197" s="20"/>
      <c r="D197" s="20"/>
      <c r="E197" s="20"/>
      <c r="F197" s="20"/>
      <c r="G197" s="20"/>
      <c r="H197" s="20"/>
      <c r="I197" s="20"/>
      <c r="J197" s="20"/>
    </row>
    <row r="198" customFormat="false" ht="15" hidden="false" customHeight="false" outlineLevel="0" collapsed="false">
      <c r="A198" s="30"/>
      <c r="B198" s="20"/>
      <c r="C198" s="20"/>
      <c r="D198" s="20"/>
      <c r="E198" s="20"/>
      <c r="F198" s="20"/>
      <c r="G198" s="20"/>
      <c r="H198" s="20"/>
      <c r="I198" s="20"/>
      <c r="J198" s="20"/>
    </row>
    <row r="199" customFormat="false" ht="15" hidden="false" customHeight="false" outlineLevel="0" collapsed="false">
      <c r="A199" s="30"/>
      <c r="B199" s="20"/>
      <c r="C199" s="20"/>
      <c r="D199" s="20"/>
      <c r="E199" s="20"/>
      <c r="F199" s="20"/>
      <c r="G199" s="20"/>
      <c r="H199" s="20"/>
      <c r="I199" s="20"/>
      <c r="J199" s="20"/>
    </row>
    <row r="200" customFormat="false" ht="15" hidden="false" customHeight="false" outlineLevel="0" collapsed="false">
      <c r="A200" s="30"/>
      <c r="B200" s="20"/>
      <c r="C200" s="20"/>
      <c r="D200" s="20"/>
      <c r="E200" s="20"/>
      <c r="F200" s="20"/>
      <c r="G200" s="20"/>
      <c r="H200" s="20"/>
      <c r="I200" s="20"/>
      <c r="J200" s="20"/>
    </row>
    <row r="201" customFormat="false" ht="15" hidden="false" customHeight="false" outlineLevel="0" collapsed="false">
      <c r="A201" s="30"/>
      <c r="B201" s="20"/>
      <c r="C201" s="20"/>
      <c r="D201" s="20"/>
      <c r="E201" s="20"/>
      <c r="F201" s="20"/>
      <c r="G201" s="20"/>
      <c r="H201" s="20"/>
      <c r="I201" s="20"/>
      <c r="J201" s="20"/>
    </row>
    <row r="202" customFormat="false" ht="15" hidden="false" customHeight="false" outlineLevel="0" collapsed="false">
      <c r="A202" s="30"/>
      <c r="B202" s="20"/>
      <c r="C202" s="20"/>
      <c r="D202" s="20"/>
      <c r="E202" s="20"/>
      <c r="F202" s="20"/>
      <c r="G202" s="20"/>
      <c r="H202" s="20"/>
      <c r="I202" s="20"/>
      <c r="J202" s="20"/>
    </row>
    <row r="203" customFormat="false" ht="15" hidden="false" customHeight="false" outlineLevel="0" collapsed="false">
      <c r="A203" s="30"/>
      <c r="B203" s="20"/>
      <c r="C203" s="20"/>
      <c r="D203" s="20"/>
      <c r="E203" s="20"/>
      <c r="F203" s="20"/>
      <c r="G203" s="20"/>
      <c r="H203" s="20"/>
      <c r="I203" s="20"/>
      <c r="J203" s="20"/>
    </row>
    <row r="204" customFormat="false" ht="15" hidden="false" customHeight="false" outlineLevel="0" collapsed="false">
      <c r="A204" s="30"/>
      <c r="B204" s="20"/>
      <c r="C204" s="20"/>
      <c r="D204" s="20"/>
      <c r="E204" s="20"/>
      <c r="F204" s="20"/>
      <c r="G204" s="20"/>
      <c r="H204" s="20"/>
      <c r="I204" s="20"/>
      <c r="J204" s="20"/>
    </row>
    <row r="205" customFormat="false" ht="15" hidden="false" customHeight="false" outlineLevel="0" collapsed="false">
      <c r="A205" s="30"/>
      <c r="B205" s="20"/>
      <c r="C205" s="20"/>
      <c r="D205" s="20"/>
      <c r="E205" s="20"/>
      <c r="F205" s="20"/>
      <c r="G205" s="20"/>
      <c r="H205" s="20"/>
      <c r="I205" s="20"/>
      <c r="J205" s="20"/>
    </row>
    <row r="206" customFormat="false" ht="15" hidden="false" customHeight="false" outlineLevel="0" collapsed="false">
      <c r="A206" s="30"/>
      <c r="B206" s="20"/>
      <c r="C206" s="20"/>
      <c r="D206" s="20"/>
      <c r="E206" s="20"/>
      <c r="F206" s="20"/>
      <c r="G206" s="20"/>
      <c r="H206" s="20"/>
      <c r="I206" s="20"/>
      <c r="J206" s="20"/>
    </row>
    <row r="207" customFormat="false" ht="15" hidden="false" customHeight="false" outlineLevel="0" collapsed="false">
      <c r="A207" s="30"/>
      <c r="B207" s="20"/>
      <c r="C207" s="20"/>
      <c r="D207" s="20"/>
      <c r="E207" s="20"/>
      <c r="F207" s="20"/>
      <c r="G207" s="20"/>
      <c r="H207" s="20"/>
      <c r="I207" s="20"/>
      <c r="J207" s="20"/>
    </row>
    <row r="208" customFormat="false" ht="15" hidden="false" customHeight="false" outlineLevel="0" collapsed="false">
      <c r="A208" s="30"/>
      <c r="B208" s="20"/>
      <c r="C208" s="20"/>
      <c r="D208" s="20"/>
      <c r="E208" s="20"/>
      <c r="F208" s="20"/>
      <c r="G208" s="20"/>
      <c r="H208" s="20"/>
      <c r="I208" s="20"/>
      <c r="J208" s="20"/>
    </row>
    <row r="209" customFormat="false" ht="15" hidden="false" customHeight="false" outlineLevel="0" collapsed="false">
      <c r="A209" s="30"/>
      <c r="B209" s="20"/>
      <c r="C209" s="20"/>
      <c r="D209" s="20"/>
      <c r="E209" s="20"/>
      <c r="F209" s="20"/>
      <c r="G209" s="20"/>
      <c r="H209" s="20"/>
      <c r="I209" s="20"/>
      <c r="J209" s="20"/>
    </row>
    <row r="210" customFormat="false" ht="15" hidden="false" customHeight="false" outlineLevel="0" collapsed="false">
      <c r="A210" s="30"/>
      <c r="B210" s="20"/>
      <c r="C210" s="20"/>
      <c r="D210" s="20"/>
      <c r="E210" s="20"/>
      <c r="F210" s="20"/>
      <c r="G210" s="20"/>
      <c r="H210" s="20"/>
      <c r="I210" s="20"/>
      <c r="J210" s="20"/>
    </row>
    <row r="211" customFormat="false" ht="15" hidden="false" customHeight="false" outlineLevel="0" collapsed="false">
      <c r="A211" s="30"/>
      <c r="B211" s="20"/>
      <c r="C211" s="20"/>
      <c r="D211" s="20"/>
      <c r="E211" s="20"/>
      <c r="F211" s="20"/>
      <c r="G211" s="20"/>
      <c r="H211" s="20"/>
      <c r="I211" s="20"/>
      <c r="J211" s="20"/>
    </row>
    <row r="212" customFormat="false" ht="15" hidden="false" customHeight="false" outlineLevel="0" collapsed="false">
      <c r="A212" s="30"/>
      <c r="B212" s="20"/>
      <c r="C212" s="20"/>
      <c r="D212" s="20"/>
      <c r="E212" s="20"/>
      <c r="F212" s="20"/>
      <c r="G212" s="20"/>
      <c r="H212" s="20"/>
      <c r="I212" s="20"/>
      <c r="J212" s="20"/>
    </row>
    <row r="213" customFormat="false" ht="15" hidden="false" customHeight="false" outlineLevel="0" collapsed="false">
      <c r="A213" s="30"/>
      <c r="B213" s="20"/>
      <c r="C213" s="20"/>
      <c r="D213" s="20"/>
      <c r="E213" s="20"/>
      <c r="F213" s="20"/>
      <c r="G213" s="20"/>
      <c r="H213" s="20"/>
      <c r="I213" s="20"/>
      <c r="J213" s="20"/>
    </row>
    <row r="214" customFormat="false" ht="15" hidden="false" customHeight="false" outlineLevel="0" collapsed="false">
      <c r="A214" s="30"/>
      <c r="B214" s="20"/>
      <c r="C214" s="20"/>
      <c r="D214" s="20"/>
      <c r="E214" s="20"/>
      <c r="F214" s="20"/>
      <c r="G214" s="20"/>
      <c r="H214" s="20"/>
      <c r="I214" s="20"/>
      <c r="J214" s="20"/>
    </row>
    <row r="215" customFormat="false" ht="15" hidden="false" customHeight="false" outlineLevel="0" collapsed="false">
      <c r="A215" s="30"/>
      <c r="B215" s="20"/>
      <c r="C215" s="20"/>
      <c r="D215" s="20"/>
      <c r="E215" s="20"/>
      <c r="F215" s="20"/>
      <c r="G215" s="20"/>
      <c r="H215" s="20"/>
      <c r="I215" s="20"/>
      <c r="J215" s="20"/>
    </row>
    <row r="216" customFormat="false" ht="15" hidden="false" customHeight="false" outlineLevel="0" collapsed="false">
      <c r="A216" s="30"/>
      <c r="B216" s="20"/>
      <c r="C216" s="20"/>
      <c r="D216" s="20"/>
      <c r="E216" s="20"/>
      <c r="F216" s="20"/>
      <c r="G216" s="20"/>
      <c r="H216" s="20"/>
      <c r="I216" s="20"/>
      <c r="J216" s="20"/>
    </row>
    <row r="217" customFormat="false" ht="15" hidden="false" customHeight="false" outlineLevel="0" collapsed="false">
      <c r="A217" s="30"/>
      <c r="B217" s="20"/>
      <c r="C217" s="20"/>
      <c r="D217" s="20"/>
      <c r="E217" s="20"/>
      <c r="F217" s="20"/>
      <c r="G217" s="20"/>
      <c r="H217" s="20"/>
      <c r="I217" s="20"/>
      <c r="J217" s="20"/>
    </row>
    <row r="218" customFormat="false" ht="15" hidden="false" customHeight="false" outlineLevel="0" collapsed="false">
      <c r="A218" s="30"/>
      <c r="B218" s="20"/>
      <c r="C218" s="20"/>
      <c r="D218" s="20"/>
      <c r="E218" s="20"/>
      <c r="F218" s="20"/>
      <c r="G218" s="20"/>
      <c r="H218" s="20"/>
      <c r="I218" s="20"/>
      <c r="J218" s="20"/>
    </row>
    <row r="219" customFormat="false" ht="15" hidden="false" customHeight="false" outlineLevel="0" collapsed="false">
      <c r="A219" s="30"/>
      <c r="B219" s="20"/>
      <c r="C219" s="20"/>
      <c r="D219" s="20"/>
      <c r="E219" s="20"/>
      <c r="F219" s="20"/>
      <c r="G219" s="20"/>
      <c r="H219" s="20"/>
      <c r="I219" s="20"/>
      <c r="J219" s="20"/>
    </row>
    <row r="220" customFormat="false" ht="15" hidden="false" customHeight="false" outlineLevel="0" collapsed="false">
      <c r="A220" s="30"/>
      <c r="B220" s="20"/>
      <c r="C220" s="20"/>
      <c r="D220" s="20"/>
      <c r="E220" s="20"/>
      <c r="F220" s="20"/>
      <c r="G220" s="20"/>
      <c r="H220" s="20"/>
      <c r="I220" s="20"/>
      <c r="J220" s="20"/>
    </row>
    <row r="221" customFormat="false" ht="15" hidden="false" customHeight="false" outlineLevel="0" collapsed="false">
      <c r="A221" s="30"/>
      <c r="B221" s="20"/>
      <c r="C221" s="20"/>
      <c r="D221" s="20"/>
      <c r="E221" s="20"/>
      <c r="F221" s="20"/>
      <c r="G221" s="20"/>
      <c r="H221" s="20"/>
      <c r="I221" s="20"/>
      <c r="J221" s="20"/>
    </row>
    <row r="222" customFormat="false" ht="15" hidden="false" customHeight="false" outlineLevel="0" collapsed="false">
      <c r="A222" s="30"/>
      <c r="B222" s="20"/>
      <c r="C222" s="20"/>
      <c r="D222" s="20"/>
      <c r="E222" s="20"/>
      <c r="F222" s="20"/>
      <c r="G222" s="20"/>
      <c r="H222" s="20"/>
      <c r="I222" s="20"/>
      <c r="J222" s="20"/>
    </row>
    <row r="223" customFormat="false" ht="15" hidden="false" customHeight="false" outlineLevel="0" collapsed="false">
      <c r="A223" s="30"/>
      <c r="B223" s="20"/>
      <c r="C223" s="20"/>
      <c r="D223" s="20"/>
      <c r="E223" s="20"/>
      <c r="F223" s="20"/>
      <c r="G223" s="20"/>
      <c r="H223" s="20"/>
      <c r="I223" s="20"/>
      <c r="J223" s="20"/>
    </row>
    <row r="224" customFormat="false" ht="15" hidden="false" customHeight="false" outlineLevel="0" collapsed="false">
      <c r="A224" s="30"/>
      <c r="B224" s="20"/>
      <c r="C224" s="20"/>
      <c r="D224" s="20"/>
      <c r="E224" s="20"/>
      <c r="F224" s="20"/>
      <c r="G224" s="20"/>
      <c r="H224" s="20"/>
      <c r="I224" s="20"/>
      <c r="J224" s="20"/>
    </row>
    <row r="225" customFormat="false" ht="15" hidden="false" customHeight="false" outlineLevel="0" collapsed="false">
      <c r="A225" s="30"/>
      <c r="B225" s="20"/>
      <c r="C225" s="20"/>
      <c r="D225" s="20"/>
      <c r="E225" s="20"/>
      <c r="F225" s="20"/>
      <c r="G225" s="20"/>
      <c r="H225" s="20"/>
      <c r="I225" s="20"/>
      <c r="J225" s="20"/>
    </row>
    <row r="226" customFormat="false" ht="15" hidden="false" customHeight="false" outlineLevel="0" collapsed="false">
      <c r="A226" s="30"/>
      <c r="B226" s="20"/>
      <c r="C226" s="20"/>
      <c r="D226" s="20"/>
      <c r="E226" s="20"/>
      <c r="F226" s="20"/>
      <c r="G226" s="20"/>
      <c r="H226" s="20"/>
      <c r="I226" s="20"/>
      <c r="J226" s="20"/>
    </row>
    <row r="227" customFormat="false" ht="15" hidden="false" customHeight="false" outlineLevel="0" collapsed="false">
      <c r="A227" s="30"/>
      <c r="B227" s="20"/>
      <c r="C227" s="20"/>
      <c r="D227" s="20"/>
      <c r="E227" s="20"/>
      <c r="F227" s="20"/>
      <c r="G227" s="20"/>
      <c r="H227" s="20"/>
      <c r="I227" s="20"/>
      <c r="J227" s="20"/>
    </row>
    <row r="228" customFormat="false" ht="15" hidden="false" customHeight="false" outlineLevel="0" collapsed="false">
      <c r="A228" s="30"/>
      <c r="B228" s="20"/>
      <c r="C228" s="20"/>
      <c r="D228" s="20"/>
      <c r="E228" s="20"/>
      <c r="F228" s="20"/>
      <c r="G228" s="20"/>
      <c r="H228" s="20"/>
      <c r="I228" s="20"/>
      <c r="J228" s="20"/>
    </row>
    <row r="229" customFormat="false" ht="15" hidden="false" customHeight="false" outlineLevel="0" collapsed="false">
      <c r="A229" s="30"/>
      <c r="B229" s="20"/>
      <c r="C229" s="20"/>
      <c r="D229" s="20"/>
      <c r="E229" s="20"/>
      <c r="F229" s="20"/>
      <c r="G229" s="20"/>
      <c r="H229" s="20"/>
      <c r="I229" s="20"/>
      <c r="J229" s="20"/>
    </row>
    <row r="230" customFormat="false" ht="15" hidden="false" customHeight="false" outlineLevel="0" collapsed="false">
      <c r="A230" s="30"/>
      <c r="B230" s="20"/>
      <c r="C230" s="20"/>
      <c r="D230" s="20"/>
      <c r="E230" s="20"/>
      <c r="F230" s="20"/>
      <c r="G230" s="20"/>
      <c r="H230" s="20"/>
      <c r="I230" s="20"/>
      <c r="J230" s="20"/>
    </row>
    <row r="231" customFormat="false" ht="15" hidden="false" customHeight="false" outlineLevel="0" collapsed="false">
      <c r="A231" s="30"/>
      <c r="B231" s="20"/>
      <c r="C231" s="20"/>
      <c r="D231" s="20"/>
      <c r="E231" s="20"/>
      <c r="F231" s="20"/>
      <c r="G231" s="20"/>
      <c r="H231" s="20"/>
      <c r="I231" s="20"/>
      <c r="J231" s="20"/>
    </row>
    <row r="232" customFormat="false" ht="15" hidden="false" customHeight="false" outlineLevel="0" collapsed="false">
      <c r="A232" s="30"/>
      <c r="B232" s="20"/>
      <c r="C232" s="20"/>
      <c r="D232" s="20"/>
      <c r="E232" s="20"/>
      <c r="F232" s="20"/>
      <c r="G232" s="20"/>
      <c r="H232" s="20"/>
      <c r="I232" s="20"/>
      <c r="J232" s="20"/>
    </row>
    <row r="233" customFormat="false" ht="15" hidden="false" customHeight="false" outlineLevel="0" collapsed="false">
      <c r="A233" s="30"/>
      <c r="B233" s="20"/>
      <c r="C233" s="20"/>
      <c r="D233" s="20"/>
      <c r="E233" s="20"/>
      <c r="F233" s="20"/>
      <c r="G233" s="20"/>
      <c r="H233" s="20"/>
      <c r="I233" s="20"/>
      <c r="J233" s="20"/>
    </row>
    <row r="234" customFormat="false" ht="15" hidden="false" customHeight="false" outlineLevel="0" collapsed="false">
      <c r="A234" s="30"/>
      <c r="B234" s="20"/>
      <c r="C234" s="20"/>
      <c r="D234" s="20"/>
      <c r="E234" s="20"/>
      <c r="F234" s="20"/>
      <c r="G234" s="20"/>
      <c r="H234" s="20"/>
      <c r="I234" s="20"/>
      <c r="J234" s="20"/>
    </row>
    <row r="235" customFormat="false" ht="15" hidden="false" customHeight="false" outlineLevel="0" collapsed="false">
      <c r="A235" s="30"/>
      <c r="B235" s="20"/>
      <c r="C235" s="20"/>
      <c r="D235" s="20"/>
      <c r="E235" s="20"/>
      <c r="F235" s="20"/>
      <c r="G235" s="20"/>
      <c r="H235" s="20"/>
      <c r="I235" s="20"/>
      <c r="J235" s="20"/>
    </row>
    <row r="236" customFormat="false" ht="15" hidden="false" customHeight="false" outlineLevel="0" collapsed="false">
      <c r="A236" s="30"/>
      <c r="B236" s="20"/>
      <c r="C236" s="20"/>
      <c r="D236" s="20"/>
      <c r="E236" s="20"/>
      <c r="F236" s="20"/>
      <c r="G236" s="20"/>
      <c r="H236" s="20"/>
      <c r="I236" s="20"/>
      <c r="J236" s="20"/>
    </row>
    <row r="237" customFormat="false" ht="15" hidden="false" customHeight="false" outlineLevel="0" collapsed="false">
      <c r="A237" s="30"/>
      <c r="B237" s="20"/>
      <c r="C237" s="20"/>
      <c r="D237" s="20"/>
      <c r="E237" s="20"/>
      <c r="F237" s="20"/>
      <c r="G237" s="20"/>
      <c r="H237" s="20"/>
      <c r="I237" s="20"/>
      <c r="J237" s="20"/>
    </row>
    <row r="238" customFormat="false" ht="15" hidden="false" customHeight="false" outlineLevel="0" collapsed="false">
      <c r="A238" s="30"/>
      <c r="B238" s="20"/>
      <c r="C238" s="20"/>
      <c r="D238" s="20"/>
      <c r="E238" s="20"/>
      <c r="F238" s="20"/>
      <c r="G238" s="20"/>
      <c r="H238" s="20"/>
      <c r="I238" s="20"/>
      <c r="J238" s="20"/>
    </row>
    <row r="239" customFormat="false" ht="15" hidden="false" customHeight="false" outlineLevel="0" collapsed="false">
      <c r="A239" s="30"/>
      <c r="B239" s="20"/>
      <c r="C239" s="20"/>
      <c r="D239" s="20"/>
      <c r="E239" s="20"/>
      <c r="F239" s="20"/>
      <c r="G239" s="20"/>
      <c r="H239" s="20"/>
      <c r="I239" s="20"/>
      <c r="J239" s="20"/>
    </row>
    <row r="240" customFormat="false" ht="15" hidden="false" customHeight="false" outlineLevel="0" collapsed="false">
      <c r="A240" s="30"/>
      <c r="B240" s="20"/>
      <c r="C240" s="20"/>
      <c r="D240" s="20"/>
      <c r="E240" s="20"/>
      <c r="F240" s="20"/>
      <c r="G240" s="20"/>
      <c r="H240" s="20"/>
      <c r="I240" s="20"/>
      <c r="J240" s="20"/>
    </row>
    <row r="241" customFormat="false" ht="15" hidden="false" customHeight="false" outlineLevel="0" collapsed="false">
      <c r="A241" s="30"/>
      <c r="B241" s="20"/>
      <c r="C241" s="20"/>
      <c r="D241" s="20"/>
      <c r="E241" s="20"/>
      <c r="F241" s="20"/>
      <c r="G241" s="20"/>
      <c r="H241" s="20"/>
      <c r="I241" s="20"/>
      <c r="J241" s="20"/>
    </row>
    <row r="242" customFormat="false" ht="15" hidden="false" customHeight="false" outlineLevel="0" collapsed="false">
      <c r="A242" s="30"/>
      <c r="B242" s="20"/>
      <c r="C242" s="20"/>
      <c r="D242" s="20"/>
      <c r="E242" s="20"/>
      <c r="F242" s="20"/>
      <c r="G242" s="20"/>
      <c r="H242" s="20"/>
      <c r="I242" s="20"/>
      <c r="J242" s="20"/>
    </row>
    <row r="243" customFormat="false" ht="15" hidden="false" customHeight="false" outlineLevel="0" collapsed="false">
      <c r="A243" s="30"/>
      <c r="B243" s="20"/>
      <c r="C243" s="20"/>
      <c r="D243" s="20"/>
      <c r="E243" s="20"/>
      <c r="F243" s="20"/>
      <c r="G243" s="20"/>
      <c r="H243" s="20"/>
      <c r="I243" s="20"/>
      <c r="J243" s="20"/>
    </row>
    <row r="244" customFormat="false" ht="15" hidden="false" customHeight="false" outlineLevel="0" collapsed="false">
      <c r="A244" s="30"/>
      <c r="B244" s="20"/>
      <c r="C244" s="20"/>
      <c r="D244" s="20"/>
      <c r="E244" s="20"/>
      <c r="F244" s="20"/>
      <c r="G244" s="20"/>
      <c r="H244" s="20"/>
      <c r="I244" s="20"/>
      <c r="J244" s="20"/>
    </row>
    <row r="245" customFormat="false" ht="15" hidden="false" customHeight="false" outlineLevel="0" collapsed="false">
      <c r="A245" s="30"/>
      <c r="B245" s="20"/>
      <c r="C245" s="20"/>
      <c r="D245" s="20"/>
      <c r="E245" s="20"/>
      <c r="F245" s="20"/>
      <c r="G245" s="20"/>
      <c r="H245" s="20"/>
      <c r="I245" s="20"/>
      <c r="J245" s="20"/>
    </row>
    <row r="246" customFormat="false" ht="15" hidden="false" customHeight="false" outlineLevel="0" collapsed="false">
      <c r="A246" s="30"/>
      <c r="B246" s="20"/>
      <c r="C246" s="20"/>
      <c r="D246" s="20"/>
      <c r="E246" s="20"/>
      <c r="F246" s="20"/>
      <c r="G246" s="20"/>
      <c r="H246" s="20"/>
      <c r="I246" s="20"/>
      <c r="J246" s="20"/>
    </row>
    <row r="247" customFormat="false" ht="15" hidden="false" customHeight="false" outlineLevel="0" collapsed="false">
      <c r="A247" s="30"/>
      <c r="B247" s="20"/>
      <c r="C247" s="20"/>
      <c r="D247" s="20"/>
      <c r="E247" s="20"/>
      <c r="F247" s="20"/>
      <c r="G247" s="20"/>
      <c r="H247" s="20"/>
      <c r="I247" s="20"/>
      <c r="J247" s="20"/>
    </row>
    <row r="248" customFormat="false" ht="15" hidden="false" customHeight="false" outlineLevel="0" collapsed="false">
      <c r="A248" s="30"/>
      <c r="B248" s="20"/>
      <c r="C248" s="20"/>
      <c r="D248" s="20"/>
      <c r="E248" s="20"/>
      <c r="F248" s="20"/>
      <c r="G248" s="20"/>
      <c r="H248" s="20"/>
      <c r="I248" s="20"/>
      <c r="J248" s="20"/>
    </row>
    <row r="249" customFormat="false" ht="15" hidden="false" customHeight="false" outlineLevel="0" collapsed="false">
      <c r="A249" s="30"/>
      <c r="B249" s="20"/>
      <c r="C249" s="20"/>
      <c r="D249" s="20"/>
      <c r="E249" s="20"/>
      <c r="F249" s="20"/>
      <c r="G249" s="20"/>
      <c r="H249" s="20"/>
      <c r="I249" s="20"/>
      <c r="J249" s="20"/>
    </row>
    <row r="250" customFormat="false" ht="15" hidden="false" customHeight="false" outlineLevel="0" collapsed="false">
      <c r="A250" s="30"/>
      <c r="B250" s="20"/>
      <c r="C250" s="20"/>
      <c r="D250" s="20"/>
      <c r="E250" s="20"/>
      <c r="F250" s="20"/>
      <c r="G250" s="20"/>
      <c r="H250" s="20"/>
      <c r="I250" s="20"/>
      <c r="J250" s="20"/>
    </row>
    <row r="251" customFormat="false" ht="15" hidden="false" customHeight="false" outlineLevel="0" collapsed="false">
      <c r="A251" s="30"/>
      <c r="B251" s="20"/>
      <c r="C251" s="20"/>
      <c r="D251" s="20"/>
      <c r="E251" s="20"/>
      <c r="F251" s="20"/>
      <c r="G251" s="20"/>
      <c r="H251" s="20"/>
      <c r="I251" s="20"/>
      <c r="J251" s="20"/>
    </row>
    <row r="252" customFormat="false" ht="15" hidden="false" customHeight="false" outlineLevel="0" collapsed="false">
      <c r="A252" s="30"/>
      <c r="B252" s="20"/>
      <c r="C252" s="20"/>
      <c r="D252" s="20"/>
      <c r="E252" s="20"/>
      <c r="F252" s="20"/>
      <c r="G252" s="20"/>
      <c r="H252" s="20"/>
      <c r="I252" s="20"/>
      <c r="J252" s="20"/>
    </row>
    <row r="253" customFormat="false" ht="15" hidden="false" customHeight="false" outlineLevel="0" collapsed="false">
      <c r="A253" s="30"/>
      <c r="B253" s="20"/>
      <c r="C253" s="20"/>
      <c r="D253" s="20"/>
      <c r="E253" s="20"/>
      <c r="F253" s="20"/>
      <c r="G253" s="20"/>
      <c r="H253" s="20"/>
      <c r="I253" s="20"/>
      <c r="J253" s="20"/>
    </row>
    <row r="254" customFormat="false" ht="15" hidden="false" customHeight="false" outlineLevel="0" collapsed="false">
      <c r="A254" s="30"/>
      <c r="B254" s="20"/>
      <c r="C254" s="20"/>
      <c r="D254" s="20"/>
      <c r="E254" s="20"/>
      <c r="F254" s="20"/>
      <c r="G254" s="20"/>
      <c r="H254" s="20"/>
      <c r="I254" s="20"/>
      <c r="J254" s="20"/>
    </row>
    <row r="255" customFormat="false" ht="15" hidden="false" customHeight="false" outlineLevel="0" collapsed="false">
      <c r="A255" s="30"/>
      <c r="B255" s="20"/>
      <c r="C255" s="20"/>
      <c r="D255" s="20"/>
      <c r="E255" s="20"/>
      <c r="F255" s="20"/>
      <c r="G255" s="20"/>
      <c r="H255" s="20"/>
      <c r="I255" s="20"/>
      <c r="J255" s="20"/>
    </row>
    <row r="256" customFormat="false" ht="15" hidden="false" customHeight="false" outlineLevel="0" collapsed="false">
      <c r="A256" s="30"/>
      <c r="B256" s="20"/>
      <c r="C256" s="20"/>
      <c r="D256" s="20"/>
      <c r="E256" s="20"/>
      <c r="F256" s="20"/>
      <c r="G256" s="20"/>
      <c r="H256" s="20"/>
      <c r="I256" s="20"/>
      <c r="J256" s="20"/>
    </row>
    <row r="257" customFormat="false" ht="15" hidden="false" customHeight="false" outlineLevel="0" collapsed="false">
      <c r="A257" s="30"/>
      <c r="B257" s="20"/>
      <c r="C257" s="20"/>
      <c r="D257" s="20"/>
      <c r="E257" s="20"/>
      <c r="F257" s="20"/>
      <c r="G257" s="20"/>
      <c r="H257" s="20"/>
      <c r="I257" s="20"/>
      <c r="J257" s="20"/>
    </row>
    <row r="258" customFormat="false" ht="15" hidden="false" customHeight="false" outlineLevel="0" collapsed="false">
      <c r="A258" s="30"/>
      <c r="B258" s="20"/>
      <c r="C258" s="20"/>
      <c r="D258" s="20"/>
      <c r="E258" s="20"/>
      <c r="F258" s="20"/>
      <c r="G258" s="20"/>
      <c r="H258" s="20"/>
      <c r="I258" s="20"/>
      <c r="J258" s="20"/>
    </row>
    <row r="259" customFormat="false" ht="15" hidden="false" customHeight="false" outlineLevel="0" collapsed="false">
      <c r="A259" s="30"/>
      <c r="B259" s="20"/>
      <c r="C259" s="20"/>
      <c r="D259" s="20"/>
      <c r="E259" s="20"/>
      <c r="F259" s="20"/>
      <c r="G259" s="20"/>
      <c r="H259" s="20"/>
      <c r="I259" s="20"/>
      <c r="J259" s="20"/>
    </row>
    <row r="260" customFormat="false" ht="15" hidden="false" customHeight="false" outlineLevel="0" collapsed="false">
      <c r="A260" s="30"/>
      <c r="B260" s="20"/>
      <c r="C260" s="20"/>
      <c r="D260" s="20"/>
      <c r="E260" s="20"/>
      <c r="F260" s="20"/>
      <c r="G260" s="20"/>
      <c r="H260" s="20"/>
      <c r="I260" s="20"/>
      <c r="J260" s="20"/>
    </row>
    <row r="261" customFormat="false" ht="15" hidden="false" customHeight="false" outlineLevel="0" collapsed="false">
      <c r="A261" s="30"/>
      <c r="B261" s="20"/>
      <c r="C261" s="20"/>
      <c r="D261" s="20"/>
      <c r="E261" s="20"/>
      <c r="F261" s="20"/>
      <c r="G261" s="20"/>
      <c r="H261" s="20"/>
      <c r="I261" s="20"/>
      <c r="J261" s="20"/>
    </row>
    <row r="262" customFormat="false" ht="15" hidden="false" customHeight="false" outlineLevel="0" collapsed="false">
      <c r="A262" s="30"/>
      <c r="B262" s="20"/>
      <c r="C262" s="20"/>
      <c r="D262" s="20"/>
      <c r="E262" s="20"/>
      <c r="F262" s="20"/>
      <c r="G262" s="20"/>
      <c r="H262" s="20"/>
      <c r="I262" s="20"/>
      <c r="J262" s="20"/>
    </row>
    <row r="263" customFormat="false" ht="15" hidden="false" customHeight="false" outlineLevel="0" collapsed="false">
      <c r="A263" s="30"/>
      <c r="B263" s="20"/>
      <c r="C263" s="20"/>
      <c r="D263" s="20"/>
      <c r="E263" s="20"/>
      <c r="F263" s="20"/>
      <c r="G263" s="20"/>
      <c r="H263" s="20"/>
      <c r="I263" s="20"/>
      <c r="J263" s="20"/>
    </row>
    <row r="264" customFormat="false" ht="15" hidden="false" customHeight="false" outlineLevel="0" collapsed="false">
      <c r="A264" s="30"/>
      <c r="B264" s="20"/>
      <c r="C264" s="20"/>
      <c r="D264" s="20"/>
      <c r="E264" s="20"/>
      <c r="F264" s="20"/>
      <c r="G264" s="20"/>
      <c r="H264" s="20"/>
      <c r="I264" s="20"/>
      <c r="J264" s="20"/>
    </row>
    <row r="265" customFormat="false" ht="15" hidden="false" customHeight="false" outlineLevel="0" collapsed="false">
      <c r="A265" s="30"/>
      <c r="B265" s="20"/>
      <c r="C265" s="20"/>
      <c r="D265" s="20"/>
      <c r="E265" s="20"/>
      <c r="F265" s="20"/>
      <c r="G265" s="20"/>
      <c r="H265" s="20"/>
      <c r="I265" s="20"/>
      <c r="J265" s="20"/>
    </row>
    <row r="266" customFormat="false" ht="15" hidden="false" customHeight="false" outlineLevel="0" collapsed="false">
      <c r="A266" s="30"/>
      <c r="B266" s="20"/>
      <c r="C266" s="20"/>
      <c r="D266" s="20"/>
      <c r="E266" s="20"/>
      <c r="F266" s="20"/>
      <c r="G266" s="20"/>
      <c r="H266" s="20"/>
      <c r="I266" s="20"/>
      <c r="J266" s="20"/>
    </row>
    <row r="267" customFormat="false" ht="15" hidden="false" customHeight="false" outlineLevel="0" collapsed="false">
      <c r="A267" s="30"/>
      <c r="B267" s="20"/>
      <c r="C267" s="20"/>
      <c r="D267" s="20"/>
      <c r="E267" s="20"/>
      <c r="F267" s="20"/>
      <c r="G267" s="20"/>
      <c r="H267" s="20"/>
      <c r="I267" s="20"/>
      <c r="J267" s="20"/>
    </row>
    <row r="268" customFormat="false" ht="15" hidden="false" customHeight="false" outlineLevel="0" collapsed="false">
      <c r="A268" s="30"/>
      <c r="B268" s="20"/>
      <c r="C268" s="20"/>
      <c r="D268" s="20"/>
      <c r="E268" s="20"/>
      <c r="F268" s="20"/>
      <c r="G268" s="20"/>
      <c r="H268" s="20"/>
      <c r="I268" s="20"/>
      <c r="J268" s="20"/>
    </row>
    <row r="269" customFormat="false" ht="15" hidden="false" customHeight="false" outlineLevel="0" collapsed="false">
      <c r="A269" s="30"/>
      <c r="B269" s="20"/>
      <c r="C269" s="20"/>
      <c r="D269" s="20"/>
      <c r="E269" s="20"/>
      <c r="F269" s="20"/>
      <c r="G269" s="20"/>
      <c r="H269" s="20"/>
      <c r="I269" s="20"/>
      <c r="J269" s="20"/>
    </row>
    <row r="270" customFormat="false" ht="15" hidden="false" customHeight="false" outlineLevel="0" collapsed="false">
      <c r="A270" s="30"/>
      <c r="B270" s="20"/>
      <c r="C270" s="20"/>
      <c r="D270" s="20"/>
      <c r="E270" s="20"/>
      <c r="F270" s="20"/>
      <c r="G270" s="20"/>
      <c r="H270" s="20"/>
      <c r="I270" s="20"/>
      <c r="J270" s="20"/>
    </row>
    <row r="271" customFormat="false" ht="15" hidden="false" customHeight="false" outlineLevel="0" collapsed="false">
      <c r="A271" s="30"/>
      <c r="B271" s="20"/>
      <c r="C271" s="20"/>
      <c r="D271" s="20"/>
      <c r="E271" s="20"/>
      <c r="F271" s="20"/>
      <c r="G271" s="20"/>
      <c r="H271" s="20"/>
      <c r="I271" s="20"/>
      <c r="J271" s="20"/>
    </row>
    <row r="272" customFormat="false" ht="15" hidden="false" customHeight="false" outlineLevel="0" collapsed="false">
      <c r="A272" s="30"/>
      <c r="B272" s="20"/>
      <c r="C272" s="20"/>
      <c r="D272" s="20"/>
      <c r="E272" s="20"/>
      <c r="F272" s="20"/>
      <c r="G272" s="20"/>
      <c r="H272" s="20"/>
      <c r="I272" s="20"/>
      <c r="J272" s="20"/>
    </row>
    <row r="273" customFormat="false" ht="15" hidden="false" customHeight="false" outlineLevel="0" collapsed="false">
      <c r="A273" s="30"/>
      <c r="B273" s="20"/>
      <c r="C273" s="20"/>
      <c r="D273" s="20"/>
      <c r="E273" s="20"/>
      <c r="F273" s="20"/>
      <c r="G273" s="20"/>
      <c r="H273" s="20"/>
      <c r="I273" s="20"/>
      <c r="J273" s="20"/>
    </row>
    <row r="274" customFormat="false" ht="15" hidden="false" customHeight="false" outlineLevel="0" collapsed="false">
      <c r="A274" s="30"/>
      <c r="B274" s="20"/>
      <c r="C274" s="20"/>
      <c r="D274" s="20"/>
      <c r="E274" s="20"/>
      <c r="F274" s="20"/>
      <c r="G274" s="20"/>
      <c r="H274" s="20"/>
      <c r="I274" s="20"/>
      <c r="J274" s="20"/>
    </row>
    <row r="275" customFormat="false" ht="15" hidden="false" customHeight="false" outlineLevel="0" collapsed="false">
      <c r="A275" s="30"/>
      <c r="B275" s="20"/>
      <c r="C275" s="20"/>
      <c r="D275" s="20"/>
      <c r="E275" s="20"/>
      <c r="F275" s="20"/>
      <c r="G275" s="20"/>
      <c r="H275" s="20"/>
      <c r="I275" s="20"/>
      <c r="J275" s="20"/>
    </row>
    <row r="276" customFormat="false" ht="15" hidden="false" customHeight="false" outlineLevel="0" collapsed="false">
      <c r="A276" s="30"/>
      <c r="B276" s="20"/>
      <c r="C276" s="20"/>
      <c r="D276" s="20"/>
      <c r="E276" s="20"/>
      <c r="F276" s="20"/>
      <c r="G276" s="20"/>
      <c r="H276" s="20"/>
      <c r="I276" s="20"/>
      <c r="J276" s="20"/>
    </row>
    <row r="277" customFormat="false" ht="15" hidden="false" customHeight="false" outlineLevel="0" collapsed="false">
      <c r="A277" s="30"/>
      <c r="B277" s="20"/>
      <c r="C277" s="20"/>
      <c r="D277" s="20"/>
      <c r="E277" s="20"/>
      <c r="F277" s="20"/>
      <c r="G277" s="20"/>
      <c r="H277" s="20"/>
      <c r="I277" s="20"/>
      <c r="J277" s="20"/>
    </row>
    <row r="278" customFormat="false" ht="15" hidden="false" customHeight="false" outlineLevel="0" collapsed="false">
      <c r="A278" s="30"/>
      <c r="B278" s="20"/>
      <c r="C278" s="20"/>
      <c r="D278" s="20"/>
      <c r="E278" s="20"/>
      <c r="F278" s="20"/>
      <c r="G278" s="20"/>
      <c r="H278" s="20"/>
      <c r="I278" s="20"/>
      <c r="J278" s="20"/>
    </row>
    <row r="279" customFormat="false" ht="15" hidden="false" customHeight="false" outlineLevel="0" collapsed="false">
      <c r="A279" s="30"/>
      <c r="B279" s="20"/>
      <c r="C279" s="20"/>
      <c r="D279" s="20"/>
      <c r="E279" s="20"/>
      <c r="F279" s="20"/>
      <c r="G279" s="20"/>
      <c r="H279" s="20"/>
      <c r="I279" s="20"/>
      <c r="J279" s="20"/>
    </row>
    <row r="280" customFormat="false" ht="15" hidden="false" customHeight="false" outlineLevel="0" collapsed="false">
      <c r="A280" s="30"/>
      <c r="B280" s="20"/>
      <c r="C280" s="20"/>
      <c r="D280" s="20"/>
      <c r="E280" s="20"/>
      <c r="F280" s="20"/>
      <c r="G280" s="20"/>
      <c r="H280" s="20"/>
      <c r="I280" s="20"/>
      <c r="J280" s="20"/>
    </row>
    <row r="281" customFormat="false" ht="15" hidden="false" customHeight="false" outlineLevel="0" collapsed="false">
      <c r="A281" s="30"/>
      <c r="B281" s="20"/>
      <c r="C281" s="20"/>
      <c r="D281" s="20"/>
      <c r="E281" s="20"/>
      <c r="F281" s="20"/>
      <c r="G281" s="20"/>
      <c r="H281" s="20"/>
      <c r="I281" s="20"/>
      <c r="J281" s="20"/>
    </row>
    <row r="282" customFormat="false" ht="15" hidden="false" customHeight="false" outlineLevel="0" collapsed="false">
      <c r="A282" s="30"/>
      <c r="B282" s="20"/>
      <c r="C282" s="20"/>
      <c r="D282" s="20"/>
      <c r="E282" s="20"/>
      <c r="F282" s="20"/>
      <c r="G282" s="20"/>
      <c r="H282" s="20"/>
      <c r="I282" s="20"/>
      <c r="J282" s="20"/>
    </row>
    <row r="283" customFormat="false" ht="15" hidden="false" customHeight="false" outlineLevel="0" collapsed="false">
      <c r="A283" s="30"/>
      <c r="B283" s="20"/>
      <c r="C283" s="20"/>
      <c r="D283" s="20"/>
      <c r="E283" s="20"/>
      <c r="F283" s="20"/>
      <c r="G283" s="20"/>
      <c r="H283" s="20"/>
      <c r="I283" s="20"/>
      <c r="J283" s="20"/>
    </row>
    <row r="284" customFormat="false" ht="15" hidden="false" customHeight="false" outlineLevel="0" collapsed="false">
      <c r="A284" s="30"/>
      <c r="B284" s="20"/>
      <c r="C284" s="20"/>
      <c r="D284" s="20"/>
      <c r="E284" s="20"/>
      <c r="F284" s="20"/>
      <c r="G284" s="20"/>
      <c r="H284" s="20"/>
      <c r="I284" s="20"/>
      <c r="J284" s="20"/>
    </row>
    <row r="285" customFormat="false" ht="15" hidden="false" customHeight="false" outlineLevel="0" collapsed="false">
      <c r="A285" s="30"/>
      <c r="B285" s="20"/>
      <c r="C285" s="20"/>
      <c r="D285" s="20"/>
      <c r="E285" s="20"/>
      <c r="F285" s="20"/>
      <c r="G285" s="20"/>
      <c r="H285" s="20"/>
      <c r="I285" s="20"/>
      <c r="J285" s="20"/>
    </row>
    <row r="286" customFormat="false" ht="15" hidden="false" customHeight="false" outlineLevel="0" collapsed="false">
      <c r="A286" s="30"/>
      <c r="B286" s="20"/>
      <c r="C286" s="20"/>
      <c r="D286" s="20"/>
      <c r="E286" s="20"/>
      <c r="F286" s="20"/>
      <c r="G286" s="20"/>
      <c r="H286" s="20"/>
      <c r="I286" s="20"/>
      <c r="J286" s="20"/>
    </row>
    <row r="287" customFormat="false" ht="15" hidden="false" customHeight="false" outlineLevel="0" collapsed="false">
      <c r="A287" s="30"/>
      <c r="B287" s="20"/>
      <c r="C287" s="20"/>
      <c r="D287" s="20"/>
      <c r="E287" s="20"/>
      <c r="F287" s="20"/>
      <c r="G287" s="20"/>
      <c r="H287" s="20"/>
      <c r="I287" s="20"/>
      <c r="J287" s="20"/>
    </row>
    <row r="288" customFormat="false" ht="15" hidden="false" customHeight="false" outlineLevel="0" collapsed="false">
      <c r="A288" s="30"/>
      <c r="B288" s="20"/>
      <c r="C288" s="20"/>
      <c r="D288" s="20"/>
      <c r="E288" s="20"/>
      <c r="F288" s="20"/>
      <c r="G288" s="20"/>
      <c r="H288" s="20"/>
      <c r="I288" s="20"/>
      <c r="J288" s="20"/>
    </row>
    <row r="289" customFormat="false" ht="15" hidden="false" customHeight="false" outlineLevel="0" collapsed="false">
      <c r="A289" s="30"/>
      <c r="B289" s="20"/>
      <c r="C289" s="20"/>
      <c r="D289" s="20"/>
      <c r="E289" s="20"/>
      <c r="F289" s="20"/>
      <c r="G289" s="20"/>
      <c r="H289" s="20"/>
      <c r="I289" s="20"/>
      <c r="J289" s="20"/>
    </row>
    <row r="290" customFormat="false" ht="15" hidden="false" customHeight="false" outlineLevel="0" collapsed="false">
      <c r="A290" s="30"/>
      <c r="B290" s="20"/>
      <c r="C290" s="20"/>
      <c r="D290" s="20"/>
      <c r="E290" s="20"/>
      <c r="F290" s="20"/>
      <c r="G290" s="20"/>
      <c r="H290" s="20"/>
      <c r="I290" s="20"/>
      <c r="J290" s="20"/>
    </row>
    <row r="291" customFormat="false" ht="15" hidden="false" customHeight="false" outlineLevel="0" collapsed="false">
      <c r="A291" s="30"/>
      <c r="B291" s="20"/>
      <c r="C291" s="20"/>
      <c r="D291" s="20"/>
      <c r="E291" s="20"/>
      <c r="F291" s="20"/>
      <c r="G291" s="20"/>
      <c r="H291" s="20"/>
      <c r="I291" s="20"/>
      <c r="J291" s="20"/>
    </row>
    <row r="292" customFormat="false" ht="15" hidden="false" customHeight="false" outlineLevel="0" collapsed="false">
      <c r="A292" s="30"/>
      <c r="B292" s="20"/>
      <c r="C292" s="20"/>
      <c r="D292" s="20"/>
      <c r="E292" s="20"/>
      <c r="F292" s="20"/>
      <c r="G292" s="20"/>
      <c r="H292" s="20"/>
      <c r="I292" s="20"/>
      <c r="J292" s="20"/>
    </row>
    <row r="293" customFormat="false" ht="15" hidden="false" customHeight="false" outlineLevel="0" collapsed="false">
      <c r="A293" s="30"/>
      <c r="B293" s="20"/>
      <c r="C293" s="20"/>
      <c r="D293" s="20"/>
      <c r="E293" s="20"/>
      <c r="F293" s="20"/>
      <c r="G293" s="20"/>
      <c r="H293" s="20"/>
      <c r="I293" s="20"/>
      <c r="J293" s="20"/>
    </row>
    <row r="294" customFormat="false" ht="15" hidden="false" customHeight="false" outlineLevel="0" collapsed="false">
      <c r="A294" s="30"/>
      <c r="B294" s="20"/>
      <c r="C294" s="20"/>
      <c r="D294" s="20"/>
      <c r="E294" s="20"/>
      <c r="F294" s="20"/>
      <c r="G294" s="20"/>
      <c r="H294" s="20"/>
      <c r="I294" s="20"/>
      <c r="J294" s="20"/>
    </row>
    <row r="295" customFormat="false" ht="15" hidden="false" customHeight="false" outlineLevel="0" collapsed="false">
      <c r="A295" s="30"/>
      <c r="B295" s="20"/>
      <c r="C295" s="20"/>
      <c r="D295" s="20"/>
      <c r="E295" s="20"/>
      <c r="F295" s="20"/>
      <c r="G295" s="20"/>
      <c r="H295" s="20"/>
      <c r="I295" s="20"/>
      <c r="J295" s="20"/>
    </row>
    <row r="296" customFormat="false" ht="15" hidden="false" customHeight="false" outlineLevel="0" collapsed="false">
      <c r="A296" s="30"/>
      <c r="B296" s="20"/>
      <c r="C296" s="20"/>
      <c r="D296" s="20"/>
      <c r="E296" s="20"/>
      <c r="F296" s="20"/>
      <c r="G296" s="20"/>
      <c r="H296" s="20"/>
      <c r="I296" s="20"/>
      <c r="J296" s="20"/>
    </row>
    <row r="297" customFormat="false" ht="15" hidden="false" customHeight="false" outlineLevel="0" collapsed="false">
      <c r="A297" s="30"/>
      <c r="B297" s="20"/>
      <c r="C297" s="20"/>
      <c r="D297" s="20"/>
      <c r="E297" s="20"/>
      <c r="F297" s="20"/>
      <c r="G297" s="20"/>
      <c r="H297" s="20"/>
      <c r="I297" s="20"/>
      <c r="J297" s="20"/>
    </row>
    <row r="298" customFormat="false" ht="15" hidden="false" customHeight="false" outlineLevel="0" collapsed="false">
      <c r="A298" s="30"/>
      <c r="B298" s="20"/>
      <c r="C298" s="20"/>
      <c r="D298" s="20"/>
      <c r="E298" s="20"/>
      <c r="F298" s="20"/>
      <c r="G298" s="20"/>
      <c r="H298" s="20"/>
      <c r="I298" s="20"/>
      <c r="J298" s="20"/>
    </row>
    <row r="299" customFormat="false" ht="15" hidden="false" customHeight="false" outlineLevel="0" collapsed="false">
      <c r="A299" s="30"/>
      <c r="B299" s="20"/>
      <c r="C299" s="20"/>
      <c r="D299" s="20"/>
      <c r="E299" s="20"/>
      <c r="F299" s="20"/>
      <c r="G299" s="20"/>
      <c r="H299" s="20"/>
      <c r="I299" s="20"/>
      <c r="J299" s="20"/>
    </row>
    <row r="300" customFormat="false" ht="15" hidden="false" customHeight="false" outlineLevel="0" collapsed="false">
      <c r="A300" s="30"/>
      <c r="B300" s="20"/>
      <c r="C300" s="20"/>
      <c r="D300" s="20"/>
      <c r="E300" s="20"/>
      <c r="F300" s="20"/>
      <c r="G300" s="20"/>
      <c r="H300" s="20"/>
      <c r="I300" s="20"/>
      <c r="J300" s="20"/>
    </row>
    <row r="301" customFormat="false" ht="15" hidden="false" customHeight="false" outlineLevel="0" collapsed="false">
      <c r="A301" s="30"/>
      <c r="B301" s="20"/>
      <c r="C301" s="20"/>
      <c r="D301" s="20"/>
      <c r="E301" s="20"/>
      <c r="F301" s="20"/>
      <c r="G301" s="20"/>
      <c r="H301" s="20"/>
      <c r="I301" s="20"/>
      <c r="J301" s="20"/>
    </row>
    <row r="302" customFormat="false" ht="15" hidden="false" customHeight="false" outlineLevel="0" collapsed="false">
      <c r="A302" s="30"/>
      <c r="B302" s="20"/>
      <c r="C302" s="20"/>
      <c r="D302" s="20"/>
      <c r="E302" s="20"/>
      <c r="F302" s="20"/>
      <c r="G302" s="20"/>
      <c r="H302" s="20"/>
      <c r="I302" s="20"/>
      <c r="J302" s="20"/>
    </row>
    <row r="303" customFormat="false" ht="15" hidden="false" customHeight="false" outlineLevel="0" collapsed="false">
      <c r="A303" s="30"/>
      <c r="B303" s="20"/>
      <c r="C303" s="20"/>
      <c r="D303" s="20"/>
      <c r="E303" s="20"/>
      <c r="F303" s="20"/>
      <c r="G303" s="20"/>
      <c r="H303" s="20"/>
      <c r="I303" s="20"/>
      <c r="J303" s="20"/>
    </row>
    <row r="304" customFormat="false" ht="15" hidden="false" customHeight="false" outlineLevel="0" collapsed="false">
      <c r="A304" s="30"/>
      <c r="B304" s="20"/>
      <c r="C304" s="20"/>
      <c r="D304" s="20"/>
      <c r="E304" s="20"/>
      <c r="F304" s="20"/>
      <c r="G304" s="20"/>
      <c r="H304" s="20"/>
      <c r="I304" s="20"/>
      <c r="J304" s="20"/>
    </row>
    <row r="305" customFormat="false" ht="15" hidden="false" customHeight="false" outlineLevel="0" collapsed="false">
      <c r="A305" s="30"/>
      <c r="B305" s="20"/>
      <c r="C305" s="20"/>
      <c r="D305" s="20"/>
      <c r="E305" s="20"/>
      <c r="F305" s="20"/>
      <c r="G305" s="20"/>
      <c r="H305" s="20"/>
      <c r="I305" s="20"/>
      <c r="J305" s="20"/>
    </row>
    <row r="306" customFormat="false" ht="15" hidden="false" customHeight="false" outlineLevel="0" collapsed="false">
      <c r="A306" s="30"/>
      <c r="B306" s="20"/>
      <c r="C306" s="20"/>
      <c r="D306" s="20"/>
      <c r="E306" s="20"/>
      <c r="F306" s="20"/>
      <c r="G306" s="20"/>
      <c r="H306" s="20"/>
      <c r="I306" s="20"/>
      <c r="J306" s="20"/>
    </row>
    <row r="307" customFormat="false" ht="15" hidden="false" customHeight="false" outlineLevel="0" collapsed="false">
      <c r="A307" s="30"/>
      <c r="B307" s="20"/>
      <c r="C307" s="20"/>
      <c r="D307" s="20"/>
      <c r="E307" s="20"/>
      <c r="F307" s="20"/>
      <c r="G307" s="20"/>
      <c r="H307" s="20"/>
      <c r="I307" s="20"/>
      <c r="J307" s="20"/>
    </row>
    <row r="308" customFormat="false" ht="15" hidden="false" customHeight="false" outlineLevel="0" collapsed="false">
      <c r="A308" s="30"/>
      <c r="B308" s="20"/>
      <c r="C308" s="20"/>
      <c r="D308" s="20"/>
      <c r="E308" s="20"/>
      <c r="F308" s="20"/>
      <c r="G308" s="20"/>
      <c r="H308" s="20"/>
      <c r="I308" s="20"/>
      <c r="J308" s="20"/>
    </row>
    <row r="309" customFormat="false" ht="15" hidden="false" customHeight="false" outlineLevel="0" collapsed="false">
      <c r="A309" s="30"/>
      <c r="B309" s="20"/>
      <c r="C309" s="20"/>
      <c r="D309" s="20"/>
      <c r="E309" s="20"/>
      <c r="F309" s="20"/>
      <c r="G309" s="20"/>
      <c r="H309" s="20"/>
      <c r="I309" s="20"/>
      <c r="J309" s="20"/>
    </row>
    <row r="310" customFormat="false" ht="15" hidden="false" customHeight="false" outlineLevel="0" collapsed="false">
      <c r="A310" s="30"/>
      <c r="B310" s="20"/>
      <c r="C310" s="20"/>
      <c r="D310" s="20"/>
      <c r="E310" s="20"/>
      <c r="F310" s="20"/>
      <c r="G310" s="20"/>
      <c r="H310" s="20"/>
      <c r="I310" s="20"/>
      <c r="J310" s="20"/>
    </row>
    <row r="311" customFormat="false" ht="15" hidden="false" customHeight="false" outlineLevel="0" collapsed="false">
      <c r="A311" s="30"/>
      <c r="B311" s="20"/>
      <c r="C311" s="20"/>
      <c r="D311" s="20"/>
      <c r="E311" s="20"/>
      <c r="F311" s="20"/>
      <c r="G311" s="20"/>
      <c r="H311" s="20"/>
      <c r="I311" s="20"/>
      <c r="J311" s="20"/>
    </row>
    <row r="312" customFormat="false" ht="15" hidden="false" customHeight="false" outlineLevel="0" collapsed="false">
      <c r="A312" s="30"/>
      <c r="B312" s="20"/>
      <c r="C312" s="20"/>
      <c r="D312" s="20"/>
      <c r="E312" s="20"/>
      <c r="F312" s="20"/>
      <c r="G312" s="20"/>
      <c r="H312" s="20"/>
      <c r="I312" s="20"/>
      <c r="J312" s="20"/>
    </row>
    <row r="313" customFormat="false" ht="15" hidden="false" customHeight="false" outlineLevel="0" collapsed="false">
      <c r="A313" s="30"/>
      <c r="B313" s="20"/>
      <c r="C313" s="20"/>
      <c r="D313" s="20"/>
      <c r="E313" s="20"/>
      <c r="F313" s="20"/>
      <c r="G313" s="20"/>
      <c r="H313" s="20"/>
      <c r="I313" s="20"/>
      <c r="J313" s="20"/>
    </row>
    <row r="314" customFormat="false" ht="15" hidden="false" customHeight="false" outlineLevel="0" collapsed="false">
      <c r="A314" s="30"/>
      <c r="B314" s="20"/>
      <c r="C314" s="20"/>
      <c r="D314" s="20"/>
      <c r="E314" s="20"/>
      <c r="F314" s="20"/>
      <c r="G314" s="20"/>
      <c r="H314" s="20"/>
      <c r="I314" s="20"/>
      <c r="J314" s="20"/>
    </row>
    <row r="315" customFormat="false" ht="15" hidden="false" customHeight="false" outlineLevel="0" collapsed="false">
      <c r="A315" s="30"/>
      <c r="B315" s="20"/>
      <c r="C315" s="20"/>
      <c r="D315" s="20"/>
      <c r="E315" s="20"/>
      <c r="F315" s="20"/>
      <c r="G315" s="20"/>
      <c r="H315" s="20"/>
      <c r="I315" s="20"/>
      <c r="J315" s="20"/>
    </row>
    <row r="316" customFormat="false" ht="15" hidden="false" customHeight="false" outlineLevel="0" collapsed="false">
      <c r="A316" s="30"/>
      <c r="B316" s="20"/>
      <c r="C316" s="20"/>
      <c r="D316" s="20"/>
      <c r="E316" s="20"/>
      <c r="F316" s="20"/>
      <c r="G316" s="20"/>
      <c r="H316" s="20"/>
      <c r="I316" s="20"/>
      <c r="J316" s="20"/>
    </row>
    <row r="317" customFormat="false" ht="15" hidden="false" customHeight="false" outlineLevel="0" collapsed="false">
      <c r="A317" s="30"/>
      <c r="B317" s="20"/>
      <c r="C317" s="20"/>
      <c r="D317" s="20"/>
      <c r="E317" s="20"/>
      <c r="F317" s="20"/>
      <c r="G317" s="20"/>
      <c r="H317" s="20"/>
      <c r="I317" s="20"/>
      <c r="J317" s="20"/>
    </row>
    <row r="318" customFormat="false" ht="15" hidden="false" customHeight="false" outlineLevel="0" collapsed="false">
      <c r="A318" s="30"/>
      <c r="B318" s="20"/>
      <c r="C318" s="20"/>
      <c r="D318" s="20"/>
      <c r="E318" s="20"/>
      <c r="F318" s="20"/>
      <c r="G318" s="20"/>
      <c r="H318" s="20"/>
      <c r="I318" s="20"/>
      <c r="J318" s="20"/>
    </row>
    <row r="319" customFormat="false" ht="15" hidden="false" customHeight="false" outlineLevel="0" collapsed="false">
      <c r="A319" s="30"/>
      <c r="B319" s="20"/>
      <c r="C319" s="20"/>
      <c r="D319" s="20"/>
      <c r="E319" s="20"/>
      <c r="F319" s="20"/>
      <c r="G319" s="20"/>
      <c r="H319" s="20"/>
      <c r="I319" s="20"/>
      <c r="J319" s="20"/>
    </row>
    <row r="320" customFormat="false" ht="15" hidden="false" customHeight="false" outlineLevel="0" collapsed="false">
      <c r="A320" s="30"/>
      <c r="B320" s="20"/>
      <c r="C320" s="20"/>
      <c r="D320" s="20"/>
      <c r="E320" s="20"/>
      <c r="F320" s="20"/>
      <c r="G320" s="20"/>
      <c r="H320" s="20"/>
      <c r="I320" s="20"/>
      <c r="J320" s="20"/>
    </row>
    <row r="321" customFormat="false" ht="15" hidden="false" customHeight="false" outlineLevel="0" collapsed="false">
      <c r="A321" s="30"/>
      <c r="B321" s="20"/>
      <c r="C321" s="20"/>
      <c r="D321" s="20"/>
      <c r="E321" s="20"/>
      <c r="F321" s="20"/>
      <c r="G321" s="20"/>
      <c r="H321" s="20"/>
      <c r="I321" s="20"/>
      <c r="J321" s="20"/>
    </row>
    <row r="322" customFormat="false" ht="15" hidden="false" customHeight="false" outlineLevel="0" collapsed="false">
      <c r="A322" s="30"/>
      <c r="B322" s="20"/>
      <c r="C322" s="20"/>
      <c r="D322" s="20"/>
      <c r="E322" s="20"/>
      <c r="F322" s="20"/>
      <c r="G322" s="20"/>
      <c r="H322" s="20"/>
      <c r="I322" s="20"/>
      <c r="J322" s="20"/>
    </row>
    <row r="323" customFormat="false" ht="15" hidden="false" customHeight="false" outlineLevel="0" collapsed="false">
      <c r="A323" s="30"/>
      <c r="B323" s="20"/>
      <c r="C323" s="20"/>
      <c r="D323" s="20"/>
      <c r="E323" s="20"/>
      <c r="F323" s="20"/>
      <c r="G323" s="20"/>
      <c r="H323" s="20"/>
      <c r="I323" s="20"/>
      <c r="J323" s="20"/>
    </row>
    <row r="324" customFormat="false" ht="15" hidden="false" customHeight="false" outlineLevel="0" collapsed="false">
      <c r="A324" s="30"/>
      <c r="B324" s="20"/>
      <c r="C324" s="20"/>
      <c r="D324" s="20"/>
      <c r="E324" s="20"/>
      <c r="F324" s="20"/>
      <c r="G324" s="20"/>
      <c r="H324" s="20"/>
      <c r="I324" s="20"/>
      <c r="J324" s="20"/>
    </row>
    <row r="325" customFormat="false" ht="15" hidden="false" customHeight="false" outlineLevel="0" collapsed="false">
      <c r="A325" s="30"/>
      <c r="B325" s="20"/>
      <c r="C325" s="20"/>
      <c r="D325" s="20"/>
      <c r="E325" s="20"/>
      <c r="F325" s="20"/>
      <c r="G325" s="20"/>
      <c r="H325" s="20"/>
      <c r="I325" s="20"/>
      <c r="J325" s="20"/>
    </row>
    <row r="326" customFormat="false" ht="15" hidden="false" customHeight="false" outlineLevel="0" collapsed="false">
      <c r="A326" s="30"/>
      <c r="B326" s="20"/>
      <c r="C326" s="20"/>
      <c r="D326" s="20"/>
      <c r="E326" s="20"/>
      <c r="F326" s="20"/>
      <c r="G326" s="20"/>
      <c r="H326" s="20"/>
      <c r="I326" s="20"/>
      <c r="J326" s="20"/>
    </row>
    <row r="327" customFormat="false" ht="15" hidden="false" customHeight="false" outlineLevel="0" collapsed="false">
      <c r="A327" s="30"/>
      <c r="B327" s="20"/>
      <c r="C327" s="20"/>
      <c r="D327" s="20"/>
      <c r="E327" s="20"/>
      <c r="F327" s="20"/>
      <c r="G327" s="20"/>
      <c r="H327" s="20"/>
      <c r="I327" s="20"/>
      <c r="J327" s="20"/>
    </row>
    <row r="328" customFormat="false" ht="15" hidden="false" customHeight="false" outlineLevel="0" collapsed="false">
      <c r="A328" s="30"/>
      <c r="B328" s="20"/>
      <c r="C328" s="20"/>
      <c r="D328" s="20"/>
      <c r="E328" s="20"/>
      <c r="F328" s="20"/>
      <c r="G328" s="20"/>
      <c r="H328" s="20"/>
      <c r="I328" s="20"/>
      <c r="J328" s="20"/>
    </row>
    <row r="329" customFormat="false" ht="15" hidden="false" customHeight="false" outlineLevel="0" collapsed="false">
      <c r="A329" s="30"/>
      <c r="B329" s="20"/>
      <c r="C329" s="20"/>
      <c r="D329" s="20"/>
      <c r="E329" s="20"/>
      <c r="F329" s="20"/>
      <c r="G329" s="20"/>
      <c r="H329" s="20"/>
      <c r="I329" s="20"/>
      <c r="J329" s="20"/>
    </row>
    <row r="330" customFormat="false" ht="15" hidden="false" customHeight="false" outlineLevel="0" collapsed="false">
      <c r="A330" s="30"/>
      <c r="B330" s="20"/>
      <c r="C330" s="20"/>
      <c r="D330" s="20"/>
      <c r="E330" s="20"/>
      <c r="F330" s="20"/>
      <c r="G330" s="20"/>
      <c r="H330" s="20"/>
      <c r="I330" s="20"/>
      <c r="J330" s="20"/>
    </row>
    <row r="331" customFormat="false" ht="15" hidden="false" customHeight="false" outlineLevel="0" collapsed="false">
      <c r="A331" s="30"/>
      <c r="B331" s="20"/>
      <c r="C331" s="20"/>
      <c r="D331" s="20"/>
      <c r="E331" s="20"/>
      <c r="F331" s="20"/>
      <c r="G331" s="20"/>
      <c r="H331" s="20"/>
      <c r="I331" s="20"/>
      <c r="J331" s="20"/>
    </row>
    <row r="332" customFormat="false" ht="15" hidden="false" customHeight="false" outlineLevel="0" collapsed="false">
      <c r="A332" s="30"/>
      <c r="B332" s="20"/>
      <c r="C332" s="20"/>
      <c r="D332" s="20"/>
      <c r="E332" s="20"/>
      <c r="F332" s="20"/>
      <c r="G332" s="20"/>
      <c r="H332" s="20"/>
      <c r="I332" s="20"/>
      <c r="J332" s="20"/>
    </row>
    <row r="333" customFormat="false" ht="15" hidden="false" customHeight="false" outlineLevel="0" collapsed="false">
      <c r="A333" s="30"/>
      <c r="B333" s="20"/>
      <c r="C333" s="20"/>
      <c r="D333" s="20"/>
      <c r="E333" s="20"/>
      <c r="F333" s="20"/>
      <c r="G333" s="20"/>
      <c r="H333" s="20"/>
      <c r="I333" s="20"/>
      <c r="J333" s="20"/>
    </row>
    <row r="334" customFormat="false" ht="15" hidden="false" customHeight="false" outlineLevel="0" collapsed="false">
      <c r="A334" s="30"/>
      <c r="B334" s="20"/>
      <c r="C334" s="20"/>
      <c r="D334" s="20"/>
      <c r="E334" s="20"/>
      <c r="F334" s="20"/>
      <c r="G334" s="20"/>
      <c r="H334" s="20"/>
      <c r="I334" s="20"/>
      <c r="J334" s="20"/>
    </row>
    <row r="335" customFormat="false" ht="15" hidden="false" customHeight="false" outlineLevel="0" collapsed="false">
      <c r="A335" s="30"/>
      <c r="B335" s="20"/>
      <c r="C335" s="20"/>
      <c r="D335" s="20"/>
      <c r="E335" s="20"/>
      <c r="F335" s="20"/>
      <c r="G335" s="20"/>
      <c r="H335" s="20"/>
      <c r="I335" s="20"/>
      <c r="J335" s="20"/>
    </row>
    <row r="336" customFormat="false" ht="15" hidden="false" customHeight="false" outlineLevel="0" collapsed="false">
      <c r="A336" s="30"/>
      <c r="B336" s="20"/>
      <c r="C336" s="20"/>
      <c r="D336" s="20"/>
      <c r="E336" s="20"/>
      <c r="F336" s="20"/>
      <c r="G336" s="20"/>
      <c r="H336" s="20"/>
      <c r="I336" s="20"/>
      <c r="J336" s="20"/>
    </row>
    <row r="337" customFormat="false" ht="15" hidden="false" customHeight="false" outlineLevel="0" collapsed="false">
      <c r="A337" s="30"/>
      <c r="B337" s="20"/>
      <c r="C337" s="20"/>
      <c r="D337" s="20"/>
      <c r="E337" s="20"/>
      <c r="F337" s="20"/>
      <c r="G337" s="20"/>
      <c r="H337" s="20"/>
      <c r="I337" s="20"/>
      <c r="J337" s="20"/>
    </row>
    <row r="338" customFormat="false" ht="15" hidden="false" customHeight="false" outlineLevel="0" collapsed="false">
      <c r="A338" s="30"/>
      <c r="B338" s="20"/>
      <c r="C338" s="20"/>
      <c r="D338" s="20"/>
      <c r="E338" s="20"/>
      <c r="F338" s="20"/>
      <c r="G338" s="20"/>
      <c r="H338" s="20"/>
      <c r="I338" s="20"/>
      <c r="J338" s="20"/>
    </row>
    <row r="339" customFormat="false" ht="15" hidden="false" customHeight="false" outlineLevel="0" collapsed="false">
      <c r="A339" s="30"/>
      <c r="B339" s="20"/>
      <c r="C339" s="20"/>
      <c r="D339" s="20"/>
      <c r="E339" s="20"/>
      <c r="F339" s="20"/>
      <c r="G339" s="20"/>
      <c r="H339" s="20"/>
      <c r="I339" s="20"/>
      <c r="J339" s="20"/>
    </row>
    <row r="340" customFormat="false" ht="15" hidden="false" customHeight="false" outlineLevel="0" collapsed="false">
      <c r="A340" s="30"/>
      <c r="B340" s="20"/>
      <c r="C340" s="20"/>
      <c r="D340" s="20"/>
      <c r="E340" s="20"/>
      <c r="F340" s="20"/>
      <c r="G340" s="20"/>
      <c r="H340" s="20"/>
      <c r="I340" s="20"/>
      <c r="J340" s="20"/>
    </row>
    <row r="341" customFormat="false" ht="15" hidden="false" customHeight="false" outlineLevel="0" collapsed="false">
      <c r="A341" s="30"/>
      <c r="B341" s="20"/>
      <c r="C341" s="20"/>
      <c r="D341" s="20"/>
      <c r="E341" s="20"/>
      <c r="F341" s="20"/>
      <c r="G341" s="20"/>
      <c r="H341" s="20"/>
      <c r="I341" s="20"/>
      <c r="J341" s="20"/>
    </row>
    <row r="342" customFormat="false" ht="15" hidden="false" customHeight="false" outlineLevel="0" collapsed="false">
      <c r="A342" s="30"/>
      <c r="B342" s="20"/>
      <c r="C342" s="20"/>
      <c r="D342" s="20"/>
      <c r="E342" s="20"/>
      <c r="F342" s="20"/>
      <c r="G342" s="20"/>
      <c r="H342" s="20"/>
      <c r="I342" s="20"/>
      <c r="J342" s="20"/>
    </row>
    <row r="343" customFormat="false" ht="15" hidden="false" customHeight="false" outlineLevel="0" collapsed="false">
      <c r="A343" s="30"/>
      <c r="B343" s="20"/>
      <c r="C343" s="20"/>
      <c r="D343" s="20"/>
      <c r="E343" s="20"/>
      <c r="F343" s="20"/>
      <c r="G343" s="20"/>
      <c r="H343" s="20"/>
      <c r="I343" s="20"/>
      <c r="J343" s="20"/>
    </row>
    <row r="344" customFormat="false" ht="15" hidden="false" customHeight="false" outlineLevel="0" collapsed="false">
      <c r="A344" s="30"/>
      <c r="B344" s="20"/>
      <c r="C344" s="20"/>
      <c r="D344" s="20"/>
      <c r="E344" s="20"/>
      <c r="F344" s="20"/>
      <c r="G344" s="20"/>
      <c r="H344" s="20"/>
      <c r="I344" s="20"/>
      <c r="J344" s="20"/>
    </row>
    <row r="345" customFormat="false" ht="15" hidden="false" customHeight="false" outlineLevel="0" collapsed="false">
      <c r="A345" s="30"/>
      <c r="B345" s="20"/>
      <c r="C345" s="20"/>
      <c r="D345" s="20"/>
      <c r="E345" s="20"/>
      <c r="F345" s="20"/>
      <c r="G345" s="20"/>
      <c r="H345" s="20"/>
      <c r="I345" s="20"/>
      <c r="J345" s="20"/>
    </row>
    <row r="346" customFormat="false" ht="15" hidden="false" customHeight="false" outlineLevel="0" collapsed="false">
      <c r="A346" s="30"/>
      <c r="B346" s="20"/>
      <c r="C346" s="20"/>
      <c r="D346" s="20"/>
      <c r="E346" s="20"/>
      <c r="F346" s="20"/>
      <c r="G346" s="20"/>
      <c r="H346" s="20"/>
      <c r="I346" s="20"/>
      <c r="J346" s="20"/>
    </row>
    <row r="347" customFormat="false" ht="15" hidden="false" customHeight="false" outlineLevel="0" collapsed="false">
      <c r="A347" s="30"/>
      <c r="B347" s="20"/>
      <c r="C347" s="20"/>
      <c r="D347" s="20"/>
      <c r="E347" s="20"/>
      <c r="F347" s="20"/>
      <c r="G347" s="20"/>
      <c r="H347" s="20"/>
      <c r="I347" s="20"/>
      <c r="J347" s="20"/>
    </row>
    <row r="348" customFormat="false" ht="15" hidden="false" customHeight="false" outlineLevel="0" collapsed="false">
      <c r="A348" s="30"/>
      <c r="B348" s="20"/>
      <c r="C348" s="20"/>
      <c r="D348" s="20"/>
      <c r="E348" s="20"/>
      <c r="F348" s="20"/>
      <c r="G348" s="20"/>
      <c r="H348" s="20"/>
      <c r="I348" s="20"/>
      <c r="J348" s="20"/>
    </row>
    <row r="349" customFormat="false" ht="15" hidden="false" customHeight="false" outlineLevel="0" collapsed="false">
      <c r="A349" s="30"/>
      <c r="B349" s="20"/>
      <c r="C349" s="20"/>
      <c r="D349" s="20"/>
      <c r="E349" s="20"/>
      <c r="F349" s="20"/>
      <c r="G349" s="20"/>
      <c r="H349" s="20"/>
      <c r="I349" s="20"/>
      <c r="J349" s="20"/>
    </row>
    <row r="350" customFormat="false" ht="15" hidden="false" customHeight="false" outlineLevel="0" collapsed="false">
      <c r="A350" s="30"/>
      <c r="B350" s="20"/>
      <c r="C350" s="20"/>
      <c r="D350" s="20"/>
      <c r="E350" s="20"/>
      <c r="F350" s="20"/>
      <c r="G350" s="20"/>
      <c r="H350" s="20"/>
      <c r="I350" s="20"/>
      <c r="J350" s="20"/>
    </row>
    <row r="351" customFormat="false" ht="15" hidden="false" customHeight="false" outlineLevel="0" collapsed="false">
      <c r="A351" s="30"/>
      <c r="B351" s="20"/>
      <c r="C351" s="20"/>
      <c r="D351" s="20"/>
      <c r="E351" s="20"/>
      <c r="F351" s="20"/>
      <c r="G351" s="20"/>
      <c r="H351" s="20"/>
      <c r="I351" s="20"/>
      <c r="J351" s="20"/>
    </row>
    <row r="352" customFormat="false" ht="15" hidden="false" customHeight="false" outlineLevel="0" collapsed="false">
      <c r="A352" s="30"/>
      <c r="B352" s="20"/>
      <c r="C352" s="20"/>
      <c r="D352" s="20"/>
      <c r="E352" s="20"/>
      <c r="F352" s="20"/>
      <c r="G352" s="20"/>
      <c r="H352" s="20"/>
      <c r="I352" s="20"/>
      <c r="J352" s="20"/>
    </row>
    <row r="353" customFormat="false" ht="15" hidden="false" customHeight="false" outlineLevel="0" collapsed="false">
      <c r="A353" s="30"/>
      <c r="B353" s="20"/>
      <c r="C353" s="20"/>
      <c r="D353" s="20"/>
      <c r="E353" s="20"/>
      <c r="F353" s="20"/>
      <c r="G353" s="20"/>
      <c r="H353" s="20"/>
      <c r="I353" s="20"/>
      <c r="J353" s="20"/>
    </row>
    <row r="354" customFormat="false" ht="15" hidden="false" customHeight="false" outlineLevel="0" collapsed="false">
      <c r="A354" s="30"/>
      <c r="B354" s="20"/>
      <c r="C354" s="20"/>
      <c r="D354" s="20"/>
      <c r="E354" s="20"/>
      <c r="F354" s="20"/>
      <c r="G354" s="20"/>
      <c r="H354" s="20"/>
      <c r="I354" s="20"/>
      <c r="J354" s="20"/>
    </row>
    <row r="355" customFormat="false" ht="15" hidden="false" customHeight="false" outlineLevel="0" collapsed="false">
      <c r="A355" s="30"/>
      <c r="B355" s="20"/>
      <c r="C355" s="20"/>
      <c r="D355" s="20"/>
      <c r="E355" s="20"/>
      <c r="F355" s="20"/>
      <c r="G355" s="20"/>
      <c r="H355" s="20"/>
      <c r="I355" s="20"/>
      <c r="J355" s="20"/>
    </row>
    <row r="356" customFormat="false" ht="15" hidden="false" customHeight="false" outlineLevel="0" collapsed="false">
      <c r="A356" s="30"/>
      <c r="B356" s="20"/>
      <c r="C356" s="20"/>
      <c r="D356" s="20"/>
      <c r="E356" s="20"/>
      <c r="F356" s="20"/>
      <c r="G356" s="20"/>
      <c r="H356" s="20"/>
      <c r="I356" s="20"/>
      <c r="J356" s="20"/>
    </row>
    <row r="357" customFormat="false" ht="15" hidden="false" customHeight="false" outlineLevel="0" collapsed="false">
      <c r="A357" s="30"/>
      <c r="B357" s="20"/>
      <c r="C357" s="20"/>
      <c r="D357" s="20"/>
      <c r="E357" s="20"/>
      <c r="F357" s="20"/>
      <c r="G357" s="20"/>
      <c r="H357" s="20"/>
      <c r="I357" s="20"/>
      <c r="J357" s="20"/>
    </row>
    <row r="358" customFormat="false" ht="15" hidden="false" customHeight="false" outlineLevel="0" collapsed="false">
      <c r="A358" s="30"/>
      <c r="B358" s="20"/>
      <c r="C358" s="20"/>
      <c r="D358" s="20"/>
      <c r="E358" s="20"/>
      <c r="F358" s="20"/>
      <c r="G358" s="20"/>
      <c r="H358" s="20"/>
      <c r="I358" s="20"/>
      <c r="J358" s="20"/>
    </row>
    <row r="359" customFormat="false" ht="15" hidden="false" customHeight="false" outlineLevel="0" collapsed="false">
      <c r="A359" s="30"/>
      <c r="B359" s="20"/>
      <c r="C359" s="20"/>
      <c r="D359" s="20"/>
      <c r="E359" s="20"/>
      <c r="F359" s="20"/>
      <c r="G359" s="20"/>
      <c r="H359" s="20"/>
      <c r="I359" s="20"/>
      <c r="J359" s="20"/>
    </row>
    <row r="360" customFormat="false" ht="15" hidden="false" customHeight="false" outlineLevel="0" collapsed="false">
      <c r="A360" s="30"/>
      <c r="B360" s="20"/>
      <c r="C360" s="20"/>
      <c r="D360" s="20"/>
      <c r="E360" s="20"/>
      <c r="F360" s="20"/>
      <c r="G360" s="20"/>
      <c r="H360" s="20"/>
      <c r="I360" s="20"/>
      <c r="J360" s="20"/>
    </row>
    <row r="361" customFormat="false" ht="15" hidden="false" customHeight="false" outlineLevel="0" collapsed="false">
      <c r="A361" s="30"/>
      <c r="B361" s="20"/>
      <c r="C361" s="20"/>
      <c r="D361" s="20"/>
      <c r="E361" s="20"/>
      <c r="F361" s="20"/>
      <c r="G361" s="20"/>
      <c r="H361" s="20"/>
      <c r="I361" s="20"/>
      <c r="J361" s="20"/>
    </row>
    <row r="362" customFormat="false" ht="15" hidden="false" customHeight="false" outlineLevel="0" collapsed="false">
      <c r="A362" s="30"/>
      <c r="B362" s="20"/>
      <c r="C362" s="20"/>
      <c r="D362" s="20"/>
      <c r="E362" s="20"/>
      <c r="F362" s="20"/>
      <c r="G362" s="20"/>
      <c r="H362" s="20"/>
      <c r="I362" s="20"/>
      <c r="J362" s="20"/>
    </row>
    <row r="363" customFormat="false" ht="15" hidden="false" customHeight="false" outlineLevel="0" collapsed="false">
      <c r="A363" s="30"/>
      <c r="B363" s="20"/>
      <c r="C363" s="20"/>
      <c r="D363" s="20"/>
      <c r="E363" s="20"/>
      <c r="F363" s="20"/>
      <c r="G363" s="20"/>
      <c r="H363" s="20"/>
      <c r="I363" s="20"/>
      <c r="J363" s="20"/>
    </row>
    <row r="364" customFormat="false" ht="15" hidden="false" customHeight="false" outlineLevel="0" collapsed="false">
      <c r="A364" s="30"/>
      <c r="B364" s="20"/>
      <c r="C364" s="20"/>
      <c r="D364" s="20"/>
      <c r="E364" s="20"/>
      <c r="F364" s="20"/>
      <c r="G364" s="20"/>
      <c r="H364" s="20"/>
      <c r="I364" s="20"/>
      <c r="J364" s="20"/>
    </row>
    <row r="365" customFormat="false" ht="15" hidden="false" customHeight="false" outlineLevel="0" collapsed="false">
      <c r="A365" s="30"/>
      <c r="B365" s="20"/>
      <c r="C365" s="20"/>
      <c r="D365" s="20"/>
      <c r="E365" s="20"/>
      <c r="F365" s="20"/>
      <c r="G365" s="20"/>
      <c r="H365" s="20"/>
      <c r="I365" s="20"/>
      <c r="J365" s="20"/>
    </row>
    <row r="366" customFormat="false" ht="15" hidden="false" customHeight="false" outlineLevel="0" collapsed="false">
      <c r="A366" s="30"/>
      <c r="B366" s="20"/>
      <c r="C366" s="20"/>
      <c r="D366" s="20"/>
      <c r="E366" s="20"/>
      <c r="F366" s="20"/>
      <c r="G366" s="20"/>
      <c r="H366" s="20"/>
      <c r="I366" s="20"/>
      <c r="J366" s="20"/>
    </row>
    <row r="367" customFormat="false" ht="15" hidden="false" customHeight="false" outlineLevel="0" collapsed="false">
      <c r="A367" s="30"/>
      <c r="B367" s="20"/>
      <c r="C367" s="20"/>
      <c r="D367" s="20"/>
      <c r="E367" s="20"/>
      <c r="F367" s="20"/>
      <c r="G367" s="20"/>
      <c r="H367" s="20"/>
      <c r="I367" s="20"/>
      <c r="J367" s="20"/>
    </row>
    <row r="368" customFormat="false" ht="15" hidden="false" customHeight="false" outlineLevel="0" collapsed="false">
      <c r="A368" s="30"/>
      <c r="B368" s="20"/>
      <c r="C368" s="20"/>
      <c r="D368" s="20"/>
      <c r="E368" s="20"/>
      <c r="F368" s="20"/>
      <c r="G368" s="20"/>
      <c r="H368" s="20"/>
      <c r="I368" s="20"/>
      <c r="J368" s="20"/>
    </row>
    <row r="369" customFormat="false" ht="15" hidden="false" customHeight="false" outlineLevel="0" collapsed="false">
      <c r="A369" s="30"/>
      <c r="B369" s="20"/>
      <c r="C369" s="20"/>
      <c r="D369" s="20"/>
      <c r="E369" s="20"/>
      <c r="F369" s="20"/>
      <c r="G369" s="20"/>
      <c r="H369" s="20"/>
      <c r="I369" s="20"/>
      <c r="J369" s="20"/>
    </row>
    <row r="370" customFormat="false" ht="15" hidden="false" customHeight="false" outlineLevel="0" collapsed="false">
      <c r="A370" s="30"/>
      <c r="B370" s="20"/>
      <c r="C370" s="20"/>
      <c r="D370" s="20"/>
      <c r="E370" s="20"/>
      <c r="F370" s="20"/>
      <c r="G370" s="20"/>
      <c r="H370" s="20"/>
      <c r="I370" s="20"/>
      <c r="J370" s="20"/>
    </row>
    <row r="371" customFormat="false" ht="15" hidden="false" customHeight="false" outlineLevel="0" collapsed="false">
      <c r="A371" s="30"/>
      <c r="B371" s="20"/>
      <c r="C371" s="20"/>
      <c r="D371" s="20"/>
      <c r="E371" s="20"/>
      <c r="F371" s="20"/>
      <c r="G371" s="20"/>
      <c r="H371" s="20"/>
      <c r="I371" s="20"/>
      <c r="J371" s="20"/>
    </row>
    <row r="372" customFormat="false" ht="15" hidden="false" customHeight="false" outlineLevel="0" collapsed="false">
      <c r="A372" s="30"/>
      <c r="B372" s="20"/>
      <c r="C372" s="20"/>
      <c r="D372" s="20"/>
      <c r="E372" s="20"/>
      <c r="F372" s="20"/>
      <c r="G372" s="20"/>
      <c r="H372" s="20"/>
      <c r="I372" s="20"/>
      <c r="J372" s="20"/>
    </row>
    <row r="373" customFormat="false" ht="15" hidden="false" customHeight="false" outlineLevel="0" collapsed="false">
      <c r="A373" s="30"/>
      <c r="B373" s="20"/>
      <c r="C373" s="20"/>
      <c r="D373" s="20"/>
      <c r="E373" s="20"/>
      <c r="F373" s="20"/>
      <c r="G373" s="20"/>
      <c r="H373" s="20"/>
      <c r="I373" s="20"/>
      <c r="J373" s="20"/>
    </row>
    <row r="374" customFormat="false" ht="15" hidden="false" customHeight="false" outlineLevel="0" collapsed="false">
      <c r="A374" s="30"/>
      <c r="B374" s="20"/>
      <c r="C374" s="20"/>
      <c r="D374" s="20"/>
      <c r="E374" s="20"/>
      <c r="F374" s="20"/>
      <c r="G374" s="20"/>
      <c r="H374" s="20"/>
      <c r="I374" s="20"/>
      <c r="J374" s="20"/>
    </row>
    <row r="375" customFormat="false" ht="15" hidden="false" customHeight="false" outlineLevel="0" collapsed="false">
      <c r="A375" s="30"/>
      <c r="B375" s="20"/>
      <c r="C375" s="20"/>
      <c r="D375" s="20"/>
      <c r="E375" s="20"/>
      <c r="F375" s="20"/>
      <c r="G375" s="20"/>
      <c r="H375" s="20"/>
      <c r="I375" s="20"/>
      <c r="J375" s="20"/>
    </row>
    <row r="376" customFormat="false" ht="15" hidden="false" customHeight="false" outlineLevel="0" collapsed="false">
      <c r="A376" s="30"/>
      <c r="B376" s="20"/>
      <c r="C376" s="20"/>
      <c r="D376" s="20"/>
      <c r="E376" s="20"/>
      <c r="F376" s="20"/>
      <c r="G376" s="20"/>
      <c r="H376" s="20"/>
      <c r="I376" s="20"/>
      <c r="J376" s="20"/>
    </row>
    <row r="377" customFormat="false" ht="15" hidden="false" customHeight="false" outlineLevel="0" collapsed="false">
      <c r="A377" s="30"/>
      <c r="B377" s="20"/>
      <c r="C377" s="20"/>
      <c r="D377" s="20"/>
      <c r="E377" s="20"/>
      <c r="F377" s="20"/>
      <c r="G377" s="20"/>
      <c r="H377" s="20"/>
      <c r="I377" s="20"/>
      <c r="J377" s="20"/>
    </row>
    <row r="378" customFormat="false" ht="15" hidden="false" customHeight="false" outlineLevel="0" collapsed="false">
      <c r="A378" s="30"/>
      <c r="B378" s="20"/>
      <c r="C378" s="20"/>
      <c r="D378" s="20"/>
      <c r="E378" s="20"/>
      <c r="F378" s="20"/>
      <c r="G378" s="20"/>
      <c r="H378" s="20"/>
      <c r="I378" s="20"/>
      <c r="J378" s="20"/>
    </row>
    <row r="379" customFormat="false" ht="15" hidden="false" customHeight="false" outlineLevel="0" collapsed="false">
      <c r="A379" s="30"/>
      <c r="B379" s="20"/>
      <c r="C379" s="20"/>
      <c r="D379" s="20"/>
      <c r="E379" s="20"/>
      <c r="F379" s="20"/>
      <c r="G379" s="20"/>
      <c r="H379" s="20"/>
      <c r="I379" s="20"/>
      <c r="J379" s="20"/>
    </row>
    <row r="380" customFormat="false" ht="15" hidden="false" customHeight="false" outlineLevel="0" collapsed="false">
      <c r="A380" s="30"/>
      <c r="B380" s="20"/>
      <c r="C380" s="20"/>
      <c r="D380" s="20"/>
      <c r="E380" s="20"/>
      <c r="F380" s="20"/>
      <c r="G380" s="20"/>
      <c r="H380" s="20"/>
      <c r="I380" s="20"/>
      <c r="J380" s="20"/>
    </row>
    <row r="381" customFormat="false" ht="15" hidden="false" customHeight="false" outlineLevel="0" collapsed="false">
      <c r="A381" s="30"/>
      <c r="B381" s="20"/>
      <c r="C381" s="20"/>
      <c r="D381" s="20"/>
      <c r="E381" s="20"/>
      <c r="F381" s="20"/>
      <c r="G381" s="20"/>
      <c r="H381" s="20"/>
      <c r="I381" s="20"/>
      <c r="J381" s="20"/>
    </row>
    <row r="382" customFormat="false" ht="15" hidden="false" customHeight="false" outlineLevel="0" collapsed="false">
      <c r="A382" s="30"/>
      <c r="B382" s="20"/>
      <c r="C382" s="20"/>
      <c r="D382" s="20"/>
      <c r="E382" s="20"/>
      <c r="F382" s="20"/>
      <c r="G382" s="20"/>
      <c r="H382" s="20"/>
      <c r="I382" s="20"/>
      <c r="J382" s="20"/>
    </row>
    <row r="383" customFormat="false" ht="15" hidden="false" customHeight="false" outlineLevel="0" collapsed="false">
      <c r="A383" s="30"/>
      <c r="B383" s="20"/>
      <c r="C383" s="20"/>
      <c r="D383" s="20"/>
      <c r="E383" s="20"/>
      <c r="F383" s="20"/>
      <c r="G383" s="20"/>
      <c r="H383" s="20"/>
      <c r="I383" s="20"/>
      <c r="J383" s="20"/>
    </row>
    <row r="384" customFormat="false" ht="15" hidden="false" customHeight="false" outlineLevel="0" collapsed="false">
      <c r="A384" s="30"/>
      <c r="B384" s="20"/>
      <c r="C384" s="20"/>
      <c r="D384" s="20"/>
      <c r="E384" s="20"/>
      <c r="F384" s="20"/>
      <c r="G384" s="20"/>
      <c r="H384" s="20"/>
      <c r="I384" s="20"/>
      <c r="J384" s="20"/>
    </row>
    <row r="385" customFormat="false" ht="15" hidden="false" customHeight="false" outlineLevel="0" collapsed="false">
      <c r="A385" s="30"/>
      <c r="B385" s="20"/>
      <c r="C385" s="20"/>
      <c r="D385" s="20"/>
      <c r="E385" s="20"/>
      <c r="F385" s="20"/>
      <c r="G385" s="20"/>
      <c r="H385" s="20"/>
      <c r="I385" s="20"/>
      <c r="J385" s="20"/>
    </row>
    <row r="386" customFormat="false" ht="15" hidden="false" customHeight="false" outlineLevel="0" collapsed="false">
      <c r="A386" s="30"/>
      <c r="B386" s="20"/>
      <c r="C386" s="20"/>
      <c r="D386" s="20"/>
      <c r="E386" s="20"/>
      <c r="F386" s="20"/>
      <c r="G386" s="20"/>
      <c r="H386" s="20"/>
      <c r="I386" s="20"/>
      <c r="J386" s="20"/>
    </row>
    <row r="387" customFormat="false" ht="15" hidden="false" customHeight="false" outlineLevel="0" collapsed="false">
      <c r="A387" s="30"/>
      <c r="B387" s="20"/>
      <c r="C387" s="20"/>
      <c r="D387" s="20"/>
      <c r="E387" s="20"/>
      <c r="F387" s="20"/>
      <c r="G387" s="20"/>
      <c r="H387" s="20"/>
      <c r="I387" s="20"/>
      <c r="J387" s="20"/>
    </row>
    <row r="388" customFormat="false" ht="15" hidden="false" customHeight="false" outlineLevel="0" collapsed="false">
      <c r="A388" s="30"/>
      <c r="B388" s="20"/>
      <c r="C388" s="20"/>
      <c r="D388" s="20"/>
      <c r="E388" s="20"/>
      <c r="F388" s="20"/>
      <c r="G388" s="20"/>
      <c r="H388" s="20"/>
      <c r="I388" s="20"/>
      <c r="J388" s="20"/>
    </row>
    <row r="389" customFormat="false" ht="15" hidden="false" customHeight="false" outlineLevel="0" collapsed="false">
      <c r="A389" s="30"/>
      <c r="B389" s="20"/>
      <c r="C389" s="20"/>
      <c r="D389" s="20"/>
      <c r="E389" s="20"/>
      <c r="F389" s="20"/>
      <c r="G389" s="20"/>
      <c r="H389" s="20"/>
      <c r="I389" s="20"/>
      <c r="J389" s="20"/>
    </row>
    <row r="390" customFormat="false" ht="15" hidden="false" customHeight="false" outlineLevel="0" collapsed="false">
      <c r="A390" s="30"/>
      <c r="B390" s="20"/>
      <c r="C390" s="20"/>
      <c r="D390" s="20"/>
      <c r="E390" s="20"/>
      <c r="F390" s="20"/>
      <c r="G390" s="20"/>
      <c r="H390" s="20"/>
      <c r="I390" s="20"/>
      <c r="J390" s="20"/>
    </row>
    <row r="391" customFormat="false" ht="15" hidden="false" customHeight="false" outlineLevel="0" collapsed="false">
      <c r="A391" s="30"/>
      <c r="B391" s="20"/>
      <c r="C391" s="20"/>
      <c r="D391" s="20"/>
      <c r="E391" s="20"/>
      <c r="F391" s="20"/>
      <c r="G391" s="20"/>
      <c r="H391" s="20"/>
      <c r="I391" s="20"/>
      <c r="J391" s="20"/>
    </row>
    <row r="392" customFormat="false" ht="15" hidden="false" customHeight="false" outlineLevel="0" collapsed="false">
      <c r="A392" s="30"/>
      <c r="B392" s="20"/>
      <c r="C392" s="20"/>
      <c r="D392" s="20"/>
      <c r="E392" s="20"/>
      <c r="F392" s="20"/>
      <c r="G392" s="20"/>
      <c r="H392" s="20"/>
      <c r="I392" s="20"/>
      <c r="J392" s="20"/>
    </row>
    <row r="393" customFormat="false" ht="15" hidden="false" customHeight="false" outlineLevel="0" collapsed="false">
      <c r="A393" s="30"/>
      <c r="B393" s="20"/>
      <c r="C393" s="20"/>
      <c r="D393" s="20"/>
      <c r="E393" s="20"/>
      <c r="F393" s="20"/>
      <c r="G393" s="20"/>
      <c r="H393" s="20"/>
      <c r="I393" s="20"/>
      <c r="J393" s="20"/>
    </row>
    <row r="394" customFormat="false" ht="15" hidden="false" customHeight="false" outlineLevel="0" collapsed="false">
      <c r="A394" s="30"/>
      <c r="B394" s="20"/>
      <c r="C394" s="20"/>
      <c r="D394" s="20"/>
      <c r="E394" s="20"/>
      <c r="F394" s="20"/>
      <c r="G394" s="20"/>
      <c r="H394" s="20"/>
      <c r="I394" s="20"/>
      <c r="J394" s="20"/>
    </row>
    <row r="395" customFormat="false" ht="15" hidden="false" customHeight="false" outlineLevel="0" collapsed="false">
      <c r="A395" s="30"/>
      <c r="B395" s="20"/>
      <c r="C395" s="20"/>
      <c r="D395" s="20"/>
      <c r="E395" s="20"/>
      <c r="F395" s="20"/>
      <c r="G395" s="20"/>
      <c r="H395" s="20"/>
      <c r="I395" s="20"/>
      <c r="J395" s="20"/>
    </row>
    <row r="396" customFormat="false" ht="15" hidden="false" customHeight="false" outlineLevel="0" collapsed="false">
      <c r="A396" s="30"/>
      <c r="B396" s="20"/>
      <c r="C396" s="20"/>
      <c r="D396" s="20"/>
      <c r="E396" s="20"/>
      <c r="F396" s="20"/>
      <c r="G396" s="20"/>
      <c r="H396" s="20"/>
      <c r="I396" s="20"/>
      <c r="J396" s="20"/>
    </row>
    <row r="397" customFormat="false" ht="15" hidden="false" customHeight="false" outlineLevel="0" collapsed="false">
      <c r="A397" s="30"/>
      <c r="B397" s="20"/>
      <c r="C397" s="20"/>
      <c r="D397" s="20"/>
      <c r="E397" s="20"/>
      <c r="F397" s="20"/>
      <c r="G397" s="20"/>
      <c r="H397" s="20"/>
      <c r="I397" s="20"/>
      <c r="J397" s="20"/>
    </row>
    <row r="398" customFormat="false" ht="15" hidden="false" customHeight="false" outlineLevel="0" collapsed="false">
      <c r="A398" s="30"/>
      <c r="B398" s="20"/>
      <c r="C398" s="20"/>
      <c r="D398" s="20"/>
      <c r="E398" s="20"/>
      <c r="F398" s="20"/>
      <c r="G398" s="20"/>
      <c r="H398" s="20"/>
      <c r="I398" s="20"/>
      <c r="J398" s="20"/>
    </row>
    <row r="399" customFormat="false" ht="15" hidden="false" customHeight="false" outlineLevel="0" collapsed="false">
      <c r="A399" s="30"/>
      <c r="B399" s="20"/>
      <c r="C399" s="20"/>
      <c r="D399" s="20"/>
      <c r="E399" s="20"/>
      <c r="F399" s="20"/>
      <c r="G399" s="20"/>
      <c r="H399" s="20"/>
      <c r="I399" s="20"/>
      <c r="J399" s="20"/>
    </row>
    <row r="400" customFormat="false" ht="15" hidden="false" customHeight="false" outlineLevel="0" collapsed="false">
      <c r="A400" s="30"/>
      <c r="B400" s="20"/>
      <c r="C400" s="20"/>
      <c r="D400" s="20"/>
      <c r="E400" s="20"/>
      <c r="F400" s="20"/>
      <c r="G400" s="20"/>
      <c r="H400" s="20"/>
      <c r="I400" s="20"/>
      <c r="J400" s="20"/>
    </row>
    <row r="401" customFormat="false" ht="15" hidden="false" customHeight="false" outlineLevel="0" collapsed="false">
      <c r="A401" s="30"/>
      <c r="B401" s="20"/>
      <c r="C401" s="20"/>
      <c r="D401" s="20"/>
      <c r="E401" s="20"/>
      <c r="F401" s="20"/>
      <c r="G401" s="20"/>
      <c r="H401" s="20"/>
      <c r="I401" s="20"/>
      <c r="J401" s="20"/>
    </row>
    <row r="402" customFormat="false" ht="15" hidden="false" customHeight="false" outlineLevel="0" collapsed="false">
      <c r="A402" s="30"/>
      <c r="B402" s="20"/>
      <c r="C402" s="20"/>
      <c r="D402" s="20"/>
      <c r="E402" s="20"/>
      <c r="F402" s="20"/>
      <c r="G402" s="20"/>
      <c r="H402" s="20"/>
      <c r="I402" s="20"/>
      <c r="J402" s="20"/>
    </row>
    <row r="403" customFormat="false" ht="15" hidden="false" customHeight="false" outlineLevel="0" collapsed="false">
      <c r="A403" s="30"/>
      <c r="B403" s="20"/>
      <c r="C403" s="20"/>
      <c r="D403" s="20"/>
      <c r="E403" s="20"/>
      <c r="F403" s="20"/>
      <c r="G403" s="20"/>
      <c r="H403" s="20"/>
      <c r="I403" s="20"/>
      <c r="J403" s="20"/>
    </row>
    <row r="404" customFormat="false" ht="15" hidden="false" customHeight="false" outlineLevel="0" collapsed="false">
      <c r="A404" s="30"/>
      <c r="B404" s="20"/>
      <c r="C404" s="20"/>
      <c r="D404" s="20"/>
      <c r="E404" s="20"/>
      <c r="F404" s="20"/>
      <c r="G404" s="20"/>
      <c r="H404" s="20"/>
      <c r="I404" s="20"/>
      <c r="J404" s="20"/>
    </row>
    <row r="405" customFormat="false" ht="15" hidden="false" customHeight="false" outlineLevel="0" collapsed="false">
      <c r="A405" s="30"/>
      <c r="B405" s="20"/>
      <c r="C405" s="20"/>
      <c r="D405" s="20"/>
      <c r="E405" s="20"/>
      <c r="F405" s="20"/>
      <c r="G405" s="20"/>
      <c r="H405" s="20"/>
      <c r="I405" s="20"/>
      <c r="J405" s="20"/>
    </row>
    <row r="406" customFormat="false" ht="15" hidden="false" customHeight="false" outlineLevel="0" collapsed="false">
      <c r="A406" s="30"/>
      <c r="B406" s="20"/>
      <c r="C406" s="20"/>
      <c r="D406" s="20"/>
      <c r="E406" s="20"/>
      <c r="F406" s="20"/>
      <c r="G406" s="20"/>
      <c r="H406" s="20"/>
      <c r="I406" s="20"/>
      <c r="J406" s="20"/>
    </row>
    <row r="407" customFormat="false" ht="15" hidden="false" customHeight="false" outlineLevel="0" collapsed="false">
      <c r="A407" s="30"/>
      <c r="B407" s="20"/>
      <c r="C407" s="20"/>
      <c r="D407" s="20"/>
      <c r="E407" s="20"/>
      <c r="F407" s="20"/>
      <c r="G407" s="20"/>
      <c r="H407" s="20"/>
      <c r="I407" s="20"/>
      <c r="J407" s="20"/>
    </row>
    <row r="408" customFormat="false" ht="15" hidden="false" customHeight="false" outlineLevel="0" collapsed="false">
      <c r="A408" s="30"/>
      <c r="B408" s="20"/>
      <c r="C408" s="20"/>
      <c r="D408" s="20"/>
      <c r="E408" s="20"/>
      <c r="F408" s="20"/>
      <c r="G408" s="20"/>
      <c r="H408" s="20"/>
      <c r="I408" s="20"/>
      <c r="J408" s="20"/>
    </row>
    <row r="409" customFormat="false" ht="15" hidden="false" customHeight="false" outlineLevel="0" collapsed="false">
      <c r="A409" s="30"/>
      <c r="B409" s="20"/>
      <c r="C409" s="20"/>
      <c r="D409" s="20"/>
      <c r="E409" s="20"/>
      <c r="F409" s="20"/>
      <c r="G409" s="20"/>
      <c r="H409" s="20"/>
      <c r="I409" s="20"/>
      <c r="J409" s="20"/>
    </row>
    <row r="410" customFormat="false" ht="15" hidden="false" customHeight="false" outlineLevel="0" collapsed="false">
      <c r="A410" s="30"/>
      <c r="B410" s="20"/>
      <c r="C410" s="20"/>
      <c r="D410" s="20"/>
      <c r="E410" s="20"/>
      <c r="F410" s="20"/>
      <c r="G410" s="20"/>
      <c r="H410" s="20"/>
      <c r="I410" s="20"/>
      <c r="J410" s="20"/>
    </row>
    <row r="411" customFormat="false" ht="15" hidden="false" customHeight="false" outlineLevel="0" collapsed="false">
      <c r="A411" s="30"/>
      <c r="B411" s="20"/>
      <c r="C411" s="20"/>
      <c r="D411" s="20"/>
      <c r="E411" s="20"/>
      <c r="F411" s="20"/>
      <c r="G411" s="20"/>
      <c r="H411" s="20"/>
      <c r="I411" s="20"/>
      <c r="J411" s="20"/>
    </row>
    <row r="412" customFormat="false" ht="15" hidden="false" customHeight="false" outlineLevel="0" collapsed="false">
      <c r="A412" s="30"/>
      <c r="B412" s="20"/>
      <c r="C412" s="20"/>
      <c r="D412" s="20"/>
      <c r="E412" s="20"/>
      <c r="F412" s="20"/>
      <c r="G412" s="20"/>
      <c r="H412" s="20"/>
      <c r="I412" s="20"/>
      <c r="J412" s="20"/>
    </row>
    <row r="413" customFormat="false" ht="15" hidden="false" customHeight="false" outlineLevel="0" collapsed="false">
      <c r="A413" s="30"/>
      <c r="B413" s="20"/>
      <c r="C413" s="20"/>
      <c r="D413" s="20"/>
      <c r="E413" s="20"/>
      <c r="F413" s="20"/>
      <c r="G413" s="20"/>
      <c r="H413" s="20"/>
      <c r="I413" s="20"/>
      <c r="J413" s="20"/>
    </row>
    <row r="414" customFormat="false" ht="15" hidden="false" customHeight="false" outlineLevel="0" collapsed="false">
      <c r="A414" s="30"/>
      <c r="B414" s="20"/>
      <c r="C414" s="20"/>
      <c r="D414" s="20"/>
      <c r="E414" s="20"/>
      <c r="F414" s="20"/>
      <c r="G414" s="20"/>
      <c r="H414" s="20"/>
      <c r="I414" s="20"/>
      <c r="J414" s="20"/>
    </row>
    <row r="415" customFormat="false" ht="15" hidden="false" customHeight="false" outlineLevel="0" collapsed="false">
      <c r="A415" s="30"/>
      <c r="B415" s="20"/>
      <c r="C415" s="20"/>
      <c r="D415" s="20"/>
      <c r="E415" s="20"/>
      <c r="F415" s="20"/>
      <c r="G415" s="20"/>
      <c r="H415" s="20"/>
      <c r="I415" s="20"/>
      <c r="J415" s="20"/>
    </row>
    <row r="416" customFormat="false" ht="15" hidden="false" customHeight="false" outlineLevel="0" collapsed="false">
      <c r="A416" s="30"/>
      <c r="B416" s="20"/>
      <c r="C416" s="20"/>
      <c r="D416" s="20"/>
      <c r="E416" s="20"/>
      <c r="F416" s="20"/>
      <c r="G416" s="20"/>
      <c r="H416" s="20"/>
      <c r="I416" s="20"/>
      <c r="J416" s="20"/>
    </row>
    <row r="417" customFormat="false" ht="15" hidden="false" customHeight="false" outlineLevel="0" collapsed="false">
      <c r="A417" s="30"/>
      <c r="B417" s="20"/>
      <c r="C417" s="20"/>
      <c r="D417" s="20"/>
      <c r="E417" s="20"/>
      <c r="F417" s="20"/>
      <c r="G417" s="20"/>
      <c r="H417" s="20"/>
      <c r="I417" s="20"/>
      <c r="J417" s="20"/>
    </row>
    <row r="418" customFormat="false" ht="15" hidden="false" customHeight="false" outlineLevel="0" collapsed="false">
      <c r="A418" s="30"/>
      <c r="B418" s="20"/>
      <c r="C418" s="20"/>
      <c r="D418" s="20"/>
      <c r="E418" s="20"/>
      <c r="F418" s="20"/>
      <c r="G418" s="20"/>
      <c r="H418" s="20"/>
      <c r="I418" s="20"/>
      <c r="J418" s="20"/>
    </row>
    <row r="419" customFormat="false" ht="15" hidden="false" customHeight="false" outlineLevel="0" collapsed="false">
      <c r="A419" s="30"/>
      <c r="B419" s="20"/>
      <c r="C419" s="20"/>
      <c r="D419" s="20"/>
      <c r="E419" s="20"/>
      <c r="F419" s="20"/>
      <c r="G419" s="20"/>
      <c r="H419" s="20"/>
      <c r="I419" s="20"/>
      <c r="J419" s="20"/>
    </row>
    <row r="420" customFormat="false" ht="15" hidden="false" customHeight="false" outlineLevel="0" collapsed="false">
      <c r="A420" s="30"/>
      <c r="B420" s="20"/>
      <c r="C420" s="20"/>
      <c r="D420" s="20"/>
      <c r="E420" s="20"/>
      <c r="F420" s="20"/>
      <c r="G420" s="20"/>
      <c r="H420" s="20"/>
      <c r="I420" s="20"/>
      <c r="J420" s="20"/>
    </row>
    <row r="421" customFormat="false" ht="15" hidden="false" customHeight="false" outlineLevel="0" collapsed="false">
      <c r="A421" s="30"/>
      <c r="B421" s="20"/>
      <c r="C421" s="20"/>
      <c r="D421" s="20"/>
      <c r="E421" s="20"/>
      <c r="F421" s="20"/>
      <c r="G421" s="20"/>
      <c r="H421" s="20"/>
      <c r="I421" s="20"/>
      <c r="J421" s="20"/>
    </row>
    <row r="422" customFormat="false" ht="15" hidden="false" customHeight="false" outlineLevel="0" collapsed="false">
      <c r="A422" s="30"/>
      <c r="B422" s="20"/>
      <c r="C422" s="20"/>
      <c r="D422" s="20"/>
      <c r="E422" s="20"/>
      <c r="F422" s="20"/>
      <c r="G422" s="20"/>
      <c r="H422" s="20"/>
      <c r="I422" s="20"/>
      <c r="J422" s="20"/>
    </row>
    <row r="423" customFormat="false" ht="15" hidden="false" customHeight="false" outlineLevel="0" collapsed="false">
      <c r="A423" s="30"/>
      <c r="B423" s="20"/>
      <c r="C423" s="20"/>
      <c r="D423" s="20"/>
      <c r="E423" s="20"/>
      <c r="F423" s="20"/>
      <c r="G423" s="20"/>
      <c r="H423" s="20"/>
      <c r="I423" s="20"/>
      <c r="J423" s="20"/>
    </row>
    <row r="424" customFormat="false" ht="15" hidden="false" customHeight="false" outlineLevel="0" collapsed="false">
      <c r="A424" s="30"/>
      <c r="B424" s="20"/>
      <c r="C424" s="20"/>
      <c r="D424" s="20"/>
      <c r="E424" s="20"/>
      <c r="F424" s="20"/>
      <c r="G424" s="20"/>
      <c r="H424" s="20"/>
      <c r="I424" s="20"/>
      <c r="J424" s="20"/>
    </row>
    <row r="425" customFormat="false" ht="15" hidden="false" customHeight="false" outlineLevel="0" collapsed="false">
      <c r="A425" s="30"/>
      <c r="B425" s="20"/>
      <c r="C425" s="20"/>
      <c r="D425" s="20"/>
      <c r="E425" s="20"/>
      <c r="F425" s="20"/>
      <c r="G425" s="20"/>
      <c r="H425" s="20"/>
      <c r="I425" s="20"/>
      <c r="J425" s="20"/>
    </row>
    <row r="426" customFormat="false" ht="15" hidden="false" customHeight="false" outlineLevel="0" collapsed="false">
      <c r="A426" s="30"/>
      <c r="B426" s="20"/>
      <c r="C426" s="20"/>
      <c r="D426" s="20"/>
      <c r="E426" s="20"/>
      <c r="F426" s="20"/>
      <c r="G426" s="20"/>
      <c r="H426" s="20"/>
      <c r="I426" s="20"/>
      <c r="J426" s="20"/>
    </row>
    <row r="427" customFormat="false" ht="15" hidden="false" customHeight="false" outlineLevel="0" collapsed="false">
      <c r="A427" s="30"/>
      <c r="B427" s="20"/>
      <c r="C427" s="20"/>
      <c r="D427" s="20"/>
      <c r="E427" s="20"/>
      <c r="F427" s="20"/>
      <c r="G427" s="20"/>
      <c r="H427" s="20"/>
      <c r="I427" s="20"/>
      <c r="J427" s="20"/>
    </row>
    <row r="428" customFormat="false" ht="15" hidden="false" customHeight="false" outlineLevel="0" collapsed="false">
      <c r="A428" s="30"/>
      <c r="B428" s="20"/>
      <c r="C428" s="20"/>
      <c r="D428" s="20"/>
      <c r="E428" s="20"/>
      <c r="F428" s="20"/>
      <c r="G428" s="20"/>
      <c r="H428" s="20"/>
      <c r="I428" s="20"/>
      <c r="J428" s="20"/>
    </row>
    <row r="429" customFormat="false" ht="15" hidden="false" customHeight="false" outlineLevel="0" collapsed="false">
      <c r="A429" s="30"/>
      <c r="B429" s="20"/>
      <c r="C429" s="20"/>
      <c r="D429" s="20"/>
      <c r="E429" s="20"/>
      <c r="F429" s="20"/>
      <c r="G429" s="20"/>
      <c r="H429" s="20"/>
      <c r="I429" s="20"/>
      <c r="J429" s="20"/>
    </row>
    <row r="430" customFormat="false" ht="15" hidden="false" customHeight="false" outlineLevel="0" collapsed="false">
      <c r="A430" s="30"/>
      <c r="B430" s="20"/>
      <c r="C430" s="20"/>
      <c r="D430" s="20"/>
      <c r="E430" s="20"/>
      <c r="F430" s="20"/>
      <c r="G430" s="20"/>
      <c r="H430" s="20"/>
      <c r="I430" s="20"/>
      <c r="J430" s="20"/>
    </row>
    <row r="431" customFormat="false" ht="15" hidden="false" customHeight="false" outlineLevel="0" collapsed="false">
      <c r="A431" s="30"/>
      <c r="B431" s="20"/>
      <c r="C431" s="20"/>
      <c r="D431" s="20"/>
      <c r="E431" s="20"/>
      <c r="F431" s="20"/>
      <c r="G431" s="20"/>
      <c r="H431" s="20"/>
      <c r="I431" s="20"/>
      <c r="J431" s="20"/>
    </row>
    <row r="432" customFormat="false" ht="15" hidden="false" customHeight="false" outlineLevel="0" collapsed="false">
      <c r="A432" s="30"/>
      <c r="B432" s="20"/>
      <c r="C432" s="20"/>
      <c r="D432" s="20"/>
      <c r="E432" s="20"/>
      <c r="F432" s="20"/>
      <c r="G432" s="20"/>
      <c r="H432" s="20"/>
      <c r="I432" s="20"/>
      <c r="J432" s="20"/>
    </row>
    <row r="433" customFormat="false" ht="15" hidden="false" customHeight="false" outlineLevel="0" collapsed="false">
      <c r="A433" s="30"/>
      <c r="B433" s="20"/>
      <c r="C433" s="20"/>
      <c r="D433" s="20"/>
      <c r="E433" s="20"/>
      <c r="F433" s="20"/>
      <c r="G433" s="20"/>
      <c r="H433" s="20"/>
      <c r="I433" s="20"/>
      <c r="J433" s="20"/>
    </row>
    <row r="434" customFormat="false" ht="15" hidden="false" customHeight="false" outlineLevel="0" collapsed="false">
      <c r="A434" s="30"/>
      <c r="B434" s="20"/>
      <c r="C434" s="20"/>
      <c r="D434" s="20"/>
      <c r="E434" s="20"/>
      <c r="F434" s="20"/>
      <c r="G434" s="20"/>
      <c r="H434" s="20"/>
      <c r="I434" s="20"/>
      <c r="J434" s="20"/>
    </row>
    <row r="435" customFormat="false" ht="15" hidden="false" customHeight="false" outlineLevel="0" collapsed="false">
      <c r="A435" s="30"/>
      <c r="B435" s="20"/>
      <c r="C435" s="20"/>
      <c r="D435" s="20"/>
      <c r="E435" s="20"/>
      <c r="F435" s="20"/>
      <c r="G435" s="20"/>
      <c r="H435" s="20"/>
      <c r="I435" s="20"/>
      <c r="J435" s="20"/>
    </row>
    <row r="436" customFormat="false" ht="15" hidden="false" customHeight="false" outlineLevel="0" collapsed="false">
      <c r="A436" s="30"/>
      <c r="B436" s="20"/>
      <c r="C436" s="20"/>
      <c r="D436" s="20"/>
      <c r="E436" s="20"/>
      <c r="F436" s="20"/>
      <c r="G436" s="20"/>
      <c r="H436" s="20"/>
      <c r="I436" s="20"/>
      <c r="J436" s="20"/>
    </row>
    <row r="437" customFormat="false" ht="15" hidden="false" customHeight="false" outlineLevel="0" collapsed="false">
      <c r="A437" s="30"/>
      <c r="B437" s="20"/>
      <c r="C437" s="20"/>
      <c r="D437" s="20"/>
      <c r="E437" s="20"/>
      <c r="F437" s="20"/>
      <c r="G437" s="20"/>
      <c r="H437" s="20"/>
      <c r="I437" s="20"/>
      <c r="J437" s="20"/>
    </row>
    <row r="438" customFormat="false" ht="15" hidden="false" customHeight="false" outlineLevel="0" collapsed="false">
      <c r="A438" s="30"/>
      <c r="B438" s="20"/>
      <c r="C438" s="20"/>
      <c r="D438" s="20"/>
      <c r="E438" s="20"/>
      <c r="F438" s="20"/>
      <c r="G438" s="20"/>
      <c r="H438" s="20"/>
      <c r="I438" s="20"/>
      <c r="J438" s="20"/>
    </row>
    <row r="439" customFormat="false" ht="15" hidden="false" customHeight="false" outlineLevel="0" collapsed="false">
      <c r="A439" s="30"/>
      <c r="B439" s="20"/>
      <c r="C439" s="20"/>
      <c r="D439" s="20"/>
      <c r="E439" s="20"/>
      <c r="F439" s="20"/>
      <c r="G439" s="20"/>
      <c r="H439" s="20"/>
      <c r="I439" s="20"/>
      <c r="J439" s="20"/>
    </row>
    <row r="440" customFormat="false" ht="15" hidden="false" customHeight="false" outlineLevel="0" collapsed="false">
      <c r="A440" s="30"/>
      <c r="B440" s="20"/>
      <c r="C440" s="20"/>
      <c r="D440" s="20"/>
      <c r="E440" s="20"/>
      <c r="F440" s="20"/>
      <c r="G440" s="20"/>
      <c r="H440" s="20"/>
      <c r="I440" s="20"/>
      <c r="J440" s="20"/>
    </row>
    <row r="441" customFormat="false" ht="15" hidden="false" customHeight="false" outlineLevel="0" collapsed="false">
      <c r="A441" s="30"/>
      <c r="B441" s="20"/>
      <c r="C441" s="20"/>
      <c r="D441" s="20"/>
      <c r="E441" s="20"/>
      <c r="F441" s="20"/>
      <c r="G441" s="20"/>
      <c r="H441" s="20"/>
      <c r="I441" s="20"/>
      <c r="J441" s="20"/>
    </row>
    <row r="442" customFormat="false" ht="15" hidden="false" customHeight="false" outlineLevel="0" collapsed="false">
      <c r="A442" s="30"/>
      <c r="B442" s="20"/>
      <c r="C442" s="20"/>
      <c r="D442" s="20"/>
      <c r="E442" s="20"/>
      <c r="F442" s="20"/>
      <c r="G442" s="20"/>
      <c r="H442" s="20"/>
      <c r="I442" s="20"/>
      <c r="J442" s="20"/>
    </row>
    <row r="443" customFormat="false" ht="15" hidden="false" customHeight="false" outlineLevel="0" collapsed="false">
      <c r="A443" s="30"/>
      <c r="B443" s="20"/>
      <c r="C443" s="20"/>
      <c r="D443" s="20"/>
      <c r="E443" s="20"/>
      <c r="F443" s="20"/>
      <c r="G443" s="20"/>
      <c r="H443" s="20"/>
      <c r="I443" s="20"/>
      <c r="J443" s="20"/>
    </row>
    <row r="444" customFormat="false" ht="15" hidden="false" customHeight="false" outlineLevel="0" collapsed="false">
      <c r="A444" s="30"/>
      <c r="B444" s="20"/>
      <c r="C444" s="20"/>
      <c r="D444" s="20"/>
      <c r="E444" s="20"/>
      <c r="F444" s="20"/>
      <c r="G444" s="20"/>
      <c r="H444" s="20"/>
      <c r="I444" s="20"/>
      <c r="J444" s="20"/>
    </row>
    <row r="445" customFormat="false" ht="15" hidden="false" customHeight="false" outlineLevel="0" collapsed="false">
      <c r="A445" s="30"/>
      <c r="B445" s="20"/>
      <c r="C445" s="20"/>
      <c r="D445" s="20"/>
      <c r="E445" s="20"/>
      <c r="F445" s="20"/>
      <c r="G445" s="20"/>
      <c r="H445" s="20"/>
      <c r="I445" s="20"/>
      <c r="J445" s="20"/>
    </row>
    <row r="446" customFormat="false" ht="15" hidden="false" customHeight="false" outlineLevel="0" collapsed="false">
      <c r="A446" s="30"/>
      <c r="B446" s="20"/>
      <c r="C446" s="20"/>
      <c r="D446" s="20"/>
      <c r="E446" s="20"/>
      <c r="F446" s="20"/>
      <c r="G446" s="20"/>
      <c r="H446" s="20"/>
      <c r="I446" s="20"/>
      <c r="J446" s="20"/>
    </row>
    <row r="447" customFormat="false" ht="15" hidden="false" customHeight="false" outlineLevel="0" collapsed="false">
      <c r="A447" s="30"/>
      <c r="B447" s="20"/>
      <c r="C447" s="20"/>
      <c r="D447" s="20"/>
      <c r="E447" s="20"/>
      <c r="F447" s="20"/>
      <c r="G447" s="20"/>
      <c r="H447" s="20"/>
      <c r="I447" s="20"/>
      <c r="J447" s="20"/>
    </row>
    <row r="448" customFormat="false" ht="15" hidden="false" customHeight="false" outlineLevel="0" collapsed="false">
      <c r="A448" s="30"/>
      <c r="B448" s="20"/>
      <c r="C448" s="20"/>
      <c r="D448" s="20"/>
      <c r="E448" s="20"/>
      <c r="F448" s="20"/>
      <c r="G448" s="20"/>
      <c r="H448" s="20"/>
      <c r="I448" s="20"/>
      <c r="J448" s="20"/>
    </row>
    <row r="449" customFormat="false" ht="15" hidden="false" customHeight="false" outlineLevel="0" collapsed="false">
      <c r="A449" s="30"/>
      <c r="B449" s="20"/>
      <c r="C449" s="20"/>
      <c r="D449" s="20"/>
      <c r="E449" s="20"/>
      <c r="F449" s="20"/>
      <c r="G449" s="20"/>
      <c r="H449" s="20"/>
      <c r="I449" s="20"/>
      <c r="J449" s="20"/>
    </row>
    <row r="450" customFormat="false" ht="15" hidden="false" customHeight="false" outlineLevel="0" collapsed="false">
      <c r="A450" s="30"/>
      <c r="B450" s="20"/>
      <c r="C450" s="20"/>
      <c r="D450" s="20"/>
      <c r="E450" s="20"/>
      <c r="F450" s="20"/>
      <c r="G450" s="20"/>
      <c r="H450" s="20"/>
      <c r="I450" s="20"/>
      <c r="J450" s="20"/>
    </row>
    <row r="451" customFormat="false" ht="15" hidden="false" customHeight="false" outlineLevel="0" collapsed="false">
      <c r="A451" s="30"/>
      <c r="B451" s="20"/>
      <c r="C451" s="20"/>
      <c r="D451" s="20"/>
      <c r="E451" s="20"/>
      <c r="F451" s="20"/>
      <c r="G451" s="20"/>
      <c r="H451" s="20"/>
      <c r="I451" s="20"/>
      <c r="J451" s="20"/>
    </row>
    <row r="452" customFormat="false" ht="15" hidden="false" customHeight="false" outlineLevel="0" collapsed="false">
      <c r="A452" s="30"/>
      <c r="B452" s="20"/>
      <c r="C452" s="20"/>
      <c r="D452" s="20"/>
      <c r="E452" s="20"/>
      <c r="F452" s="20"/>
      <c r="G452" s="20"/>
      <c r="H452" s="20"/>
      <c r="I452" s="20"/>
      <c r="J452" s="20"/>
    </row>
    <row r="453" customFormat="false" ht="15" hidden="false" customHeight="false" outlineLevel="0" collapsed="false">
      <c r="A453" s="30"/>
      <c r="B453" s="20"/>
      <c r="C453" s="20"/>
      <c r="D453" s="20"/>
      <c r="E453" s="20"/>
      <c r="F453" s="20"/>
      <c r="G453" s="20"/>
      <c r="H453" s="20"/>
      <c r="I453" s="20"/>
      <c r="J453" s="20"/>
    </row>
    <row r="454" customFormat="false" ht="15" hidden="false" customHeight="false" outlineLevel="0" collapsed="false">
      <c r="A454" s="30"/>
      <c r="B454" s="20"/>
      <c r="C454" s="20"/>
      <c r="D454" s="20"/>
      <c r="E454" s="20"/>
      <c r="F454" s="20"/>
      <c r="G454" s="20"/>
      <c r="H454" s="20"/>
      <c r="I454" s="20"/>
      <c r="J454" s="20"/>
    </row>
    <row r="455" customFormat="false" ht="15" hidden="false" customHeight="false" outlineLevel="0" collapsed="false">
      <c r="A455" s="30"/>
      <c r="B455" s="20"/>
      <c r="C455" s="20"/>
      <c r="D455" s="20"/>
      <c r="E455" s="20"/>
      <c r="F455" s="20"/>
      <c r="G455" s="20"/>
      <c r="H455" s="20"/>
      <c r="I455" s="20"/>
      <c r="J455" s="20"/>
    </row>
    <row r="456" customFormat="false" ht="15" hidden="false" customHeight="false" outlineLevel="0" collapsed="false">
      <c r="A456" s="30"/>
      <c r="B456" s="20"/>
      <c r="C456" s="20"/>
      <c r="D456" s="20"/>
      <c r="E456" s="20"/>
      <c r="F456" s="20"/>
      <c r="G456" s="20"/>
      <c r="H456" s="20"/>
      <c r="I456" s="20"/>
      <c r="J456" s="20"/>
    </row>
    <row r="457" customFormat="false" ht="15" hidden="false" customHeight="false" outlineLevel="0" collapsed="false">
      <c r="A457" s="30"/>
      <c r="B457" s="20"/>
      <c r="C457" s="20"/>
      <c r="D457" s="20"/>
      <c r="E457" s="20"/>
      <c r="F457" s="20"/>
      <c r="G457" s="20"/>
      <c r="H457" s="20"/>
      <c r="I457" s="20"/>
      <c r="J457" s="20"/>
    </row>
    <row r="458" customFormat="false" ht="15" hidden="false" customHeight="false" outlineLevel="0" collapsed="false">
      <c r="A458" s="30"/>
      <c r="B458" s="20"/>
      <c r="C458" s="20"/>
      <c r="D458" s="20"/>
      <c r="E458" s="20"/>
      <c r="F458" s="20"/>
      <c r="G458" s="20"/>
      <c r="H458" s="20"/>
      <c r="I458" s="20"/>
      <c r="J458" s="20"/>
    </row>
    <row r="459" customFormat="false" ht="15" hidden="false" customHeight="false" outlineLevel="0" collapsed="false">
      <c r="A459" s="30"/>
      <c r="B459" s="20"/>
      <c r="C459" s="20"/>
      <c r="D459" s="20"/>
      <c r="E459" s="20"/>
      <c r="F459" s="20"/>
      <c r="G459" s="20"/>
      <c r="H459" s="20"/>
      <c r="I459" s="20"/>
      <c r="J459" s="20"/>
    </row>
    <row r="460" customFormat="false" ht="15" hidden="false" customHeight="false" outlineLevel="0" collapsed="false">
      <c r="A460" s="30"/>
      <c r="B460" s="20"/>
      <c r="C460" s="20"/>
      <c r="D460" s="20"/>
      <c r="E460" s="20"/>
      <c r="F460" s="20"/>
      <c r="G460" s="20"/>
      <c r="H460" s="20"/>
      <c r="I460" s="20"/>
      <c r="J460" s="20"/>
    </row>
    <row r="461" customFormat="false" ht="15" hidden="false" customHeight="false" outlineLevel="0" collapsed="false">
      <c r="A461" s="30"/>
      <c r="B461" s="20"/>
      <c r="C461" s="20"/>
      <c r="D461" s="20"/>
      <c r="E461" s="20"/>
      <c r="F461" s="20"/>
      <c r="G461" s="20"/>
      <c r="H461" s="20"/>
      <c r="I461" s="20"/>
      <c r="J461" s="20"/>
    </row>
    <row r="462" customFormat="false" ht="15" hidden="false" customHeight="false" outlineLevel="0" collapsed="false">
      <c r="A462" s="30"/>
      <c r="B462" s="20"/>
      <c r="C462" s="20"/>
      <c r="D462" s="20"/>
      <c r="E462" s="20"/>
      <c r="F462" s="20"/>
      <c r="G462" s="20"/>
      <c r="H462" s="20"/>
      <c r="I462" s="20"/>
      <c r="J462" s="20"/>
    </row>
    <row r="463" customFormat="false" ht="15" hidden="false" customHeight="false" outlineLevel="0" collapsed="false">
      <c r="A463" s="30"/>
      <c r="B463" s="20"/>
      <c r="C463" s="20"/>
      <c r="D463" s="20"/>
      <c r="E463" s="20"/>
      <c r="F463" s="20"/>
      <c r="G463" s="20"/>
      <c r="H463" s="20"/>
      <c r="I463" s="20"/>
      <c r="J463" s="20"/>
    </row>
    <row r="464" customFormat="false" ht="15" hidden="false" customHeight="false" outlineLevel="0" collapsed="false">
      <c r="A464" s="30"/>
      <c r="B464" s="20"/>
      <c r="C464" s="20"/>
      <c r="D464" s="20"/>
      <c r="E464" s="20"/>
      <c r="F464" s="20"/>
      <c r="G464" s="20"/>
      <c r="H464" s="20"/>
      <c r="I464" s="20"/>
      <c r="J464" s="20"/>
    </row>
    <row r="465" customFormat="false" ht="15" hidden="false" customHeight="false" outlineLevel="0" collapsed="false">
      <c r="A465" s="30"/>
      <c r="B465" s="20"/>
      <c r="C465" s="20"/>
      <c r="D465" s="20"/>
      <c r="E465" s="20"/>
      <c r="F465" s="20"/>
      <c r="G465" s="20"/>
      <c r="H465" s="20"/>
      <c r="I465" s="20"/>
      <c r="J465" s="20"/>
    </row>
    <row r="466" customFormat="false" ht="15" hidden="false" customHeight="false" outlineLevel="0" collapsed="false">
      <c r="A466" s="30"/>
      <c r="B466" s="20"/>
      <c r="C466" s="20"/>
      <c r="D466" s="20"/>
      <c r="E466" s="20"/>
      <c r="F466" s="20"/>
      <c r="G466" s="20"/>
      <c r="H466" s="20"/>
      <c r="I466" s="20"/>
      <c r="J466" s="20"/>
    </row>
    <row r="467" customFormat="false" ht="15" hidden="false" customHeight="false" outlineLevel="0" collapsed="false">
      <c r="A467" s="30"/>
      <c r="B467" s="20"/>
      <c r="C467" s="20"/>
      <c r="D467" s="20"/>
      <c r="E467" s="20"/>
      <c r="F467" s="20"/>
      <c r="G467" s="20"/>
      <c r="H467" s="20"/>
      <c r="I467" s="20"/>
      <c r="J467" s="20"/>
    </row>
    <row r="468" customFormat="false" ht="15" hidden="false" customHeight="false" outlineLevel="0" collapsed="false">
      <c r="A468" s="30"/>
      <c r="B468" s="20"/>
      <c r="C468" s="20"/>
      <c r="D468" s="20"/>
      <c r="E468" s="20"/>
      <c r="F468" s="20"/>
      <c r="G468" s="20"/>
      <c r="H468" s="20"/>
      <c r="I468" s="20"/>
      <c r="J468" s="20"/>
    </row>
    <row r="469" customFormat="false" ht="15" hidden="false" customHeight="false" outlineLevel="0" collapsed="false">
      <c r="A469" s="30"/>
      <c r="B469" s="20"/>
      <c r="C469" s="20"/>
      <c r="D469" s="20"/>
      <c r="E469" s="20"/>
      <c r="F469" s="20"/>
      <c r="G469" s="20"/>
      <c r="H469" s="20"/>
      <c r="I469" s="20"/>
      <c r="J469" s="20"/>
    </row>
    <row r="470" customFormat="false" ht="15" hidden="false" customHeight="false" outlineLevel="0" collapsed="false">
      <c r="A470" s="30"/>
      <c r="B470" s="20"/>
      <c r="C470" s="20"/>
      <c r="D470" s="20"/>
      <c r="E470" s="20"/>
      <c r="F470" s="20"/>
      <c r="G470" s="20"/>
      <c r="H470" s="20"/>
      <c r="I470" s="20"/>
      <c r="J470" s="20"/>
    </row>
    <row r="471" customFormat="false" ht="15" hidden="false" customHeight="false" outlineLevel="0" collapsed="false">
      <c r="A471" s="30"/>
      <c r="B471" s="20"/>
      <c r="C471" s="20"/>
      <c r="D471" s="20"/>
      <c r="E471" s="20"/>
      <c r="F471" s="20"/>
      <c r="G471" s="20"/>
      <c r="H471" s="20"/>
      <c r="I471" s="20"/>
      <c r="J471" s="20"/>
    </row>
    <row r="472" customFormat="false" ht="15" hidden="false" customHeight="false" outlineLevel="0" collapsed="false">
      <c r="A472" s="30"/>
      <c r="B472" s="20"/>
      <c r="C472" s="20"/>
      <c r="D472" s="20"/>
      <c r="E472" s="20"/>
      <c r="F472" s="20"/>
      <c r="G472" s="20"/>
      <c r="H472" s="20"/>
      <c r="I472" s="20"/>
      <c r="J472" s="20"/>
    </row>
    <row r="473" customFormat="false" ht="15" hidden="false" customHeight="false" outlineLevel="0" collapsed="false">
      <c r="A473" s="30"/>
      <c r="B473" s="20"/>
      <c r="C473" s="20"/>
      <c r="D473" s="20"/>
      <c r="E473" s="20"/>
      <c r="F473" s="20"/>
      <c r="G473" s="20"/>
      <c r="H473" s="20"/>
      <c r="I473" s="20"/>
      <c r="J473" s="20"/>
    </row>
    <row r="474" customFormat="false" ht="15" hidden="false" customHeight="false" outlineLevel="0" collapsed="false">
      <c r="A474" s="30"/>
      <c r="B474" s="20"/>
      <c r="C474" s="20"/>
      <c r="D474" s="20"/>
      <c r="E474" s="20"/>
      <c r="F474" s="20"/>
      <c r="G474" s="20"/>
      <c r="H474" s="20"/>
      <c r="I474" s="20"/>
      <c r="J474" s="20"/>
    </row>
    <row r="475" customFormat="false" ht="15" hidden="false" customHeight="false" outlineLevel="0" collapsed="false">
      <c r="A475" s="30"/>
      <c r="B475" s="20"/>
      <c r="C475" s="20"/>
      <c r="D475" s="20"/>
      <c r="E475" s="20"/>
      <c r="F475" s="20"/>
      <c r="G475" s="20"/>
      <c r="H475" s="20"/>
      <c r="I475" s="20"/>
      <c r="J475" s="20"/>
    </row>
    <row r="476" customFormat="false" ht="15" hidden="false" customHeight="false" outlineLevel="0" collapsed="false">
      <c r="A476" s="30"/>
      <c r="B476" s="20"/>
      <c r="C476" s="20"/>
      <c r="D476" s="20"/>
      <c r="E476" s="20"/>
      <c r="F476" s="20"/>
      <c r="G476" s="20"/>
      <c r="H476" s="20"/>
      <c r="I476" s="20"/>
      <c r="J476" s="20"/>
    </row>
    <row r="477" customFormat="false" ht="15" hidden="false" customHeight="false" outlineLevel="0" collapsed="false">
      <c r="A477" s="30"/>
      <c r="B477" s="20"/>
      <c r="C477" s="20"/>
      <c r="D477" s="20"/>
      <c r="E477" s="20"/>
      <c r="F477" s="20"/>
      <c r="G477" s="20"/>
      <c r="H477" s="20"/>
      <c r="I477" s="20"/>
      <c r="J477" s="20"/>
    </row>
    <row r="478" customFormat="false" ht="15" hidden="false" customHeight="false" outlineLevel="0" collapsed="false">
      <c r="A478" s="30"/>
      <c r="B478" s="20"/>
      <c r="C478" s="20"/>
      <c r="D478" s="20"/>
      <c r="E478" s="20"/>
      <c r="F478" s="20"/>
      <c r="G478" s="20"/>
      <c r="H478" s="20"/>
      <c r="I478" s="20"/>
      <c r="J478" s="20"/>
    </row>
    <row r="479" customFormat="false" ht="15" hidden="false" customHeight="false" outlineLevel="0" collapsed="false">
      <c r="A479" s="30"/>
      <c r="B479" s="20"/>
      <c r="C479" s="20"/>
      <c r="D479" s="20"/>
      <c r="E479" s="20"/>
      <c r="F479" s="20"/>
      <c r="G479" s="20"/>
      <c r="H479" s="20"/>
      <c r="I479" s="20"/>
      <c r="J479" s="20"/>
    </row>
    <row r="480" customFormat="false" ht="15" hidden="false" customHeight="false" outlineLevel="0" collapsed="false">
      <c r="A480" s="30"/>
      <c r="B480" s="20"/>
      <c r="C480" s="20"/>
      <c r="D480" s="20"/>
      <c r="E480" s="20"/>
      <c r="F480" s="20"/>
      <c r="G480" s="20"/>
      <c r="H480" s="20"/>
      <c r="I480" s="20"/>
      <c r="J480" s="20"/>
    </row>
    <row r="481" customFormat="false" ht="15" hidden="false" customHeight="false" outlineLevel="0" collapsed="false">
      <c r="A481" s="30"/>
      <c r="B481" s="20"/>
      <c r="C481" s="20"/>
      <c r="D481" s="20"/>
      <c r="E481" s="20"/>
      <c r="F481" s="20"/>
      <c r="G481" s="20"/>
      <c r="H481" s="20"/>
      <c r="I481" s="20"/>
      <c r="J481" s="20"/>
    </row>
    <row r="482" customFormat="false" ht="15" hidden="false" customHeight="false" outlineLevel="0" collapsed="false">
      <c r="A482" s="30"/>
      <c r="B482" s="20"/>
      <c r="C482" s="20"/>
      <c r="D482" s="20"/>
      <c r="E482" s="20"/>
      <c r="F482" s="20"/>
      <c r="G482" s="20"/>
      <c r="H482" s="20"/>
      <c r="I482" s="20"/>
      <c r="J482" s="20"/>
    </row>
    <row r="483" customFormat="false" ht="15" hidden="false" customHeight="false" outlineLevel="0" collapsed="false">
      <c r="A483" s="30"/>
      <c r="B483" s="20"/>
      <c r="C483" s="20"/>
      <c r="D483" s="20"/>
      <c r="E483" s="20"/>
      <c r="F483" s="20"/>
      <c r="G483" s="20"/>
      <c r="H483" s="20"/>
      <c r="I483" s="20"/>
      <c r="J483" s="20"/>
    </row>
    <row r="484" customFormat="false" ht="15" hidden="false" customHeight="false" outlineLevel="0" collapsed="false">
      <c r="A484" s="30"/>
      <c r="B484" s="20"/>
      <c r="C484" s="20"/>
      <c r="D484" s="20"/>
      <c r="E484" s="20"/>
      <c r="F484" s="20"/>
      <c r="G484" s="20"/>
      <c r="H484" s="20"/>
      <c r="I484" s="20"/>
      <c r="J484" s="20"/>
    </row>
    <row r="485" customFormat="false" ht="15" hidden="false" customHeight="false" outlineLevel="0" collapsed="false">
      <c r="A485" s="30"/>
      <c r="B485" s="20"/>
      <c r="C485" s="20"/>
      <c r="D485" s="20"/>
      <c r="E485" s="20"/>
      <c r="F485" s="20"/>
      <c r="G485" s="20"/>
      <c r="H485" s="20"/>
      <c r="I485" s="20"/>
      <c r="J485" s="20"/>
    </row>
    <row r="486" customFormat="false" ht="15" hidden="false" customHeight="false" outlineLevel="0" collapsed="false">
      <c r="A486" s="30"/>
      <c r="B486" s="20"/>
      <c r="C486" s="20"/>
      <c r="D486" s="20"/>
      <c r="E486" s="20"/>
      <c r="F486" s="20"/>
      <c r="G486" s="20"/>
      <c r="H486" s="20"/>
      <c r="I486" s="20"/>
      <c r="J486" s="20"/>
    </row>
    <row r="487" customFormat="false" ht="15" hidden="false" customHeight="false" outlineLevel="0" collapsed="false">
      <c r="A487" s="30"/>
      <c r="B487" s="20"/>
      <c r="C487" s="20"/>
      <c r="D487" s="20"/>
      <c r="E487" s="20"/>
      <c r="F487" s="20"/>
      <c r="G487" s="20"/>
      <c r="H487" s="20"/>
      <c r="I487" s="20"/>
      <c r="J487" s="20"/>
    </row>
    <row r="488" customFormat="false" ht="15" hidden="false" customHeight="false" outlineLevel="0" collapsed="false">
      <c r="A488" s="30"/>
      <c r="B488" s="20"/>
      <c r="C488" s="20"/>
      <c r="D488" s="20"/>
      <c r="E488" s="20"/>
      <c r="F488" s="20"/>
      <c r="G488" s="20"/>
      <c r="H488" s="20"/>
      <c r="I488" s="20"/>
      <c r="J488" s="20"/>
    </row>
    <row r="489" customFormat="false" ht="15" hidden="false" customHeight="false" outlineLevel="0" collapsed="false">
      <c r="A489" s="30"/>
      <c r="B489" s="20"/>
      <c r="C489" s="20"/>
      <c r="D489" s="20"/>
      <c r="E489" s="20"/>
      <c r="F489" s="20"/>
      <c r="G489" s="20"/>
      <c r="H489" s="20"/>
      <c r="I489" s="20"/>
      <c r="J489" s="20"/>
    </row>
    <row r="490" customFormat="false" ht="15" hidden="false" customHeight="false" outlineLevel="0" collapsed="false">
      <c r="A490" s="30"/>
      <c r="B490" s="20"/>
      <c r="C490" s="20"/>
      <c r="D490" s="20"/>
      <c r="E490" s="20"/>
      <c r="F490" s="20"/>
      <c r="G490" s="20"/>
      <c r="H490" s="20"/>
      <c r="I490" s="20"/>
      <c r="J490" s="20"/>
    </row>
    <row r="491" customFormat="false" ht="15" hidden="false" customHeight="false" outlineLevel="0" collapsed="false">
      <c r="A491" s="30"/>
      <c r="B491" s="20"/>
      <c r="C491" s="20"/>
      <c r="D491" s="20"/>
      <c r="E491" s="20"/>
      <c r="F491" s="20"/>
      <c r="G491" s="20"/>
      <c r="H491" s="20"/>
      <c r="I491" s="20"/>
      <c r="J491" s="20"/>
    </row>
    <row r="492" customFormat="false" ht="15" hidden="false" customHeight="false" outlineLevel="0" collapsed="false">
      <c r="A492" s="30"/>
      <c r="B492" s="20"/>
      <c r="C492" s="20"/>
      <c r="D492" s="20"/>
      <c r="E492" s="20"/>
      <c r="F492" s="20"/>
      <c r="G492" s="20"/>
      <c r="H492" s="20"/>
      <c r="I492" s="20"/>
      <c r="J492" s="20"/>
    </row>
    <row r="493" customFormat="false" ht="15" hidden="false" customHeight="false" outlineLevel="0" collapsed="false">
      <c r="A493" s="30"/>
      <c r="B493" s="20"/>
      <c r="C493" s="20"/>
      <c r="D493" s="20"/>
      <c r="E493" s="20"/>
      <c r="F493" s="20"/>
      <c r="G493" s="20"/>
      <c r="H493" s="20"/>
      <c r="I493" s="20"/>
      <c r="J493" s="20"/>
    </row>
    <row r="494" customFormat="false" ht="15" hidden="false" customHeight="false" outlineLevel="0" collapsed="false">
      <c r="A494" s="30"/>
      <c r="B494" s="20"/>
      <c r="C494" s="20"/>
      <c r="D494" s="20"/>
      <c r="E494" s="20"/>
      <c r="F494" s="20"/>
      <c r="G494" s="20"/>
      <c r="H494" s="20"/>
      <c r="I494" s="20"/>
      <c r="J494" s="20"/>
    </row>
    <row r="495" customFormat="false" ht="15" hidden="false" customHeight="false" outlineLevel="0" collapsed="false">
      <c r="A495" s="30"/>
      <c r="B495" s="20"/>
      <c r="C495" s="20"/>
      <c r="D495" s="20"/>
      <c r="E495" s="20"/>
      <c r="F495" s="20"/>
      <c r="G495" s="20"/>
      <c r="H495" s="20"/>
      <c r="I495" s="20"/>
      <c r="J495" s="20"/>
    </row>
    <row r="496" customFormat="false" ht="15" hidden="false" customHeight="false" outlineLevel="0" collapsed="false">
      <c r="A496" s="30"/>
      <c r="B496" s="20"/>
      <c r="C496" s="20"/>
      <c r="D496" s="20"/>
      <c r="E496" s="20"/>
      <c r="F496" s="20"/>
      <c r="G496" s="20"/>
      <c r="H496" s="20"/>
      <c r="I496" s="20"/>
      <c r="J496" s="20"/>
    </row>
    <row r="497" customFormat="false" ht="15" hidden="false" customHeight="false" outlineLevel="0" collapsed="false">
      <c r="A497" s="30"/>
      <c r="B497" s="20"/>
      <c r="C497" s="20"/>
      <c r="D497" s="20"/>
      <c r="E497" s="20"/>
      <c r="F497" s="20"/>
      <c r="G497" s="20"/>
      <c r="H497" s="20"/>
      <c r="I497" s="20"/>
      <c r="J497" s="20"/>
    </row>
    <row r="498" customFormat="false" ht="15" hidden="false" customHeight="false" outlineLevel="0" collapsed="false">
      <c r="A498" s="30"/>
      <c r="B498" s="20"/>
      <c r="C498" s="20"/>
      <c r="D498" s="20"/>
      <c r="E498" s="20"/>
      <c r="F498" s="20"/>
      <c r="G498" s="20"/>
      <c r="H498" s="20"/>
      <c r="I498" s="20"/>
      <c r="J498" s="20"/>
    </row>
    <row r="499" customFormat="false" ht="15" hidden="false" customHeight="false" outlineLevel="0" collapsed="false">
      <c r="A499" s="30"/>
      <c r="B499" s="20"/>
      <c r="C499" s="20"/>
      <c r="D499" s="20"/>
      <c r="E499" s="20"/>
      <c r="F499" s="20"/>
      <c r="G499" s="20"/>
      <c r="H499" s="20"/>
      <c r="I499" s="20"/>
      <c r="J499" s="20"/>
    </row>
    <row r="500" customFormat="false" ht="15" hidden="false" customHeight="false" outlineLevel="0" collapsed="false">
      <c r="A500" s="30"/>
      <c r="B500" s="20"/>
      <c r="C500" s="20"/>
      <c r="D500" s="20"/>
      <c r="E500" s="20"/>
      <c r="F500" s="20"/>
      <c r="G500" s="20"/>
      <c r="H500" s="20"/>
      <c r="I500" s="20"/>
      <c r="J500" s="20"/>
    </row>
    <row r="501" customFormat="false" ht="15" hidden="false" customHeight="false" outlineLevel="0" collapsed="false">
      <c r="A501" s="30"/>
      <c r="B501" s="20"/>
      <c r="C501" s="20"/>
      <c r="D501" s="20"/>
      <c r="E501" s="20"/>
      <c r="F501" s="20"/>
      <c r="G501" s="20"/>
      <c r="H501" s="20"/>
      <c r="I501" s="20"/>
      <c r="J501" s="20"/>
    </row>
    <row r="502" customFormat="false" ht="15" hidden="false" customHeight="false" outlineLevel="0" collapsed="false">
      <c r="A502" s="30"/>
      <c r="B502" s="20"/>
      <c r="C502" s="20"/>
      <c r="D502" s="20"/>
      <c r="E502" s="20"/>
      <c r="F502" s="20"/>
      <c r="G502" s="20"/>
      <c r="H502" s="20"/>
      <c r="I502" s="20"/>
      <c r="J502" s="20"/>
    </row>
    <row r="503" customFormat="false" ht="15" hidden="false" customHeight="false" outlineLevel="0" collapsed="false">
      <c r="A503" s="30"/>
      <c r="B503" s="20"/>
      <c r="C503" s="20"/>
      <c r="D503" s="20"/>
      <c r="E503" s="20"/>
      <c r="F503" s="20"/>
      <c r="G503" s="20"/>
      <c r="H503" s="20"/>
      <c r="I503" s="20"/>
      <c r="J503" s="20"/>
    </row>
    <row r="504" customFormat="false" ht="15" hidden="false" customHeight="false" outlineLevel="0" collapsed="false">
      <c r="A504" s="30"/>
      <c r="B504" s="20"/>
      <c r="C504" s="20"/>
      <c r="D504" s="20"/>
      <c r="E504" s="20"/>
      <c r="F504" s="20"/>
      <c r="G504" s="20"/>
      <c r="H504" s="20"/>
      <c r="I504" s="20"/>
      <c r="J504" s="20"/>
    </row>
  </sheetData>
  <autoFilter ref="A4:J504"/>
  <dataValidations count="2">
    <dataValidation allowBlank="true" errorStyle="stop" operator="between" showDropDown="false" showErrorMessage="false" showInputMessage="false" sqref="D5:D504" type="list">
      <formula1>"Google AI Overviews,ChatGPT Search,Microsoft Copilot,Perplexity,Gemini,Other"</formula1>
      <formula2>0</formula2>
    </dataValidation>
    <dataValidation allowBlank="true" errorStyle="stop" operator="between" showDropDown="false" showErrorMessage="false" showInputMessage="false" sqref="E5:E504 I5:I504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2"/>
    <col collapsed="false" customWidth="true" hidden="false" outlineLevel="0" max="3" min="3" style="0" width="12"/>
    <col collapsed="false" customWidth="true" hidden="false" outlineLevel="0" max="4" min="4" style="0" width="40"/>
    <col collapsed="false" customWidth="true" hidden="false" outlineLevel="0" max="5" min="5" style="0" width="44"/>
    <col collapsed="false" customWidth="true" hidden="false" outlineLevel="0" max="6" min="6" style="0" width="22"/>
    <col collapsed="false" customWidth="true" hidden="false" outlineLevel="0" max="8" min="7" style="0" width="9"/>
    <col collapsed="false" customWidth="true" hidden="false" outlineLevel="0" max="9" min="9" style="0" width="16"/>
    <col collapsed="false" customWidth="true" hidden="false" outlineLevel="0" max="10" min="10" style="0" width="10"/>
  </cols>
  <sheetData>
    <row r="1" customFormat="false" ht="19.7" hidden="false" customHeight="false" outlineLevel="0" collapsed="false">
      <c r="A1" s="1" t="s">
        <v>51</v>
      </c>
    </row>
    <row r="2" customFormat="false" ht="15" hidden="false" customHeight="false" outlineLevel="0" collapsed="false">
      <c r="A2" s="2" t="s">
        <v>598</v>
      </c>
    </row>
    <row r="4" customFormat="false" ht="31.5" hidden="false" customHeight="true" outlineLevel="0" collapsed="false">
      <c r="A4" s="9" t="s">
        <v>599</v>
      </c>
      <c r="B4" s="9" t="s">
        <v>600</v>
      </c>
      <c r="C4" s="9" t="s">
        <v>601</v>
      </c>
      <c r="D4" s="9" t="s">
        <v>602</v>
      </c>
      <c r="E4" s="9" t="s">
        <v>603</v>
      </c>
      <c r="F4" s="9" t="s">
        <v>604</v>
      </c>
      <c r="G4" s="9" t="s">
        <v>605</v>
      </c>
      <c r="H4" s="9" t="s">
        <v>606</v>
      </c>
      <c r="I4" s="9" t="s">
        <v>33</v>
      </c>
      <c r="J4" s="9" t="s">
        <v>420</v>
      </c>
    </row>
    <row r="5" customFormat="false" ht="23.85" hidden="false" customHeight="false" outlineLevel="0" collapsed="false">
      <c r="A5" s="20" t="s">
        <v>607</v>
      </c>
      <c r="B5" s="20" t="s">
        <v>608</v>
      </c>
      <c r="C5" s="20" t="s">
        <v>609</v>
      </c>
      <c r="D5" s="20" t="s">
        <v>610</v>
      </c>
      <c r="E5" s="20" t="s">
        <v>611</v>
      </c>
      <c r="F5" s="20"/>
      <c r="G5" s="20"/>
      <c r="H5" s="20"/>
      <c r="I5" s="20"/>
      <c r="J5" s="20"/>
    </row>
    <row r="6" customFormat="false" ht="15" hidden="false" customHeight="false" outlineLevel="0" collapsed="false">
      <c r="A6" s="20" t="s">
        <v>607</v>
      </c>
      <c r="B6" s="20" t="s">
        <v>612</v>
      </c>
      <c r="C6" s="20" t="s">
        <v>609</v>
      </c>
      <c r="D6" s="20" t="s">
        <v>613</v>
      </c>
      <c r="E6" s="20" t="s">
        <v>614</v>
      </c>
      <c r="F6" s="20"/>
      <c r="G6" s="20"/>
      <c r="H6" s="20"/>
      <c r="I6" s="20"/>
      <c r="J6" s="20"/>
    </row>
    <row r="7" customFormat="false" ht="15" hidden="false" customHeight="false" outlineLevel="0" collapsed="false">
      <c r="A7" s="20" t="s">
        <v>234</v>
      </c>
      <c r="B7" s="20" t="s">
        <v>615</v>
      </c>
      <c r="C7" s="20" t="s">
        <v>609</v>
      </c>
      <c r="D7" s="20" t="s">
        <v>616</v>
      </c>
      <c r="E7" s="20" t="s">
        <v>617</v>
      </c>
      <c r="F7" s="20"/>
      <c r="G7" s="20"/>
      <c r="H7" s="20"/>
      <c r="I7" s="20"/>
      <c r="J7" s="20"/>
    </row>
    <row r="8" customFormat="false" ht="15" hidden="false" customHeight="false" outlineLevel="0" collapsed="false">
      <c r="A8" s="20" t="s">
        <v>234</v>
      </c>
      <c r="B8" s="20" t="s">
        <v>618</v>
      </c>
      <c r="C8" s="20" t="s">
        <v>609</v>
      </c>
      <c r="D8" s="20" t="s">
        <v>619</v>
      </c>
      <c r="E8" s="20" t="s">
        <v>620</v>
      </c>
      <c r="F8" s="20"/>
      <c r="G8" s="20"/>
      <c r="H8" s="20"/>
      <c r="I8" s="20"/>
      <c r="J8" s="20"/>
    </row>
    <row r="9" customFormat="false" ht="23.85" hidden="false" customHeight="false" outlineLevel="0" collapsed="false">
      <c r="A9" s="20" t="s">
        <v>234</v>
      </c>
      <c r="B9" s="20" t="s">
        <v>234</v>
      </c>
      <c r="C9" s="20" t="s">
        <v>488</v>
      </c>
      <c r="D9" s="20" t="s">
        <v>621</v>
      </c>
      <c r="E9" s="20" t="s">
        <v>622</v>
      </c>
      <c r="F9" s="20"/>
      <c r="G9" s="20"/>
      <c r="H9" s="20"/>
      <c r="I9" s="20"/>
      <c r="J9" s="20"/>
    </row>
    <row r="10" customFormat="false" ht="15" hidden="false" customHeight="false" outlineLevel="0" collapsed="false">
      <c r="A10" s="20" t="s">
        <v>623</v>
      </c>
      <c r="B10" s="20" t="s">
        <v>624</v>
      </c>
      <c r="C10" s="20" t="s">
        <v>488</v>
      </c>
      <c r="D10" s="20" t="s">
        <v>625</v>
      </c>
      <c r="E10" s="20" t="s">
        <v>626</v>
      </c>
      <c r="F10" s="20"/>
      <c r="G10" s="20"/>
      <c r="H10" s="20"/>
      <c r="I10" s="20"/>
      <c r="J10" s="20"/>
    </row>
    <row r="11" customFormat="false" ht="15" hidden="false" customHeight="false" outlineLevel="0" collapsed="false">
      <c r="A11" s="20" t="s">
        <v>627</v>
      </c>
      <c r="B11" s="20" t="s">
        <v>628</v>
      </c>
      <c r="C11" s="20" t="s">
        <v>488</v>
      </c>
      <c r="D11" s="20" t="s">
        <v>629</v>
      </c>
      <c r="E11" s="20" t="s">
        <v>630</v>
      </c>
      <c r="F11" s="20"/>
      <c r="G11" s="20"/>
      <c r="H11" s="20"/>
      <c r="I11" s="20"/>
      <c r="J11" s="20"/>
    </row>
    <row r="12" customFormat="false" ht="15" hidden="false" customHeight="fals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</row>
    <row r="13" customFormat="false" ht="15" hidden="false" customHeight="fals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</row>
    <row r="14" customFormat="false" ht="15" hidden="false" customHeight="fals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</row>
    <row r="15" customFormat="false" ht="15" hidden="false" customHeight="false" outlineLevel="0" collapsed="false">
      <c r="A15" s="20"/>
      <c r="B15" s="20"/>
      <c r="C15" s="20"/>
      <c r="D15" s="20"/>
      <c r="E15" s="20"/>
      <c r="F15" s="20"/>
      <c r="G15" s="20"/>
      <c r="H15" s="20"/>
      <c r="I15" s="20"/>
      <c r="J15" s="20"/>
    </row>
    <row r="16" customFormat="false" ht="15" hidden="false" customHeight="false" outlineLevel="0" collapsed="false">
      <c r="A16" s="20"/>
      <c r="B16" s="20"/>
      <c r="C16" s="20"/>
      <c r="D16" s="20"/>
      <c r="E16" s="20"/>
      <c r="F16" s="20"/>
      <c r="G16" s="20"/>
      <c r="H16" s="20"/>
      <c r="I16" s="20"/>
      <c r="J16" s="20"/>
    </row>
    <row r="17" customFormat="false" ht="15" hidden="false" customHeight="false" outlineLevel="0" collapsed="false">
      <c r="A17" s="20"/>
      <c r="B17" s="20"/>
      <c r="C17" s="20"/>
      <c r="D17" s="20"/>
      <c r="E17" s="20"/>
      <c r="F17" s="20"/>
      <c r="G17" s="20"/>
      <c r="H17" s="20"/>
      <c r="I17" s="20"/>
      <c r="J17" s="20"/>
    </row>
    <row r="18" customFormat="false" ht="15" hidden="false" customHeight="false" outlineLevel="0" collapsed="false">
      <c r="A18" s="20"/>
      <c r="B18" s="20"/>
      <c r="C18" s="20"/>
      <c r="D18" s="20"/>
      <c r="E18" s="20"/>
      <c r="F18" s="20"/>
      <c r="G18" s="20"/>
      <c r="H18" s="20"/>
      <c r="I18" s="20"/>
      <c r="J18" s="20"/>
    </row>
    <row r="19" customFormat="false" ht="15" hidden="false" customHeight="false" outlineLevel="0" collapsed="false">
      <c r="A19" s="20"/>
      <c r="B19" s="20"/>
      <c r="C19" s="20"/>
      <c r="D19" s="20"/>
      <c r="E19" s="20"/>
      <c r="F19" s="20"/>
      <c r="G19" s="20"/>
      <c r="H19" s="20"/>
      <c r="I19" s="20"/>
      <c r="J19" s="20"/>
    </row>
    <row r="20" customFormat="false" ht="15" hidden="false" customHeight="fals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</row>
    <row r="21" customFormat="false" ht="15" hidden="false" customHeight="fals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</row>
    <row r="22" customFormat="false" ht="15" hidden="false" customHeight="fals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</row>
    <row r="23" customFormat="false" ht="15" hidden="false" customHeight="fals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</row>
    <row r="24" customFormat="false" ht="15" hidden="false" customHeight="fals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</row>
    <row r="25" customFormat="false" ht="15" hidden="false" customHeight="fals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</row>
    <row r="26" customFormat="false" ht="15" hidden="false" customHeight="fals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</row>
    <row r="27" customFormat="false" ht="15" hidden="false" customHeight="fals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</row>
    <row r="28" customFormat="false" ht="15" hidden="false" customHeight="fals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</row>
    <row r="29" customFormat="false" ht="15" hidden="false" customHeight="fals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</row>
    <row r="30" customFormat="false" ht="15" hidden="false" customHeight="fals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</row>
    <row r="31" customFormat="false" ht="15" hidden="false" customHeight="fals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</row>
    <row r="32" customFormat="false" ht="15" hidden="false" customHeight="false" outlineLevel="0" collapsed="false">
      <c r="A32" s="20"/>
      <c r="B32" s="20"/>
      <c r="C32" s="20"/>
      <c r="D32" s="20"/>
      <c r="E32" s="20"/>
      <c r="F32" s="20"/>
      <c r="G32" s="20"/>
      <c r="H32" s="20"/>
      <c r="I32" s="20"/>
      <c r="J32" s="20"/>
    </row>
    <row r="33" customFormat="false" ht="15" hidden="false" customHeight="false" outlineLevel="0" collapsed="false">
      <c r="A33" s="20"/>
      <c r="B33" s="20"/>
      <c r="C33" s="20"/>
      <c r="D33" s="20"/>
      <c r="E33" s="20"/>
      <c r="F33" s="20"/>
      <c r="G33" s="20"/>
      <c r="H33" s="20"/>
      <c r="I33" s="20"/>
      <c r="J33" s="20"/>
    </row>
    <row r="34" customFormat="false" ht="15" hidden="false" customHeight="fals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</row>
    <row r="35" customFormat="false" ht="15" hidden="false" customHeight="fals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</row>
    <row r="36" customFormat="false" ht="15" hidden="false" customHeight="fals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</row>
    <row r="37" customFormat="false" ht="15" hidden="false" customHeight="fals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</row>
    <row r="38" customFormat="false" ht="15" hidden="false" customHeight="fals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</row>
    <row r="39" customFormat="false" ht="15" hidden="false" customHeight="fals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</row>
    <row r="40" customFormat="false" ht="15" hidden="false" customHeight="fals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</row>
    <row r="41" customFormat="false" ht="15" hidden="false" customHeight="fals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</row>
    <row r="42" customFormat="false" ht="15" hidden="false" customHeight="fals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</row>
    <row r="43" customFormat="false" ht="15" hidden="false" customHeight="fals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</row>
    <row r="44" customFormat="false" ht="15" hidden="false" customHeight="fals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</row>
    <row r="45" customFormat="false" ht="15" hidden="false" customHeight="fals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</row>
    <row r="46" customFormat="false" ht="15" hidden="false" customHeight="fals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</row>
    <row r="47" customFormat="false" ht="15" hidden="false" customHeight="fals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</row>
    <row r="48" customFormat="false" ht="15" hidden="false" customHeight="fals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</row>
    <row r="49" customFormat="false" ht="15" hidden="false" customHeight="fals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</row>
    <row r="50" customFormat="false" ht="15" hidden="false" customHeight="fals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</row>
    <row r="51" customFormat="false" ht="15" hidden="false" customHeight="fals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</row>
    <row r="52" customFormat="false" ht="15" hidden="false" customHeight="fals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</row>
    <row r="53" customFormat="false" ht="15" hidden="false" customHeight="fals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</row>
    <row r="54" customFormat="false" ht="15" hidden="false" customHeight="fals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</row>
    <row r="55" customFormat="false" ht="15" hidden="false" customHeight="fals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</row>
    <row r="56" customFormat="false" ht="15" hidden="false" customHeight="fals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</row>
    <row r="57" customFormat="false" ht="15" hidden="false" customHeight="fals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</row>
    <row r="58" customFormat="false" ht="15" hidden="false" customHeight="fals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</row>
    <row r="59" customFormat="false" ht="15" hidden="false" customHeight="fals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</row>
    <row r="60" customFormat="false" ht="15" hidden="false" customHeight="fals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</row>
    <row r="61" customFormat="false" ht="15" hidden="false" customHeight="fals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</row>
    <row r="62" customFormat="false" ht="15" hidden="false" customHeight="fals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</row>
    <row r="63" customFormat="false" ht="15" hidden="false" customHeight="fals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</row>
    <row r="64" customFormat="false" ht="15" hidden="false" customHeight="fals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</row>
    <row r="65" customFormat="false" ht="15" hidden="false" customHeight="fals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</row>
    <row r="66" customFormat="false" ht="15" hidden="false" customHeight="fals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</row>
    <row r="67" customFormat="false" ht="15" hidden="false" customHeight="fals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</row>
    <row r="68" customFormat="false" ht="15" hidden="false" customHeight="fals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</row>
    <row r="69" customFormat="false" ht="15" hidden="false" customHeight="fals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</row>
    <row r="70" customFormat="false" ht="15" hidden="false" customHeight="fals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</row>
    <row r="71" customFormat="false" ht="15" hidden="false" customHeight="fals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</row>
    <row r="72" customFormat="false" ht="15" hidden="false" customHeight="fals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</row>
    <row r="73" customFormat="false" ht="15" hidden="false" customHeight="fals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</row>
    <row r="74" customFormat="false" ht="15" hidden="false" customHeight="fals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</row>
    <row r="75" customFormat="false" ht="15" hidden="false" customHeight="fals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</row>
    <row r="76" customFormat="false" ht="15" hidden="false" customHeight="fals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</row>
    <row r="77" customFormat="false" ht="15" hidden="false" customHeight="fals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</row>
    <row r="78" customFormat="false" ht="15" hidden="false" customHeight="fals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</row>
    <row r="79" customFormat="false" ht="15" hidden="false" customHeight="fals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</row>
    <row r="80" customFormat="false" ht="15" hidden="false" customHeight="fals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</row>
    <row r="81" customFormat="false" ht="15" hidden="false" customHeight="fals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</row>
    <row r="82" customFormat="false" ht="15" hidden="false" customHeight="fals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</row>
    <row r="83" customFormat="false" ht="15" hidden="false" customHeight="fals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</row>
    <row r="84" customFormat="false" ht="15" hidden="false" customHeight="fals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</row>
    <row r="85" customFormat="false" ht="15" hidden="false" customHeight="fals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</row>
    <row r="86" customFormat="false" ht="15" hidden="false" customHeight="fals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</row>
    <row r="87" customFormat="false" ht="15" hidden="false" customHeight="fals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</row>
    <row r="88" customFormat="false" ht="15" hidden="false" customHeight="fals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</row>
    <row r="89" customFormat="false" ht="15" hidden="false" customHeight="fals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</row>
    <row r="90" customFormat="false" ht="15" hidden="false" customHeight="fals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</row>
    <row r="91" customFormat="false" ht="15" hidden="false" customHeight="fals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</row>
    <row r="92" customFormat="false" ht="15" hidden="false" customHeight="fals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</row>
    <row r="93" customFormat="false" ht="15" hidden="false" customHeight="fals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</row>
    <row r="94" customFormat="false" ht="15" hidden="false" customHeight="fals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</row>
    <row r="95" customFormat="false" ht="15" hidden="false" customHeight="fals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</row>
    <row r="96" customFormat="false" ht="15" hidden="false" customHeight="fals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</row>
    <row r="97" customFormat="false" ht="15" hidden="false" customHeight="fals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</row>
    <row r="98" customFormat="false" ht="15" hidden="false" customHeight="fals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</row>
    <row r="99" customFormat="false" ht="15" hidden="false" customHeight="fals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</row>
    <row r="100" customFormat="false" ht="15" hidden="false" customHeight="fals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</row>
    <row r="101" customFormat="false" ht="15" hidden="false" customHeight="fals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</row>
    <row r="102" customFormat="false" ht="15" hidden="false" customHeight="fals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</row>
    <row r="103" customFormat="false" ht="15" hidden="false" customHeight="fals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</row>
    <row r="104" customFormat="false" ht="15" hidden="false" customHeight="fals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</row>
  </sheetData>
  <autoFilter ref="A4:J104"/>
  <dataValidations count="1">
    <dataValidation allowBlank="true" errorStyle="stop" operator="between" showDropDown="false" showErrorMessage="false" showInputMessage="false" sqref="I5:I104" type="list">
      <formula1>Lists!$A$2:$A$10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2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0"/>
    <col collapsed="false" customWidth="true" hidden="false" outlineLevel="0" max="3" min="3" style="0" width="18"/>
    <col collapsed="false" customWidth="true" hidden="false" outlineLevel="0" max="4" min="4" style="0" width="12"/>
    <col collapsed="false" customWidth="true" hidden="false" outlineLevel="0" max="5" min="5" style="0" width="30"/>
    <col collapsed="false" customWidth="true" hidden="false" outlineLevel="0" max="6" min="6" style="0" width="34"/>
    <col collapsed="false" customWidth="true" hidden="false" outlineLevel="0" max="7" min="7" style="0" width="24"/>
    <col collapsed="false" customWidth="true" hidden="false" outlineLevel="0" max="8" min="8" style="0" width="13"/>
    <col collapsed="false" customWidth="true" hidden="false" outlineLevel="0" max="9" min="9" style="0" width="16"/>
    <col collapsed="false" customWidth="true" hidden="false" outlineLevel="0" max="10" min="10" style="0" width="34"/>
    <col collapsed="false" customWidth="true" hidden="false" outlineLevel="0" max="11" min="11" style="0" width="13"/>
    <col collapsed="false" customWidth="true" hidden="false" outlineLevel="0" max="12" min="12" style="0" width="10"/>
  </cols>
  <sheetData>
    <row r="1" customFormat="false" ht="19.7" hidden="false" customHeight="false" outlineLevel="0" collapsed="false">
      <c r="A1" s="1" t="s">
        <v>66</v>
      </c>
    </row>
    <row r="2" customFormat="false" ht="15" hidden="false" customHeight="false" outlineLevel="0" collapsed="false">
      <c r="A2" s="2" t="s">
        <v>631</v>
      </c>
    </row>
    <row r="4" customFormat="false" ht="31.5" hidden="false" customHeight="true" outlineLevel="0" collapsed="false">
      <c r="A4" s="9" t="s">
        <v>632</v>
      </c>
      <c r="B4" s="9" t="s">
        <v>493</v>
      </c>
      <c r="C4" s="9" t="s">
        <v>111</v>
      </c>
      <c r="D4" s="9" t="s">
        <v>633</v>
      </c>
      <c r="E4" s="9" t="s">
        <v>411</v>
      </c>
      <c r="F4" s="9" t="s">
        <v>634</v>
      </c>
      <c r="G4" s="9" t="s">
        <v>635</v>
      </c>
      <c r="H4" s="9" t="s">
        <v>636</v>
      </c>
      <c r="I4" s="9" t="s">
        <v>33</v>
      </c>
      <c r="J4" s="9" t="s">
        <v>637</v>
      </c>
      <c r="K4" s="9" t="s">
        <v>638</v>
      </c>
      <c r="L4" s="9" t="s">
        <v>420</v>
      </c>
    </row>
    <row r="5" customFormat="false" ht="15" hidden="false" customHeight="false" outlineLevel="0" collapsed="false">
      <c r="A5" s="20"/>
      <c r="B5" s="20"/>
      <c r="C5" s="20"/>
      <c r="D5" s="20"/>
      <c r="E5" s="20"/>
      <c r="F5" s="20"/>
      <c r="G5" s="20"/>
      <c r="H5" s="19"/>
      <c r="I5" s="20"/>
      <c r="J5" s="20"/>
      <c r="K5" s="19"/>
      <c r="L5" s="20"/>
    </row>
    <row r="6" customFormat="false" ht="15" hidden="false" customHeight="false" outlineLevel="0" collapsed="false">
      <c r="A6" s="20"/>
      <c r="B6" s="20"/>
      <c r="C6" s="20"/>
      <c r="D6" s="20"/>
      <c r="E6" s="20"/>
      <c r="F6" s="20"/>
      <c r="G6" s="20"/>
      <c r="H6" s="19"/>
      <c r="I6" s="20"/>
      <c r="J6" s="20"/>
      <c r="K6" s="19"/>
      <c r="L6" s="20"/>
    </row>
    <row r="7" customFormat="false" ht="15" hidden="false" customHeight="false" outlineLevel="0" collapsed="false">
      <c r="A7" s="20"/>
      <c r="B7" s="20"/>
      <c r="C7" s="20"/>
      <c r="D7" s="20"/>
      <c r="E7" s="20"/>
      <c r="F7" s="20"/>
      <c r="G7" s="20"/>
      <c r="H7" s="19"/>
      <c r="I7" s="20"/>
      <c r="J7" s="20"/>
      <c r="K7" s="19"/>
      <c r="L7" s="20"/>
    </row>
    <row r="8" customFormat="false" ht="15" hidden="false" customHeight="false" outlineLevel="0" collapsed="false">
      <c r="A8" s="20"/>
      <c r="B8" s="20"/>
      <c r="C8" s="20"/>
      <c r="D8" s="20"/>
      <c r="E8" s="20"/>
      <c r="F8" s="20"/>
      <c r="G8" s="20"/>
      <c r="H8" s="19"/>
      <c r="I8" s="20"/>
      <c r="J8" s="20"/>
      <c r="K8" s="19"/>
      <c r="L8" s="20"/>
    </row>
    <row r="9" customFormat="false" ht="15" hidden="false" customHeight="false" outlineLevel="0" collapsed="false">
      <c r="A9" s="20"/>
      <c r="B9" s="20"/>
      <c r="C9" s="20"/>
      <c r="D9" s="20"/>
      <c r="E9" s="20"/>
      <c r="F9" s="20"/>
      <c r="G9" s="20"/>
      <c r="H9" s="19"/>
      <c r="I9" s="20"/>
      <c r="J9" s="20"/>
      <c r="K9" s="19"/>
      <c r="L9" s="20"/>
    </row>
    <row r="10" customFormat="false" ht="15" hidden="false" customHeight="false" outlineLevel="0" collapsed="false">
      <c r="A10" s="20"/>
      <c r="B10" s="20"/>
      <c r="C10" s="20"/>
      <c r="D10" s="20"/>
      <c r="E10" s="20"/>
      <c r="F10" s="20"/>
      <c r="G10" s="20"/>
      <c r="H10" s="19"/>
      <c r="I10" s="20"/>
      <c r="J10" s="20"/>
      <c r="K10" s="19"/>
      <c r="L10" s="20"/>
    </row>
    <row r="11" customFormat="false" ht="15" hidden="false" customHeight="false" outlineLevel="0" collapsed="false">
      <c r="A11" s="20"/>
      <c r="B11" s="20"/>
      <c r="C11" s="20"/>
      <c r="D11" s="20"/>
      <c r="E11" s="20"/>
      <c r="F11" s="20"/>
      <c r="G11" s="20"/>
      <c r="H11" s="19"/>
      <c r="I11" s="20"/>
      <c r="J11" s="20"/>
      <c r="K11" s="19"/>
      <c r="L11" s="20"/>
    </row>
    <row r="12" customFormat="false" ht="15" hidden="false" customHeight="false" outlineLevel="0" collapsed="false">
      <c r="A12" s="20"/>
      <c r="B12" s="20"/>
      <c r="C12" s="20"/>
      <c r="D12" s="20"/>
      <c r="E12" s="20"/>
      <c r="F12" s="20"/>
      <c r="G12" s="20"/>
      <c r="H12" s="19"/>
      <c r="I12" s="20"/>
      <c r="J12" s="20"/>
      <c r="K12" s="19"/>
      <c r="L12" s="20"/>
    </row>
    <row r="13" customFormat="false" ht="15" hidden="false" customHeight="false" outlineLevel="0" collapsed="false">
      <c r="A13" s="20"/>
      <c r="B13" s="20"/>
      <c r="C13" s="20"/>
      <c r="D13" s="20"/>
      <c r="E13" s="20"/>
      <c r="F13" s="20"/>
      <c r="G13" s="20"/>
      <c r="H13" s="19"/>
      <c r="I13" s="20"/>
      <c r="J13" s="20"/>
      <c r="K13" s="19"/>
      <c r="L13" s="20"/>
    </row>
    <row r="14" customFormat="false" ht="15" hidden="false" customHeight="false" outlineLevel="0" collapsed="false">
      <c r="A14" s="20"/>
      <c r="B14" s="20"/>
      <c r="C14" s="20"/>
      <c r="D14" s="20"/>
      <c r="E14" s="20"/>
      <c r="F14" s="20"/>
      <c r="G14" s="20"/>
      <c r="H14" s="19"/>
      <c r="I14" s="20"/>
      <c r="J14" s="20"/>
      <c r="K14" s="19"/>
      <c r="L14" s="20"/>
    </row>
    <row r="15" customFormat="false" ht="15" hidden="false" customHeight="false" outlineLevel="0" collapsed="false">
      <c r="A15" s="20"/>
      <c r="B15" s="20"/>
      <c r="C15" s="20"/>
      <c r="D15" s="20"/>
      <c r="E15" s="20"/>
      <c r="F15" s="20"/>
      <c r="G15" s="20"/>
      <c r="H15" s="19"/>
      <c r="I15" s="20"/>
      <c r="J15" s="20"/>
      <c r="K15" s="19"/>
      <c r="L15" s="20"/>
    </row>
    <row r="16" customFormat="false" ht="15" hidden="false" customHeight="false" outlineLevel="0" collapsed="false">
      <c r="A16" s="20"/>
      <c r="B16" s="20"/>
      <c r="C16" s="20"/>
      <c r="D16" s="20"/>
      <c r="E16" s="20"/>
      <c r="F16" s="20"/>
      <c r="G16" s="20"/>
      <c r="H16" s="19"/>
      <c r="I16" s="20"/>
      <c r="J16" s="20"/>
      <c r="K16" s="19"/>
      <c r="L16" s="20"/>
    </row>
    <row r="17" customFormat="false" ht="15" hidden="false" customHeight="false" outlineLevel="0" collapsed="false">
      <c r="A17" s="20"/>
      <c r="B17" s="20"/>
      <c r="C17" s="20"/>
      <c r="D17" s="20"/>
      <c r="E17" s="20"/>
      <c r="F17" s="20"/>
      <c r="G17" s="20"/>
      <c r="H17" s="19"/>
      <c r="I17" s="20"/>
      <c r="J17" s="20"/>
      <c r="K17" s="19"/>
      <c r="L17" s="20"/>
    </row>
    <row r="18" customFormat="false" ht="15" hidden="false" customHeight="false" outlineLevel="0" collapsed="false">
      <c r="A18" s="20"/>
      <c r="B18" s="20"/>
      <c r="C18" s="20"/>
      <c r="D18" s="20"/>
      <c r="E18" s="20"/>
      <c r="F18" s="20"/>
      <c r="G18" s="20"/>
      <c r="H18" s="19"/>
      <c r="I18" s="20"/>
      <c r="J18" s="20"/>
      <c r="K18" s="19"/>
      <c r="L18" s="20"/>
    </row>
    <row r="19" customFormat="false" ht="15" hidden="false" customHeight="false" outlineLevel="0" collapsed="false">
      <c r="A19" s="20"/>
      <c r="B19" s="20"/>
      <c r="C19" s="20"/>
      <c r="D19" s="20"/>
      <c r="E19" s="20"/>
      <c r="F19" s="20"/>
      <c r="G19" s="20"/>
      <c r="H19" s="19"/>
      <c r="I19" s="20"/>
      <c r="J19" s="20"/>
      <c r="K19" s="19"/>
      <c r="L19" s="20"/>
    </row>
    <row r="20" customFormat="false" ht="15" hidden="false" customHeight="false" outlineLevel="0" collapsed="false">
      <c r="A20" s="20"/>
      <c r="B20" s="20"/>
      <c r="C20" s="20"/>
      <c r="D20" s="20"/>
      <c r="E20" s="20"/>
      <c r="F20" s="20"/>
      <c r="G20" s="20"/>
      <c r="H20" s="19"/>
      <c r="I20" s="20"/>
      <c r="J20" s="20"/>
      <c r="K20" s="19"/>
      <c r="L20" s="20"/>
    </row>
    <row r="21" customFormat="false" ht="15" hidden="false" customHeight="false" outlineLevel="0" collapsed="false">
      <c r="A21" s="20"/>
      <c r="B21" s="20"/>
      <c r="C21" s="20"/>
      <c r="D21" s="20"/>
      <c r="E21" s="20"/>
      <c r="F21" s="20"/>
      <c r="G21" s="20"/>
      <c r="H21" s="19"/>
      <c r="I21" s="20"/>
      <c r="J21" s="20"/>
      <c r="K21" s="19"/>
      <c r="L21" s="20"/>
    </row>
    <row r="22" customFormat="false" ht="15" hidden="false" customHeight="false" outlineLevel="0" collapsed="false">
      <c r="A22" s="20"/>
      <c r="B22" s="20"/>
      <c r="C22" s="20"/>
      <c r="D22" s="20"/>
      <c r="E22" s="20"/>
      <c r="F22" s="20"/>
      <c r="G22" s="20"/>
      <c r="H22" s="19"/>
      <c r="I22" s="20"/>
      <c r="J22" s="20"/>
      <c r="K22" s="19"/>
      <c r="L22" s="20"/>
    </row>
    <row r="23" customFormat="false" ht="15" hidden="false" customHeight="false" outlineLevel="0" collapsed="false">
      <c r="A23" s="20"/>
      <c r="B23" s="20"/>
      <c r="C23" s="20"/>
      <c r="D23" s="20"/>
      <c r="E23" s="20"/>
      <c r="F23" s="20"/>
      <c r="G23" s="20"/>
      <c r="H23" s="19"/>
      <c r="I23" s="20"/>
      <c r="J23" s="20"/>
      <c r="K23" s="19"/>
      <c r="L23" s="20"/>
    </row>
    <row r="24" customFormat="false" ht="15" hidden="false" customHeight="false" outlineLevel="0" collapsed="false">
      <c r="A24" s="20"/>
      <c r="B24" s="20"/>
      <c r="C24" s="20"/>
      <c r="D24" s="20"/>
      <c r="E24" s="20"/>
      <c r="F24" s="20"/>
      <c r="G24" s="20"/>
      <c r="H24" s="19"/>
      <c r="I24" s="20"/>
      <c r="J24" s="20"/>
      <c r="K24" s="19"/>
      <c r="L24" s="20"/>
    </row>
    <row r="25" customFormat="false" ht="15" hidden="false" customHeight="false" outlineLevel="0" collapsed="false">
      <c r="A25" s="20"/>
      <c r="B25" s="20"/>
      <c r="C25" s="20"/>
      <c r="D25" s="20"/>
      <c r="E25" s="20"/>
      <c r="F25" s="20"/>
      <c r="G25" s="20"/>
      <c r="H25" s="19"/>
      <c r="I25" s="20"/>
      <c r="J25" s="20"/>
      <c r="K25" s="19"/>
      <c r="L25" s="20"/>
    </row>
    <row r="26" customFormat="false" ht="15" hidden="false" customHeight="false" outlineLevel="0" collapsed="false">
      <c r="A26" s="20"/>
      <c r="B26" s="20"/>
      <c r="C26" s="20"/>
      <c r="D26" s="20"/>
      <c r="E26" s="20"/>
      <c r="F26" s="20"/>
      <c r="G26" s="20"/>
      <c r="H26" s="19"/>
      <c r="I26" s="20"/>
      <c r="J26" s="20"/>
      <c r="K26" s="19"/>
      <c r="L26" s="20"/>
    </row>
    <row r="27" customFormat="false" ht="15" hidden="false" customHeight="false" outlineLevel="0" collapsed="false">
      <c r="A27" s="20"/>
      <c r="B27" s="20"/>
      <c r="C27" s="20"/>
      <c r="D27" s="20"/>
      <c r="E27" s="20"/>
      <c r="F27" s="20"/>
      <c r="G27" s="20"/>
      <c r="H27" s="19"/>
      <c r="I27" s="20"/>
      <c r="J27" s="20"/>
      <c r="K27" s="19"/>
      <c r="L27" s="20"/>
    </row>
    <row r="28" customFormat="false" ht="15" hidden="false" customHeight="false" outlineLevel="0" collapsed="false">
      <c r="A28" s="20"/>
      <c r="B28" s="20"/>
      <c r="C28" s="20"/>
      <c r="D28" s="20"/>
      <c r="E28" s="20"/>
      <c r="F28" s="20"/>
      <c r="G28" s="20"/>
      <c r="H28" s="19"/>
      <c r="I28" s="20"/>
      <c r="J28" s="20"/>
      <c r="K28" s="19"/>
      <c r="L28" s="20"/>
    </row>
    <row r="29" customFormat="false" ht="15" hidden="false" customHeight="false" outlineLevel="0" collapsed="false">
      <c r="A29" s="20"/>
      <c r="B29" s="20"/>
      <c r="C29" s="20"/>
      <c r="D29" s="20"/>
      <c r="E29" s="20"/>
      <c r="F29" s="20"/>
      <c r="G29" s="20"/>
      <c r="H29" s="19"/>
      <c r="I29" s="20"/>
      <c r="J29" s="20"/>
      <c r="K29" s="19"/>
      <c r="L29" s="20"/>
    </row>
    <row r="30" customFormat="false" ht="15" hidden="false" customHeight="false" outlineLevel="0" collapsed="false">
      <c r="A30" s="20"/>
      <c r="B30" s="20"/>
      <c r="C30" s="20"/>
      <c r="D30" s="20"/>
      <c r="E30" s="20"/>
      <c r="F30" s="20"/>
      <c r="G30" s="20"/>
      <c r="H30" s="19"/>
      <c r="I30" s="20"/>
      <c r="J30" s="20"/>
      <c r="K30" s="19"/>
      <c r="L30" s="20"/>
    </row>
    <row r="31" customFormat="false" ht="15" hidden="false" customHeight="false" outlineLevel="0" collapsed="false">
      <c r="A31" s="20"/>
      <c r="B31" s="20"/>
      <c r="C31" s="20"/>
      <c r="D31" s="20"/>
      <c r="E31" s="20"/>
      <c r="F31" s="20"/>
      <c r="G31" s="20"/>
      <c r="H31" s="19"/>
      <c r="I31" s="20"/>
      <c r="J31" s="20"/>
      <c r="K31" s="19"/>
      <c r="L31" s="20"/>
    </row>
    <row r="32" customFormat="false" ht="15" hidden="false" customHeight="false" outlineLevel="0" collapsed="false">
      <c r="A32" s="20"/>
      <c r="B32" s="20"/>
      <c r="C32" s="20"/>
      <c r="D32" s="20"/>
      <c r="E32" s="20"/>
      <c r="F32" s="20"/>
      <c r="G32" s="20"/>
      <c r="H32" s="19"/>
      <c r="I32" s="20"/>
      <c r="J32" s="20"/>
      <c r="K32" s="19"/>
      <c r="L32" s="20"/>
    </row>
    <row r="33" customFormat="false" ht="15" hidden="false" customHeight="false" outlineLevel="0" collapsed="false">
      <c r="A33" s="20"/>
      <c r="B33" s="20"/>
      <c r="C33" s="20"/>
      <c r="D33" s="20"/>
      <c r="E33" s="20"/>
      <c r="F33" s="20"/>
      <c r="G33" s="20"/>
      <c r="H33" s="19"/>
      <c r="I33" s="20"/>
      <c r="J33" s="20"/>
      <c r="K33" s="19"/>
      <c r="L33" s="20"/>
    </row>
    <row r="34" customFormat="false" ht="15" hidden="false" customHeight="false" outlineLevel="0" collapsed="false">
      <c r="A34" s="20"/>
      <c r="B34" s="20"/>
      <c r="C34" s="20"/>
      <c r="D34" s="20"/>
      <c r="E34" s="20"/>
      <c r="F34" s="20"/>
      <c r="G34" s="20"/>
      <c r="H34" s="19"/>
      <c r="I34" s="20"/>
      <c r="J34" s="20"/>
      <c r="K34" s="19"/>
      <c r="L34" s="20"/>
    </row>
    <row r="35" customFormat="false" ht="15" hidden="false" customHeight="false" outlineLevel="0" collapsed="false">
      <c r="A35" s="20"/>
      <c r="B35" s="20"/>
      <c r="C35" s="20"/>
      <c r="D35" s="20"/>
      <c r="E35" s="20"/>
      <c r="F35" s="20"/>
      <c r="G35" s="20"/>
      <c r="H35" s="19"/>
      <c r="I35" s="20"/>
      <c r="J35" s="20"/>
      <c r="K35" s="19"/>
      <c r="L35" s="20"/>
    </row>
    <row r="36" customFormat="false" ht="15" hidden="false" customHeight="false" outlineLevel="0" collapsed="false">
      <c r="A36" s="20"/>
      <c r="B36" s="20"/>
      <c r="C36" s="20"/>
      <c r="D36" s="20"/>
      <c r="E36" s="20"/>
      <c r="F36" s="20"/>
      <c r="G36" s="20"/>
      <c r="H36" s="19"/>
      <c r="I36" s="20"/>
      <c r="J36" s="20"/>
      <c r="K36" s="19"/>
      <c r="L36" s="20"/>
    </row>
    <row r="37" customFormat="false" ht="15" hidden="false" customHeight="false" outlineLevel="0" collapsed="false">
      <c r="A37" s="20"/>
      <c r="B37" s="20"/>
      <c r="C37" s="20"/>
      <c r="D37" s="20"/>
      <c r="E37" s="20"/>
      <c r="F37" s="20"/>
      <c r="G37" s="20"/>
      <c r="H37" s="19"/>
      <c r="I37" s="20"/>
      <c r="J37" s="20"/>
      <c r="K37" s="19"/>
      <c r="L37" s="20"/>
    </row>
    <row r="38" customFormat="false" ht="15" hidden="false" customHeight="false" outlineLevel="0" collapsed="false">
      <c r="A38" s="20"/>
      <c r="B38" s="20"/>
      <c r="C38" s="20"/>
      <c r="D38" s="20"/>
      <c r="E38" s="20"/>
      <c r="F38" s="20"/>
      <c r="G38" s="20"/>
      <c r="H38" s="19"/>
      <c r="I38" s="20"/>
      <c r="J38" s="20"/>
      <c r="K38" s="19"/>
      <c r="L38" s="20"/>
    </row>
    <row r="39" customFormat="false" ht="15" hidden="false" customHeight="false" outlineLevel="0" collapsed="false">
      <c r="A39" s="20"/>
      <c r="B39" s="20"/>
      <c r="C39" s="20"/>
      <c r="D39" s="20"/>
      <c r="E39" s="20"/>
      <c r="F39" s="20"/>
      <c r="G39" s="20"/>
      <c r="H39" s="19"/>
      <c r="I39" s="20"/>
      <c r="J39" s="20"/>
      <c r="K39" s="19"/>
      <c r="L39" s="20"/>
    </row>
    <row r="40" customFormat="false" ht="15" hidden="false" customHeight="false" outlineLevel="0" collapsed="false">
      <c r="A40" s="20"/>
      <c r="B40" s="20"/>
      <c r="C40" s="20"/>
      <c r="D40" s="20"/>
      <c r="E40" s="20"/>
      <c r="F40" s="20"/>
      <c r="G40" s="20"/>
      <c r="H40" s="19"/>
      <c r="I40" s="20"/>
      <c r="J40" s="20"/>
      <c r="K40" s="19"/>
      <c r="L40" s="20"/>
    </row>
    <row r="41" customFormat="false" ht="15" hidden="false" customHeight="false" outlineLevel="0" collapsed="false">
      <c r="A41" s="20"/>
      <c r="B41" s="20"/>
      <c r="C41" s="20"/>
      <c r="D41" s="20"/>
      <c r="E41" s="20"/>
      <c r="F41" s="20"/>
      <c r="G41" s="20"/>
      <c r="H41" s="19"/>
      <c r="I41" s="20"/>
      <c r="J41" s="20"/>
      <c r="K41" s="19"/>
      <c r="L41" s="20"/>
    </row>
    <row r="42" customFormat="false" ht="15" hidden="false" customHeight="false" outlineLevel="0" collapsed="false">
      <c r="A42" s="20"/>
      <c r="B42" s="20"/>
      <c r="C42" s="20"/>
      <c r="D42" s="20"/>
      <c r="E42" s="20"/>
      <c r="F42" s="20"/>
      <c r="G42" s="20"/>
      <c r="H42" s="19"/>
      <c r="I42" s="20"/>
      <c r="J42" s="20"/>
      <c r="K42" s="19"/>
      <c r="L42" s="20"/>
    </row>
    <row r="43" customFormat="false" ht="15" hidden="false" customHeight="false" outlineLevel="0" collapsed="false">
      <c r="A43" s="20"/>
      <c r="B43" s="20"/>
      <c r="C43" s="20"/>
      <c r="D43" s="20"/>
      <c r="E43" s="20"/>
      <c r="F43" s="20"/>
      <c r="G43" s="20"/>
      <c r="H43" s="19"/>
      <c r="I43" s="20"/>
      <c r="J43" s="20"/>
      <c r="K43" s="19"/>
      <c r="L43" s="20"/>
    </row>
    <row r="44" customFormat="false" ht="15" hidden="false" customHeight="false" outlineLevel="0" collapsed="false">
      <c r="A44" s="20"/>
      <c r="B44" s="20"/>
      <c r="C44" s="20"/>
      <c r="D44" s="20"/>
      <c r="E44" s="20"/>
      <c r="F44" s="20"/>
      <c r="G44" s="20"/>
      <c r="H44" s="19"/>
      <c r="I44" s="20"/>
      <c r="J44" s="20"/>
      <c r="K44" s="19"/>
      <c r="L44" s="20"/>
    </row>
    <row r="45" customFormat="false" ht="15" hidden="false" customHeight="false" outlineLevel="0" collapsed="false">
      <c r="A45" s="20"/>
      <c r="B45" s="20"/>
      <c r="C45" s="20"/>
      <c r="D45" s="20"/>
      <c r="E45" s="20"/>
      <c r="F45" s="20"/>
      <c r="G45" s="20"/>
      <c r="H45" s="19"/>
      <c r="I45" s="20"/>
      <c r="J45" s="20"/>
      <c r="K45" s="19"/>
      <c r="L45" s="20"/>
    </row>
    <row r="46" customFormat="false" ht="15" hidden="false" customHeight="false" outlineLevel="0" collapsed="false">
      <c r="A46" s="20"/>
      <c r="B46" s="20"/>
      <c r="C46" s="20"/>
      <c r="D46" s="20"/>
      <c r="E46" s="20"/>
      <c r="F46" s="20"/>
      <c r="G46" s="20"/>
      <c r="H46" s="19"/>
      <c r="I46" s="20"/>
      <c r="J46" s="20"/>
      <c r="K46" s="19"/>
      <c r="L46" s="20"/>
    </row>
    <row r="47" customFormat="false" ht="15" hidden="false" customHeight="false" outlineLevel="0" collapsed="false">
      <c r="A47" s="20"/>
      <c r="B47" s="20"/>
      <c r="C47" s="20"/>
      <c r="D47" s="20"/>
      <c r="E47" s="20"/>
      <c r="F47" s="20"/>
      <c r="G47" s="20"/>
      <c r="H47" s="19"/>
      <c r="I47" s="20"/>
      <c r="J47" s="20"/>
      <c r="K47" s="19"/>
      <c r="L47" s="20"/>
    </row>
    <row r="48" customFormat="false" ht="15" hidden="false" customHeight="false" outlineLevel="0" collapsed="false">
      <c r="A48" s="20"/>
      <c r="B48" s="20"/>
      <c r="C48" s="20"/>
      <c r="D48" s="20"/>
      <c r="E48" s="20"/>
      <c r="F48" s="20"/>
      <c r="G48" s="20"/>
      <c r="H48" s="19"/>
      <c r="I48" s="20"/>
      <c r="J48" s="20"/>
      <c r="K48" s="19"/>
      <c r="L48" s="20"/>
    </row>
    <row r="49" customFormat="false" ht="15" hidden="false" customHeight="false" outlineLevel="0" collapsed="false">
      <c r="A49" s="20"/>
      <c r="B49" s="20"/>
      <c r="C49" s="20"/>
      <c r="D49" s="20"/>
      <c r="E49" s="20"/>
      <c r="F49" s="20"/>
      <c r="G49" s="20"/>
      <c r="H49" s="19"/>
      <c r="I49" s="20"/>
      <c r="J49" s="20"/>
      <c r="K49" s="19"/>
      <c r="L49" s="20"/>
    </row>
    <row r="50" customFormat="false" ht="15" hidden="false" customHeight="false" outlineLevel="0" collapsed="false">
      <c r="A50" s="20"/>
      <c r="B50" s="20"/>
      <c r="C50" s="20"/>
      <c r="D50" s="20"/>
      <c r="E50" s="20"/>
      <c r="F50" s="20"/>
      <c r="G50" s="20"/>
      <c r="H50" s="19"/>
      <c r="I50" s="20"/>
      <c r="J50" s="20"/>
      <c r="K50" s="19"/>
      <c r="L50" s="20"/>
    </row>
    <row r="51" customFormat="false" ht="15" hidden="false" customHeight="false" outlineLevel="0" collapsed="false">
      <c r="A51" s="20"/>
      <c r="B51" s="20"/>
      <c r="C51" s="20"/>
      <c r="D51" s="20"/>
      <c r="E51" s="20"/>
      <c r="F51" s="20"/>
      <c r="G51" s="20"/>
      <c r="H51" s="19"/>
      <c r="I51" s="20"/>
      <c r="J51" s="20"/>
      <c r="K51" s="19"/>
      <c r="L51" s="20"/>
    </row>
    <row r="52" customFormat="false" ht="15" hidden="false" customHeight="false" outlineLevel="0" collapsed="false">
      <c r="A52" s="20"/>
      <c r="B52" s="20"/>
      <c r="C52" s="20"/>
      <c r="D52" s="20"/>
      <c r="E52" s="20"/>
      <c r="F52" s="20"/>
      <c r="G52" s="20"/>
      <c r="H52" s="19"/>
      <c r="I52" s="20"/>
      <c r="J52" s="20"/>
      <c r="K52" s="19"/>
      <c r="L52" s="20"/>
    </row>
    <row r="53" customFormat="false" ht="15" hidden="false" customHeight="false" outlineLevel="0" collapsed="false">
      <c r="A53" s="20"/>
      <c r="B53" s="20"/>
      <c r="C53" s="20"/>
      <c r="D53" s="20"/>
      <c r="E53" s="20"/>
      <c r="F53" s="20"/>
      <c r="G53" s="20"/>
      <c r="H53" s="19"/>
      <c r="I53" s="20"/>
      <c r="J53" s="20"/>
      <c r="K53" s="19"/>
      <c r="L53" s="20"/>
    </row>
    <row r="54" customFormat="false" ht="15" hidden="false" customHeight="false" outlineLevel="0" collapsed="false">
      <c r="A54" s="20"/>
      <c r="B54" s="20"/>
      <c r="C54" s="20"/>
      <c r="D54" s="20"/>
      <c r="E54" s="20"/>
      <c r="F54" s="20"/>
      <c r="G54" s="20"/>
      <c r="H54" s="19"/>
      <c r="I54" s="20"/>
      <c r="J54" s="20"/>
      <c r="K54" s="19"/>
      <c r="L54" s="20"/>
    </row>
    <row r="55" customFormat="false" ht="15" hidden="false" customHeight="false" outlineLevel="0" collapsed="false">
      <c r="A55" s="20"/>
      <c r="B55" s="20"/>
      <c r="C55" s="20"/>
      <c r="D55" s="20"/>
      <c r="E55" s="20"/>
      <c r="F55" s="20"/>
      <c r="G55" s="20"/>
      <c r="H55" s="19"/>
      <c r="I55" s="20"/>
      <c r="J55" s="20"/>
      <c r="K55" s="19"/>
      <c r="L55" s="20"/>
    </row>
    <row r="56" customFormat="false" ht="15" hidden="false" customHeight="false" outlineLevel="0" collapsed="false">
      <c r="A56" s="20"/>
      <c r="B56" s="20"/>
      <c r="C56" s="20"/>
      <c r="D56" s="20"/>
      <c r="E56" s="20"/>
      <c r="F56" s="20"/>
      <c r="G56" s="20"/>
      <c r="H56" s="19"/>
      <c r="I56" s="20"/>
      <c r="J56" s="20"/>
      <c r="K56" s="19"/>
      <c r="L56" s="20"/>
    </row>
    <row r="57" customFormat="false" ht="15" hidden="false" customHeight="false" outlineLevel="0" collapsed="false">
      <c r="A57" s="20"/>
      <c r="B57" s="20"/>
      <c r="C57" s="20"/>
      <c r="D57" s="20"/>
      <c r="E57" s="20"/>
      <c r="F57" s="20"/>
      <c r="G57" s="20"/>
      <c r="H57" s="19"/>
      <c r="I57" s="20"/>
      <c r="J57" s="20"/>
      <c r="K57" s="19"/>
      <c r="L57" s="20"/>
    </row>
    <row r="58" customFormat="false" ht="15" hidden="false" customHeight="false" outlineLevel="0" collapsed="false">
      <c r="A58" s="20"/>
      <c r="B58" s="20"/>
      <c r="C58" s="20"/>
      <c r="D58" s="20"/>
      <c r="E58" s="20"/>
      <c r="F58" s="20"/>
      <c r="G58" s="20"/>
      <c r="H58" s="19"/>
      <c r="I58" s="20"/>
      <c r="J58" s="20"/>
      <c r="K58" s="19"/>
      <c r="L58" s="20"/>
    </row>
    <row r="59" customFormat="false" ht="15" hidden="false" customHeight="false" outlineLevel="0" collapsed="false">
      <c r="A59" s="20"/>
      <c r="B59" s="20"/>
      <c r="C59" s="20"/>
      <c r="D59" s="20"/>
      <c r="E59" s="20"/>
      <c r="F59" s="20"/>
      <c r="G59" s="20"/>
      <c r="H59" s="19"/>
      <c r="I59" s="20"/>
      <c r="J59" s="20"/>
      <c r="K59" s="19"/>
      <c r="L59" s="20"/>
    </row>
    <row r="60" customFormat="false" ht="15" hidden="false" customHeight="false" outlineLevel="0" collapsed="false">
      <c r="A60" s="20"/>
      <c r="B60" s="20"/>
      <c r="C60" s="20"/>
      <c r="D60" s="20"/>
      <c r="E60" s="20"/>
      <c r="F60" s="20"/>
      <c r="G60" s="20"/>
      <c r="H60" s="19"/>
      <c r="I60" s="20"/>
      <c r="J60" s="20"/>
      <c r="K60" s="19"/>
      <c r="L60" s="20"/>
    </row>
    <row r="61" customFormat="false" ht="15" hidden="false" customHeight="false" outlineLevel="0" collapsed="false">
      <c r="A61" s="20"/>
      <c r="B61" s="20"/>
      <c r="C61" s="20"/>
      <c r="D61" s="20"/>
      <c r="E61" s="20"/>
      <c r="F61" s="20"/>
      <c r="G61" s="20"/>
      <c r="H61" s="19"/>
      <c r="I61" s="20"/>
      <c r="J61" s="20"/>
      <c r="K61" s="19"/>
      <c r="L61" s="20"/>
    </row>
    <row r="62" customFormat="false" ht="15" hidden="false" customHeight="false" outlineLevel="0" collapsed="false">
      <c r="A62" s="20"/>
      <c r="B62" s="20"/>
      <c r="C62" s="20"/>
      <c r="D62" s="20"/>
      <c r="E62" s="20"/>
      <c r="F62" s="20"/>
      <c r="G62" s="20"/>
      <c r="H62" s="19"/>
      <c r="I62" s="20"/>
      <c r="J62" s="20"/>
      <c r="K62" s="19"/>
      <c r="L62" s="20"/>
    </row>
    <row r="63" customFormat="false" ht="15" hidden="false" customHeight="false" outlineLevel="0" collapsed="false">
      <c r="A63" s="20"/>
      <c r="B63" s="20"/>
      <c r="C63" s="20"/>
      <c r="D63" s="20"/>
      <c r="E63" s="20"/>
      <c r="F63" s="20"/>
      <c r="G63" s="20"/>
      <c r="H63" s="19"/>
      <c r="I63" s="20"/>
      <c r="J63" s="20"/>
      <c r="K63" s="19"/>
      <c r="L63" s="20"/>
    </row>
    <row r="64" customFormat="false" ht="15" hidden="false" customHeight="false" outlineLevel="0" collapsed="false">
      <c r="A64" s="20"/>
      <c r="B64" s="20"/>
      <c r="C64" s="20"/>
      <c r="D64" s="20"/>
      <c r="E64" s="20"/>
      <c r="F64" s="20"/>
      <c r="G64" s="20"/>
      <c r="H64" s="19"/>
      <c r="I64" s="20"/>
      <c r="J64" s="20"/>
      <c r="K64" s="19"/>
      <c r="L64" s="20"/>
    </row>
    <row r="65" customFormat="false" ht="15" hidden="false" customHeight="false" outlineLevel="0" collapsed="false">
      <c r="A65" s="20"/>
      <c r="B65" s="20"/>
      <c r="C65" s="20"/>
      <c r="D65" s="20"/>
      <c r="E65" s="20"/>
      <c r="F65" s="20"/>
      <c r="G65" s="20"/>
      <c r="H65" s="19"/>
      <c r="I65" s="20"/>
      <c r="J65" s="20"/>
      <c r="K65" s="19"/>
      <c r="L65" s="20"/>
    </row>
    <row r="66" customFormat="false" ht="15" hidden="false" customHeight="false" outlineLevel="0" collapsed="false">
      <c r="A66" s="20"/>
      <c r="B66" s="20"/>
      <c r="C66" s="20"/>
      <c r="D66" s="20"/>
      <c r="E66" s="20"/>
      <c r="F66" s="20"/>
      <c r="G66" s="20"/>
      <c r="H66" s="19"/>
      <c r="I66" s="20"/>
      <c r="J66" s="20"/>
      <c r="K66" s="19"/>
      <c r="L66" s="20"/>
    </row>
    <row r="67" customFormat="false" ht="15" hidden="false" customHeight="false" outlineLevel="0" collapsed="false">
      <c r="A67" s="20"/>
      <c r="B67" s="20"/>
      <c r="C67" s="20"/>
      <c r="D67" s="20"/>
      <c r="E67" s="20"/>
      <c r="F67" s="20"/>
      <c r="G67" s="20"/>
      <c r="H67" s="19"/>
      <c r="I67" s="20"/>
      <c r="J67" s="20"/>
      <c r="K67" s="19"/>
      <c r="L67" s="20"/>
    </row>
    <row r="68" customFormat="false" ht="15" hidden="false" customHeight="false" outlineLevel="0" collapsed="false">
      <c r="A68" s="20"/>
      <c r="B68" s="20"/>
      <c r="C68" s="20"/>
      <c r="D68" s="20"/>
      <c r="E68" s="20"/>
      <c r="F68" s="20"/>
      <c r="G68" s="20"/>
      <c r="H68" s="19"/>
      <c r="I68" s="20"/>
      <c r="J68" s="20"/>
      <c r="K68" s="19"/>
      <c r="L68" s="20"/>
    </row>
    <row r="69" customFormat="false" ht="15" hidden="false" customHeight="false" outlineLevel="0" collapsed="false">
      <c r="A69" s="20"/>
      <c r="B69" s="20"/>
      <c r="C69" s="20"/>
      <c r="D69" s="20"/>
      <c r="E69" s="20"/>
      <c r="F69" s="20"/>
      <c r="G69" s="20"/>
      <c r="H69" s="19"/>
      <c r="I69" s="20"/>
      <c r="J69" s="20"/>
      <c r="K69" s="19"/>
      <c r="L69" s="20"/>
    </row>
    <row r="70" customFormat="false" ht="15" hidden="false" customHeight="false" outlineLevel="0" collapsed="false">
      <c r="A70" s="20"/>
      <c r="B70" s="20"/>
      <c r="C70" s="20"/>
      <c r="D70" s="20"/>
      <c r="E70" s="20"/>
      <c r="F70" s="20"/>
      <c r="G70" s="20"/>
      <c r="H70" s="19"/>
      <c r="I70" s="20"/>
      <c r="J70" s="20"/>
      <c r="K70" s="19"/>
      <c r="L70" s="20"/>
    </row>
    <row r="71" customFormat="false" ht="15" hidden="false" customHeight="false" outlineLevel="0" collapsed="false">
      <c r="A71" s="20"/>
      <c r="B71" s="20"/>
      <c r="C71" s="20"/>
      <c r="D71" s="20"/>
      <c r="E71" s="20"/>
      <c r="F71" s="20"/>
      <c r="G71" s="20"/>
      <c r="H71" s="19"/>
      <c r="I71" s="20"/>
      <c r="J71" s="20"/>
      <c r="K71" s="19"/>
      <c r="L71" s="20"/>
    </row>
    <row r="72" customFormat="false" ht="15" hidden="false" customHeight="false" outlineLevel="0" collapsed="false">
      <c r="A72" s="20"/>
      <c r="B72" s="20"/>
      <c r="C72" s="20"/>
      <c r="D72" s="20"/>
      <c r="E72" s="20"/>
      <c r="F72" s="20"/>
      <c r="G72" s="20"/>
      <c r="H72" s="19"/>
      <c r="I72" s="20"/>
      <c r="J72" s="20"/>
      <c r="K72" s="19"/>
      <c r="L72" s="20"/>
    </row>
    <row r="73" customFormat="false" ht="15" hidden="false" customHeight="false" outlineLevel="0" collapsed="false">
      <c r="A73" s="20"/>
      <c r="B73" s="20"/>
      <c r="C73" s="20"/>
      <c r="D73" s="20"/>
      <c r="E73" s="20"/>
      <c r="F73" s="20"/>
      <c r="G73" s="20"/>
      <c r="H73" s="19"/>
      <c r="I73" s="20"/>
      <c r="J73" s="20"/>
      <c r="K73" s="19"/>
      <c r="L73" s="20"/>
    </row>
    <row r="74" customFormat="false" ht="15" hidden="false" customHeight="false" outlineLevel="0" collapsed="false">
      <c r="A74" s="20"/>
      <c r="B74" s="20"/>
      <c r="C74" s="20"/>
      <c r="D74" s="20"/>
      <c r="E74" s="20"/>
      <c r="F74" s="20"/>
      <c r="G74" s="20"/>
      <c r="H74" s="19"/>
      <c r="I74" s="20"/>
      <c r="J74" s="20"/>
      <c r="K74" s="19"/>
      <c r="L74" s="20"/>
    </row>
    <row r="75" customFormat="false" ht="15" hidden="false" customHeight="false" outlineLevel="0" collapsed="false">
      <c r="A75" s="20"/>
      <c r="B75" s="20"/>
      <c r="C75" s="20"/>
      <c r="D75" s="20"/>
      <c r="E75" s="20"/>
      <c r="F75" s="20"/>
      <c r="G75" s="20"/>
      <c r="H75" s="19"/>
      <c r="I75" s="20"/>
      <c r="J75" s="20"/>
      <c r="K75" s="19"/>
      <c r="L75" s="20"/>
    </row>
    <row r="76" customFormat="false" ht="15" hidden="false" customHeight="false" outlineLevel="0" collapsed="false">
      <c r="A76" s="20"/>
      <c r="B76" s="20"/>
      <c r="C76" s="20"/>
      <c r="D76" s="20"/>
      <c r="E76" s="20"/>
      <c r="F76" s="20"/>
      <c r="G76" s="20"/>
      <c r="H76" s="19"/>
      <c r="I76" s="20"/>
      <c r="J76" s="20"/>
      <c r="K76" s="19"/>
      <c r="L76" s="20"/>
    </row>
    <row r="77" customFormat="false" ht="15" hidden="false" customHeight="false" outlineLevel="0" collapsed="false">
      <c r="A77" s="20"/>
      <c r="B77" s="20"/>
      <c r="C77" s="20"/>
      <c r="D77" s="20"/>
      <c r="E77" s="20"/>
      <c r="F77" s="20"/>
      <c r="G77" s="20"/>
      <c r="H77" s="19"/>
      <c r="I77" s="20"/>
      <c r="J77" s="20"/>
      <c r="K77" s="19"/>
      <c r="L77" s="20"/>
    </row>
    <row r="78" customFormat="false" ht="15" hidden="false" customHeight="false" outlineLevel="0" collapsed="false">
      <c r="A78" s="20"/>
      <c r="B78" s="20"/>
      <c r="C78" s="20"/>
      <c r="D78" s="20"/>
      <c r="E78" s="20"/>
      <c r="F78" s="20"/>
      <c r="G78" s="20"/>
      <c r="H78" s="19"/>
      <c r="I78" s="20"/>
      <c r="J78" s="20"/>
      <c r="K78" s="19"/>
      <c r="L78" s="20"/>
    </row>
    <row r="79" customFormat="false" ht="15" hidden="false" customHeight="false" outlineLevel="0" collapsed="false">
      <c r="A79" s="20"/>
      <c r="B79" s="20"/>
      <c r="C79" s="20"/>
      <c r="D79" s="20"/>
      <c r="E79" s="20"/>
      <c r="F79" s="20"/>
      <c r="G79" s="20"/>
      <c r="H79" s="19"/>
      <c r="I79" s="20"/>
      <c r="J79" s="20"/>
      <c r="K79" s="19"/>
      <c r="L79" s="20"/>
    </row>
    <row r="80" customFormat="false" ht="15" hidden="false" customHeight="false" outlineLevel="0" collapsed="false">
      <c r="A80" s="20"/>
      <c r="B80" s="20"/>
      <c r="C80" s="20"/>
      <c r="D80" s="20"/>
      <c r="E80" s="20"/>
      <c r="F80" s="20"/>
      <c r="G80" s="20"/>
      <c r="H80" s="19"/>
      <c r="I80" s="20"/>
      <c r="J80" s="20"/>
      <c r="K80" s="19"/>
      <c r="L80" s="20"/>
    </row>
    <row r="81" customFormat="false" ht="15" hidden="false" customHeight="false" outlineLevel="0" collapsed="false">
      <c r="A81" s="20"/>
      <c r="B81" s="20"/>
      <c r="C81" s="20"/>
      <c r="D81" s="20"/>
      <c r="E81" s="20"/>
      <c r="F81" s="20"/>
      <c r="G81" s="20"/>
      <c r="H81" s="19"/>
      <c r="I81" s="20"/>
      <c r="J81" s="20"/>
      <c r="K81" s="19"/>
      <c r="L81" s="20"/>
    </row>
    <row r="82" customFormat="false" ht="15" hidden="false" customHeight="false" outlineLevel="0" collapsed="false">
      <c r="A82" s="20"/>
      <c r="B82" s="20"/>
      <c r="C82" s="20"/>
      <c r="D82" s="20"/>
      <c r="E82" s="20"/>
      <c r="F82" s="20"/>
      <c r="G82" s="20"/>
      <c r="H82" s="19"/>
      <c r="I82" s="20"/>
      <c r="J82" s="20"/>
      <c r="K82" s="19"/>
      <c r="L82" s="20"/>
    </row>
    <row r="83" customFormat="false" ht="15" hidden="false" customHeight="false" outlineLevel="0" collapsed="false">
      <c r="A83" s="20"/>
      <c r="B83" s="20"/>
      <c r="C83" s="20"/>
      <c r="D83" s="20"/>
      <c r="E83" s="20"/>
      <c r="F83" s="20"/>
      <c r="G83" s="20"/>
      <c r="H83" s="19"/>
      <c r="I83" s="20"/>
      <c r="J83" s="20"/>
      <c r="K83" s="19"/>
      <c r="L83" s="20"/>
    </row>
    <row r="84" customFormat="false" ht="15" hidden="false" customHeight="false" outlineLevel="0" collapsed="false">
      <c r="A84" s="20"/>
      <c r="B84" s="20"/>
      <c r="C84" s="20"/>
      <c r="D84" s="20"/>
      <c r="E84" s="20"/>
      <c r="F84" s="20"/>
      <c r="G84" s="20"/>
      <c r="H84" s="19"/>
      <c r="I84" s="20"/>
      <c r="J84" s="20"/>
      <c r="K84" s="19"/>
      <c r="L84" s="20"/>
    </row>
    <row r="85" customFormat="false" ht="15" hidden="false" customHeight="false" outlineLevel="0" collapsed="false">
      <c r="A85" s="20"/>
      <c r="B85" s="20"/>
      <c r="C85" s="20"/>
      <c r="D85" s="20"/>
      <c r="E85" s="20"/>
      <c r="F85" s="20"/>
      <c r="G85" s="20"/>
      <c r="H85" s="19"/>
      <c r="I85" s="20"/>
      <c r="J85" s="20"/>
      <c r="K85" s="19"/>
      <c r="L85" s="20"/>
    </row>
    <row r="86" customFormat="false" ht="15" hidden="false" customHeight="false" outlineLevel="0" collapsed="false">
      <c r="A86" s="20"/>
      <c r="B86" s="20"/>
      <c r="C86" s="20"/>
      <c r="D86" s="20"/>
      <c r="E86" s="20"/>
      <c r="F86" s="20"/>
      <c r="G86" s="20"/>
      <c r="H86" s="19"/>
      <c r="I86" s="20"/>
      <c r="J86" s="20"/>
      <c r="K86" s="19"/>
      <c r="L86" s="20"/>
    </row>
    <row r="87" customFormat="false" ht="15" hidden="false" customHeight="false" outlineLevel="0" collapsed="false">
      <c r="A87" s="20"/>
      <c r="B87" s="20"/>
      <c r="C87" s="20"/>
      <c r="D87" s="20"/>
      <c r="E87" s="20"/>
      <c r="F87" s="20"/>
      <c r="G87" s="20"/>
      <c r="H87" s="19"/>
      <c r="I87" s="20"/>
      <c r="J87" s="20"/>
      <c r="K87" s="19"/>
      <c r="L87" s="20"/>
    </row>
    <row r="88" customFormat="false" ht="15" hidden="false" customHeight="false" outlineLevel="0" collapsed="false">
      <c r="A88" s="20"/>
      <c r="B88" s="20"/>
      <c r="C88" s="20"/>
      <c r="D88" s="20"/>
      <c r="E88" s="20"/>
      <c r="F88" s="20"/>
      <c r="G88" s="20"/>
      <c r="H88" s="19"/>
      <c r="I88" s="20"/>
      <c r="J88" s="20"/>
      <c r="K88" s="19"/>
      <c r="L88" s="20"/>
    </row>
    <row r="89" customFormat="false" ht="15" hidden="false" customHeight="false" outlineLevel="0" collapsed="false">
      <c r="A89" s="20"/>
      <c r="B89" s="20"/>
      <c r="C89" s="20"/>
      <c r="D89" s="20"/>
      <c r="E89" s="20"/>
      <c r="F89" s="20"/>
      <c r="G89" s="20"/>
      <c r="H89" s="19"/>
      <c r="I89" s="20"/>
      <c r="J89" s="20"/>
      <c r="K89" s="19"/>
      <c r="L89" s="20"/>
    </row>
    <row r="90" customFormat="false" ht="15" hidden="false" customHeight="false" outlineLevel="0" collapsed="false">
      <c r="A90" s="20"/>
      <c r="B90" s="20"/>
      <c r="C90" s="20"/>
      <c r="D90" s="20"/>
      <c r="E90" s="20"/>
      <c r="F90" s="20"/>
      <c r="G90" s="20"/>
      <c r="H90" s="19"/>
      <c r="I90" s="20"/>
      <c r="J90" s="20"/>
      <c r="K90" s="19"/>
      <c r="L90" s="20"/>
    </row>
    <row r="91" customFormat="false" ht="15" hidden="false" customHeight="false" outlineLevel="0" collapsed="false">
      <c r="A91" s="20"/>
      <c r="B91" s="20"/>
      <c r="C91" s="20"/>
      <c r="D91" s="20"/>
      <c r="E91" s="20"/>
      <c r="F91" s="20"/>
      <c r="G91" s="20"/>
      <c r="H91" s="19"/>
      <c r="I91" s="20"/>
      <c r="J91" s="20"/>
      <c r="K91" s="19"/>
      <c r="L91" s="20"/>
    </row>
    <row r="92" customFormat="false" ht="15" hidden="false" customHeight="false" outlineLevel="0" collapsed="false">
      <c r="A92" s="20"/>
      <c r="B92" s="20"/>
      <c r="C92" s="20"/>
      <c r="D92" s="20"/>
      <c r="E92" s="20"/>
      <c r="F92" s="20"/>
      <c r="G92" s="20"/>
      <c r="H92" s="19"/>
      <c r="I92" s="20"/>
      <c r="J92" s="20"/>
      <c r="K92" s="19"/>
      <c r="L92" s="20"/>
    </row>
    <row r="93" customFormat="false" ht="15" hidden="false" customHeight="false" outlineLevel="0" collapsed="false">
      <c r="A93" s="20"/>
      <c r="B93" s="20"/>
      <c r="C93" s="20"/>
      <c r="D93" s="20"/>
      <c r="E93" s="20"/>
      <c r="F93" s="20"/>
      <c r="G93" s="20"/>
      <c r="H93" s="19"/>
      <c r="I93" s="20"/>
      <c r="J93" s="20"/>
      <c r="K93" s="19"/>
      <c r="L93" s="20"/>
    </row>
    <row r="94" customFormat="false" ht="15" hidden="false" customHeight="false" outlineLevel="0" collapsed="false">
      <c r="A94" s="20"/>
      <c r="B94" s="20"/>
      <c r="C94" s="20"/>
      <c r="D94" s="20"/>
      <c r="E94" s="20"/>
      <c r="F94" s="20"/>
      <c r="G94" s="20"/>
      <c r="H94" s="19"/>
      <c r="I94" s="20"/>
      <c r="J94" s="20"/>
      <c r="K94" s="19"/>
      <c r="L94" s="20"/>
    </row>
    <row r="95" customFormat="false" ht="15" hidden="false" customHeight="false" outlineLevel="0" collapsed="false">
      <c r="A95" s="20"/>
      <c r="B95" s="20"/>
      <c r="C95" s="20"/>
      <c r="D95" s="20"/>
      <c r="E95" s="20"/>
      <c r="F95" s="20"/>
      <c r="G95" s="20"/>
      <c r="H95" s="19"/>
      <c r="I95" s="20"/>
      <c r="J95" s="20"/>
      <c r="K95" s="19"/>
      <c r="L95" s="20"/>
    </row>
    <row r="96" customFormat="false" ht="15" hidden="false" customHeight="false" outlineLevel="0" collapsed="false">
      <c r="A96" s="20"/>
      <c r="B96" s="20"/>
      <c r="C96" s="20"/>
      <c r="D96" s="20"/>
      <c r="E96" s="20"/>
      <c r="F96" s="20"/>
      <c r="G96" s="20"/>
      <c r="H96" s="19"/>
      <c r="I96" s="20"/>
      <c r="J96" s="20"/>
      <c r="K96" s="19"/>
      <c r="L96" s="20"/>
    </row>
    <row r="97" customFormat="false" ht="15" hidden="false" customHeight="false" outlineLevel="0" collapsed="false">
      <c r="A97" s="20"/>
      <c r="B97" s="20"/>
      <c r="C97" s="20"/>
      <c r="D97" s="20"/>
      <c r="E97" s="20"/>
      <c r="F97" s="20"/>
      <c r="G97" s="20"/>
      <c r="H97" s="19"/>
      <c r="I97" s="20"/>
      <c r="J97" s="20"/>
      <c r="K97" s="19"/>
      <c r="L97" s="20"/>
    </row>
    <row r="98" customFormat="false" ht="15" hidden="false" customHeight="false" outlineLevel="0" collapsed="false">
      <c r="A98" s="20"/>
      <c r="B98" s="20"/>
      <c r="C98" s="20"/>
      <c r="D98" s="20"/>
      <c r="E98" s="20"/>
      <c r="F98" s="20"/>
      <c r="G98" s="20"/>
      <c r="H98" s="19"/>
      <c r="I98" s="20"/>
      <c r="J98" s="20"/>
      <c r="K98" s="19"/>
      <c r="L98" s="20"/>
    </row>
    <row r="99" customFormat="false" ht="15" hidden="false" customHeight="false" outlineLevel="0" collapsed="false">
      <c r="A99" s="20"/>
      <c r="B99" s="20"/>
      <c r="C99" s="20"/>
      <c r="D99" s="20"/>
      <c r="E99" s="20"/>
      <c r="F99" s="20"/>
      <c r="G99" s="20"/>
      <c r="H99" s="19"/>
      <c r="I99" s="20"/>
      <c r="J99" s="20"/>
      <c r="K99" s="19"/>
      <c r="L99" s="20"/>
    </row>
    <row r="100" customFormat="false" ht="15" hidden="false" customHeight="false" outlineLevel="0" collapsed="false">
      <c r="A100" s="20"/>
      <c r="B100" s="20"/>
      <c r="C100" s="20"/>
      <c r="D100" s="20"/>
      <c r="E100" s="20"/>
      <c r="F100" s="20"/>
      <c r="G100" s="20"/>
      <c r="H100" s="19"/>
      <c r="I100" s="20"/>
      <c r="J100" s="20"/>
      <c r="K100" s="19"/>
      <c r="L100" s="20"/>
    </row>
    <row r="101" customFormat="false" ht="15" hidden="false" customHeight="false" outlineLevel="0" collapsed="false">
      <c r="A101" s="20"/>
      <c r="B101" s="20"/>
      <c r="C101" s="20"/>
      <c r="D101" s="20"/>
      <c r="E101" s="20"/>
      <c r="F101" s="20"/>
      <c r="G101" s="20"/>
      <c r="H101" s="19"/>
      <c r="I101" s="20"/>
      <c r="J101" s="20"/>
      <c r="K101" s="19"/>
      <c r="L101" s="20"/>
    </row>
    <row r="102" customFormat="false" ht="15" hidden="false" customHeight="false" outlineLevel="0" collapsed="false">
      <c r="A102" s="20"/>
      <c r="B102" s="20"/>
      <c r="C102" s="20"/>
      <c r="D102" s="20"/>
      <c r="E102" s="20"/>
      <c r="F102" s="20"/>
      <c r="G102" s="20"/>
      <c r="H102" s="19"/>
      <c r="I102" s="20"/>
      <c r="J102" s="20"/>
      <c r="K102" s="19"/>
      <c r="L102" s="20"/>
    </row>
    <row r="103" customFormat="false" ht="15" hidden="false" customHeight="false" outlineLevel="0" collapsed="false">
      <c r="A103" s="20"/>
      <c r="B103" s="20"/>
      <c r="C103" s="20"/>
      <c r="D103" s="20"/>
      <c r="E103" s="20"/>
      <c r="F103" s="20"/>
      <c r="G103" s="20"/>
      <c r="H103" s="19"/>
      <c r="I103" s="20"/>
      <c r="J103" s="20"/>
      <c r="K103" s="19"/>
      <c r="L103" s="20"/>
    </row>
    <row r="104" customFormat="false" ht="15" hidden="false" customHeight="false" outlineLevel="0" collapsed="false">
      <c r="A104" s="20"/>
      <c r="B104" s="20"/>
      <c r="C104" s="20"/>
      <c r="D104" s="20"/>
      <c r="E104" s="20"/>
      <c r="F104" s="20"/>
      <c r="G104" s="20"/>
      <c r="H104" s="19"/>
      <c r="I104" s="20"/>
      <c r="J104" s="20"/>
      <c r="K104" s="19"/>
      <c r="L104" s="20"/>
    </row>
    <row r="105" customFormat="false" ht="15" hidden="false" customHeight="false" outlineLevel="0" collapsed="false">
      <c r="A105" s="20"/>
      <c r="B105" s="20"/>
      <c r="C105" s="20"/>
      <c r="D105" s="20"/>
      <c r="E105" s="20"/>
      <c r="F105" s="20"/>
      <c r="G105" s="20"/>
      <c r="H105" s="19"/>
      <c r="I105" s="20"/>
      <c r="J105" s="20"/>
      <c r="K105" s="19"/>
      <c r="L105" s="20"/>
    </row>
    <row r="106" customFormat="false" ht="15" hidden="false" customHeight="false" outlineLevel="0" collapsed="false">
      <c r="A106" s="20"/>
      <c r="B106" s="20"/>
      <c r="C106" s="20"/>
      <c r="D106" s="20"/>
      <c r="E106" s="20"/>
      <c r="F106" s="20"/>
      <c r="G106" s="20"/>
      <c r="H106" s="19"/>
      <c r="I106" s="20"/>
      <c r="J106" s="20"/>
      <c r="K106" s="19"/>
      <c r="L106" s="20"/>
    </row>
    <row r="107" customFormat="false" ht="15" hidden="false" customHeight="false" outlineLevel="0" collapsed="false">
      <c r="A107" s="20"/>
      <c r="B107" s="20"/>
      <c r="C107" s="20"/>
      <c r="D107" s="20"/>
      <c r="E107" s="20"/>
      <c r="F107" s="20"/>
      <c r="G107" s="20"/>
      <c r="H107" s="19"/>
      <c r="I107" s="20"/>
      <c r="J107" s="20"/>
      <c r="K107" s="19"/>
      <c r="L107" s="20"/>
    </row>
    <row r="108" customFormat="false" ht="15" hidden="false" customHeight="false" outlineLevel="0" collapsed="false">
      <c r="A108" s="20"/>
      <c r="B108" s="20"/>
      <c r="C108" s="20"/>
      <c r="D108" s="20"/>
      <c r="E108" s="20"/>
      <c r="F108" s="20"/>
      <c r="G108" s="20"/>
      <c r="H108" s="19"/>
      <c r="I108" s="20"/>
      <c r="J108" s="20"/>
      <c r="K108" s="19"/>
      <c r="L108" s="20"/>
    </row>
    <row r="109" customFormat="false" ht="15" hidden="false" customHeight="false" outlineLevel="0" collapsed="false">
      <c r="A109" s="20"/>
      <c r="B109" s="20"/>
      <c r="C109" s="20"/>
      <c r="D109" s="20"/>
      <c r="E109" s="20"/>
      <c r="F109" s="20"/>
      <c r="G109" s="20"/>
      <c r="H109" s="19"/>
      <c r="I109" s="20"/>
      <c r="J109" s="20"/>
      <c r="K109" s="19"/>
      <c r="L109" s="20"/>
    </row>
    <row r="110" customFormat="false" ht="15" hidden="false" customHeight="false" outlineLevel="0" collapsed="false">
      <c r="A110" s="20"/>
      <c r="B110" s="20"/>
      <c r="C110" s="20"/>
      <c r="D110" s="20"/>
      <c r="E110" s="20"/>
      <c r="F110" s="20"/>
      <c r="G110" s="20"/>
      <c r="H110" s="19"/>
      <c r="I110" s="20"/>
      <c r="J110" s="20"/>
      <c r="K110" s="19"/>
      <c r="L110" s="20"/>
    </row>
    <row r="111" customFormat="false" ht="15" hidden="false" customHeight="false" outlineLevel="0" collapsed="false">
      <c r="A111" s="20"/>
      <c r="B111" s="20"/>
      <c r="C111" s="20"/>
      <c r="D111" s="20"/>
      <c r="E111" s="20"/>
      <c r="F111" s="20"/>
      <c r="G111" s="20"/>
      <c r="H111" s="19"/>
      <c r="I111" s="20"/>
      <c r="J111" s="20"/>
      <c r="K111" s="19"/>
      <c r="L111" s="20"/>
    </row>
    <row r="112" customFormat="false" ht="15" hidden="false" customHeight="false" outlineLevel="0" collapsed="false">
      <c r="A112" s="20"/>
      <c r="B112" s="20"/>
      <c r="C112" s="20"/>
      <c r="D112" s="20"/>
      <c r="E112" s="20"/>
      <c r="F112" s="20"/>
      <c r="G112" s="20"/>
      <c r="H112" s="19"/>
      <c r="I112" s="20"/>
      <c r="J112" s="20"/>
      <c r="K112" s="19"/>
      <c r="L112" s="20"/>
    </row>
    <row r="113" customFormat="false" ht="15" hidden="false" customHeight="false" outlineLevel="0" collapsed="false">
      <c r="A113" s="20"/>
      <c r="B113" s="20"/>
      <c r="C113" s="20"/>
      <c r="D113" s="20"/>
      <c r="E113" s="20"/>
      <c r="F113" s="20"/>
      <c r="G113" s="20"/>
      <c r="H113" s="19"/>
      <c r="I113" s="20"/>
      <c r="J113" s="20"/>
      <c r="K113" s="19"/>
      <c r="L113" s="20"/>
    </row>
    <row r="114" customFormat="false" ht="15" hidden="false" customHeight="false" outlineLevel="0" collapsed="false">
      <c r="A114" s="20"/>
      <c r="B114" s="20"/>
      <c r="C114" s="20"/>
      <c r="D114" s="20"/>
      <c r="E114" s="20"/>
      <c r="F114" s="20"/>
      <c r="G114" s="20"/>
      <c r="H114" s="19"/>
      <c r="I114" s="20"/>
      <c r="J114" s="20"/>
      <c r="K114" s="19"/>
      <c r="L114" s="20"/>
    </row>
    <row r="115" customFormat="false" ht="15" hidden="false" customHeight="false" outlineLevel="0" collapsed="false">
      <c r="A115" s="20"/>
      <c r="B115" s="20"/>
      <c r="C115" s="20"/>
      <c r="D115" s="20"/>
      <c r="E115" s="20"/>
      <c r="F115" s="20"/>
      <c r="G115" s="20"/>
      <c r="H115" s="19"/>
      <c r="I115" s="20"/>
      <c r="J115" s="20"/>
      <c r="K115" s="19"/>
      <c r="L115" s="20"/>
    </row>
    <row r="116" customFormat="false" ht="15" hidden="false" customHeight="false" outlineLevel="0" collapsed="false">
      <c r="A116" s="20"/>
      <c r="B116" s="20"/>
      <c r="C116" s="20"/>
      <c r="D116" s="20"/>
      <c r="E116" s="20"/>
      <c r="F116" s="20"/>
      <c r="G116" s="20"/>
      <c r="H116" s="19"/>
      <c r="I116" s="20"/>
      <c r="J116" s="20"/>
      <c r="K116" s="19"/>
      <c r="L116" s="20"/>
    </row>
    <row r="117" customFormat="false" ht="15" hidden="false" customHeight="false" outlineLevel="0" collapsed="false">
      <c r="A117" s="20"/>
      <c r="B117" s="20"/>
      <c r="C117" s="20"/>
      <c r="D117" s="20"/>
      <c r="E117" s="20"/>
      <c r="F117" s="20"/>
      <c r="G117" s="20"/>
      <c r="H117" s="19"/>
      <c r="I117" s="20"/>
      <c r="J117" s="20"/>
      <c r="K117" s="19"/>
      <c r="L117" s="20"/>
    </row>
    <row r="118" customFormat="false" ht="15" hidden="false" customHeight="false" outlineLevel="0" collapsed="false">
      <c r="A118" s="20"/>
      <c r="B118" s="20"/>
      <c r="C118" s="20"/>
      <c r="D118" s="20"/>
      <c r="E118" s="20"/>
      <c r="F118" s="20"/>
      <c r="G118" s="20"/>
      <c r="H118" s="19"/>
      <c r="I118" s="20"/>
      <c r="J118" s="20"/>
      <c r="K118" s="19"/>
      <c r="L118" s="20"/>
    </row>
    <row r="119" customFormat="false" ht="15" hidden="false" customHeight="false" outlineLevel="0" collapsed="false">
      <c r="A119" s="20"/>
      <c r="B119" s="20"/>
      <c r="C119" s="20"/>
      <c r="D119" s="20"/>
      <c r="E119" s="20"/>
      <c r="F119" s="20"/>
      <c r="G119" s="20"/>
      <c r="H119" s="19"/>
      <c r="I119" s="20"/>
      <c r="J119" s="20"/>
      <c r="K119" s="19"/>
      <c r="L119" s="20"/>
    </row>
    <row r="120" customFormat="false" ht="15" hidden="false" customHeight="false" outlineLevel="0" collapsed="false">
      <c r="A120" s="20"/>
      <c r="B120" s="20"/>
      <c r="C120" s="20"/>
      <c r="D120" s="20"/>
      <c r="E120" s="20"/>
      <c r="F120" s="20"/>
      <c r="G120" s="20"/>
      <c r="H120" s="19"/>
      <c r="I120" s="20"/>
      <c r="J120" s="20"/>
      <c r="K120" s="19"/>
      <c r="L120" s="20"/>
    </row>
    <row r="121" customFormat="false" ht="15" hidden="false" customHeight="false" outlineLevel="0" collapsed="false">
      <c r="A121" s="20"/>
      <c r="B121" s="20"/>
      <c r="C121" s="20"/>
      <c r="D121" s="20"/>
      <c r="E121" s="20"/>
      <c r="F121" s="20"/>
      <c r="G121" s="20"/>
      <c r="H121" s="19"/>
      <c r="I121" s="20"/>
      <c r="J121" s="20"/>
      <c r="K121" s="19"/>
      <c r="L121" s="20"/>
    </row>
    <row r="122" customFormat="false" ht="15" hidden="false" customHeight="false" outlineLevel="0" collapsed="false">
      <c r="A122" s="20"/>
      <c r="B122" s="20"/>
      <c r="C122" s="20"/>
      <c r="D122" s="20"/>
      <c r="E122" s="20"/>
      <c r="F122" s="20"/>
      <c r="G122" s="20"/>
      <c r="H122" s="19"/>
      <c r="I122" s="20"/>
      <c r="J122" s="20"/>
      <c r="K122" s="19"/>
      <c r="L122" s="20"/>
    </row>
    <row r="123" customFormat="false" ht="15" hidden="false" customHeight="false" outlineLevel="0" collapsed="false">
      <c r="A123" s="20"/>
      <c r="B123" s="20"/>
      <c r="C123" s="20"/>
      <c r="D123" s="20"/>
      <c r="E123" s="20"/>
      <c r="F123" s="20"/>
      <c r="G123" s="20"/>
      <c r="H123" s="19"/>
      <c r="I123" s="20"/>
      <c r="J123" s="20"/>
      <c r="K123" s="19"/>
      <c r="L123" s="20"/>
    </row>
    <row r="124" customFormat="false" ht="15" hidden="false" customHeight="false" outlineLevel="0" collapsed="false">
      <c r="A124" s="20"/>
      <c r="B124" s="20"/>
      <c r="C124" s="20"/>
      <c r="D124" s="20"/>
      <c r="E124" s="20"/>
      <c r="F124" s="20"/>
      <c r="G124" s="20"/>
      <c r="H124" s="19"/>
      <c r="I124" s="20"/>
      <c r="J124" s="20"/>
      <c r="K124" s="19"/>
      <c r="L124" s="20"/>
    </row>
    <row r="125" customFormat="false" ht="15" hidden="false" customHeight="false" outlineLevel="0" collapsed="false">
      <c r="A125" s="20"/>
      <c r="B125" s="20"/>
      <c r="C125" s="20"/>
      <c r="D125" s="20"/>
      <c r="E125" s="20"/>
      <c r="F125" s="20"/>
      <c r="G125" s="20"/>
      <c r="H125" s="19"/>
      <c r="I125" s="20"/>
      <c r="J125" s="20"/>
      <c r="K125" s="19"/>
      <c r="L125" s="20"/>
    </row>
    <row r="126" customFormat="false" ht="15" hidden="false" customHeight="false" outlineLevel="0" collapsed="false">
      <c r="A126" s="20"/>
      <c r="B126" s="20"/>
      <c r="C126" s="20"/>
      <c r="D126" s="20"/>
      <c r="E126" s="20"/>
      <c r="F126" s="20"/>
      <c r="G126" s="20"/>
      <c r="H126" s="19"/>
      <c r="I126" s="20"/>
      <c r="J126" s="20"/>
      <c r="K126" s="19"/>
      <c r="L126" s="20"/>
    </row>
    <row r="127" customFormat="false" ht="15" hidden="false" customHeight="false" outlineLevel="0" collapsed="false">
      <c r="A127" s="20"/>
      <c r="B127" s="20"/>
      <c r="C127" s="20"/>
      <c r="D127" s="20"/>
      <c r="E127" s="20"/>
      <c r="F127" s="20"/>
      <c r="G127" s="20"/>
      <c r="H127" s="19"/>
      <c r="I127" s="20"/>
      <c r="J127" s="20"/>
      <c r="K127" s="19"/>
      <c r="L127" s="20"/>
    </row>
    <row r="128" customFormat="false" ht="15" hidden="false" customHeight="false" outlineLevel="0" collapsed="false">
      <c r="A128" s="20"/>
      <c r="B128" s="20"/>
      <c r="C128" s="20"/>
      <c r="D128" s="20"/>
      <c r="E128" s="20"/>
      <c r="F128" s="20"/>
      <c r="G128" s="20"/>
      <c r="H128" s="19"/>
      <c r="I128" s="20"/>
      <c r="J128" s="20"/>
      <c r="K128" s="19"/>
      <c r="L128" s="20"/>
    </row>
    <row r="129" customFormat="false" ht="15" hidden="false" customHeight="false" outlineLevel="0" collapsed="false">
      <c r="A129" s="20"/>
      <c r="B129" s="20"/>
      <c r="C129" s="20"/>
      <c r="D129" s="20"/>
      <c r="E129" s="20"/>
      <c r="F129" s="20"/>
      <c r="G129" s="20"/>
      <c r="H129" s="19"/>
      <c r="I129" s="20"/>
      <c r="J129" s="20"/>
      <c r="K129" s="19"/>
      <c r="L129" s="20"/>
    </row>
    <row r="130" customFormat="false" ht="15" hidden="false" customHeight="false" outlineLevel="0" collapsed="false">
      <c r="A130" s="20"/>
      <c r="B130" s="20"/>
      <c r="C130" s="20"/>
      <c r="D130" s="20"/>
      <c r="E130" s="20"/>
      <c r="F130" s="20"/>
      <c r="G130" s="20"/>
      <c r="H130" s="19"/>
      <c r="I130" s="20"/>
      <c r="J130" s="20"/>
      <c r="K130" s="19"/>
      <c r="L130" s="20"/>
    </row>
    <row r="131" customFormat="false" ht="15" hidden="false" customHeight="false" outlineLevel="0" collapsed="false">
      <c r="A131" s="20"/>
      <c r="B131" s="20"/>
      <c r="C131" s="20"/>
      <c r="D131" s="20"/>
      <c r="E131" s="20"/>
      <c r="F131" s="20"/>
      <c r="G131" s="20"/>
      <c r="H131" s="19"/>
      <c r="I131" s="20"/>
      <c r="J131" s="20"/>
      <c r="K131" s="19"/>
      <c r="L131" s="20"/>
    </row>
    <row r="132" customFormat="false" ht="15" hidden="false" customHeight="false" outlineLevel="0" collapsed="false">
      <c r="A132" s="20"/>
      <c r="B132" s="20"/>
      <c r="C132" s="20"/>
      <c r="D132" s="20"/>
      <c r="E132" s="20"/>
      <c r="F132" s="20"/>
      <c r="G132" s="20"/>
      <c r="H132" s="19"/>
      <c r="I132" s="20"/>
      <c r="J132" s="20"/>
      <c r="K132" s="19"/>
      <c r="L132" s="20"/>
    </row>
    <row r="133" customFormat="false" ht="15" hidden="false" customHeight="false" outlineLevel="0" collapsed="false">
      <c r="A133" s="20"/>
      <c r="B133" s="20"/>
      <c r="C133" s="20"/>
      <c r="D133" s="20"/>
      <c r="E133" s="20"/>
      <c r="F133" s="20"/>
      <c r="G133" s="20"/>
      <c r="H133" s="19"/>
      <c r="I133" s="20"/>
      <c r="J133" s="20"/>
      <c r="K133" s="19"/>
      <c r="L133" s="20"/>
    </row>
    <row r="134" customFormat="false" ht="15" hidden="false" customHeight="false" outlineLevel="0" collapsed="false">
      <c r="A134" s="20"/>
      <c r="B134" s="20"/>
      <c r="C134" s="20"/>
      <c r="D134" s="20"/>
      <c r="E134" s="20"/>
      <c r="F134" s="20"/>
      <c r="G134" s="20"/>
      <c r="H134" s="19"/>
      <c r="I134" s="20"/>
      <c r="J134" s="20"/>
      <c r="K134" s="19"/>
      <c r="L134" s="20"/>
    </row>
    <row r="135" customFormat="false" ht="15" hidden="false" customHeight="false" outlineLevel="0" collapsed="false">
      <c r="A135" s="20"/>
      <c r="B135" s="20"/>
      <c r="C135" s="20"/>
      <c r="D135" s="20"/>
      <c r="E135" s="20"/>
      <c r="F135" s="20"/>
      <c r="G135" s="20"/>
      <c r="H135" s="19"/>
      <c r="I135" s="20"/>
      <c r="J135" s="20"/>
      <c r="K135" s="19"/>
      <c r="L135" s="20"/>
    </row>
    <row r="136" customFormat="false" ht="15" hidden="false" customHeight="false" outlineLevel="0" collapsed="false">
      <c r="A136" s="20"/>
      <c r="B136" s="20"/>
      <c r="C136" s="20"/>
      <c r="D136" s="20"/>
      <c r="E136" s="20"/>
      <c r="F136" s="20"/>
      <c r="G136" s="20"/>
      <c r="H136" s="19"/>
      <c r="I136" s="20"/>
      <c r="J136" s="20"/>
      <c r="K136" s="19"/>
      <c r="L136" s="20"/>
    </row>
    <row r="137" customFormat="false" ht="15" hidden="false" customHeight="false" outlineLevel="0" collapsed="false">
      <c r="A137" s="20"/>
      <c r="B137" s="20"/>
      <c r="C137" s="20"/>
      <c r="D137" s="20"/>
      <c r="E137" s="20"/>
      <c r="F137" s="20"/>
      <c r="G137" s="20"/>
      <c r="H137" s="19"/>
      <c r="I137" s="20"/>
      <c r="J137" s="20"/>
      <c r="K137" s="19"/>
      <c r="L137" s="20"/>
    </row>
    <row r="138" customFormat="false" ht="15" hidden="false" customHeight="false" outlineLevel="0" collapsed="false">
      <c r="A138" s="20"/>
      <c r="B138" s="20"/>
      <c r="C138" s="20"/>
      <c r="D138" s="20"/>
      <c r="E138" s="20"/>
      <c r="F138" s="20"/>
      <c r="G138" s="20"/>
      <c r="H138" s="19"/>
      <c r="I138" s="20"/>
      <c r="J138" s="20"/>
      <c r="K138" s="19"/>
      <c r="L138" s="20"/>
    </row>
    <row r="139" customFormat="false" ht="15" hidden="false" customHeight="false" outlineLevel="0" collapsed="false">
      <c r="A139" s="20"/>
      <c r="B139" s="20"/>
      <c r="C139" s="20"/>
      <c r="D139" s="20"/>
      <c r="E139" s="20"/>
      <c r="F139" s="20"/>
      <c r="G139" s="20"/>
      <c r="H139" s="19"/>
      <c r="I139" s="20"/>
      <c r="J139" s="20"/>
      <c r="K139" s="19"/>
      <c r="L139" s="20"/>
    </row>
    <row r="140" customFormat="false" ht="15" hidden="false" customHeight="false" outlineLevel="0" collapsed="false">
      <c r="A140" s="20"/>
      <c r="B140" s="20"/>
      <c r="C140" s="20"/>
      <c r="D140" s="20"/>
      <c r="E140" s="20"/>
      <c r="F140" s="20"/>
      <c r="G140" s="20"/>
      <c r="H140" s="19"/>
      <c r="I140" s="20"/>
      <c r="J140" s="20"/>
      <c r="K140" s="19"/>
      <c r="L140" s="20"/>
    </row>
    <row r="141" customFormat="false" ht="15" hidden="false" customHeight="false" outlineLevel="0" collapsed="false">
      <c r="A141" s="20"/>
      <c r="B141" s="20"/>
      <c r="C141" s="20"/>
      <c r="D141" s="20"/>
      <c r="E141" s="20"/>
      <c r="F141" s="20"/>
      <c r="G141" s="20"/>
      <c r="H141" s="19"/>
      <c r="I141" s="20"/>
      <c r="J141" s="20"/>
      <c r="K141" s="19"/>
      <c r="L141" s="20"/>
    </row>
    <row r="142" customFormat="false" ht="15" hidden="false" customHeight="false" outlineLevel="0" collapsed="false">
      <c r="A142" s="20"/>
      <c r="B142" s="20"/>
      <c r="C142" s="20"/>
      <c r="D142" s="20"/>
      <c r="E142" s="20"/>
      <c r="F142" s="20"/>
      <c r="G142" s="20"/>
      <c r="H142" s="19"/>
      <c r="I142" s="20"/>
      <c r="J142" s="20"/>
      <c r="K142" s="19"/>
      <c r="L142" s="20"/>
    </row>
    <row r="143" customFormat="false" ht="15" hidden="false" customHeight="false" outlineLevel="0" collapsed="false">
      <c r="A143" s="20"/>
      <c r="B143" s="20"/>
      <c r="C143" s="20"/>
      <c r="D143" s="20"/>
      <c r="E143" s="20"/>
      <c r="F143" s="20"/>
      <c r="G143" s="20"/>
      <c r="H143" s="19"/>
      <c r="I143" s="20"/>
      <c r="J143" s="20"/>
      <c r="K143" s="19"/>
      <c r="L143" s="20"/>
    </row>
    <row r="144" customFormat="false" ht="15" hidden="false" customHeight="false" outlineLevel="0" collapsed="false">
      <c r="A144" s="20"/>
      <c r="B144" s="20"/>
      <c r="C144" s="20"/>
      <c r="D144" s="20"/>
      <c r="E144" s="20"/>
      <c r="F144" s="20"/>
      <c r="G144" s="20"/>
      <c r="H144" s="19"/>
      <c r="I144" s="20"/>
      <c r="J144" s="20"/>
      <c r="K144" s="19"/>
      <c r="L144" s="20"/>
    </row>
    <row r="145" customFormat="false" ht="15" hidden="false" customHeight="false" outlineLevel="0" collapsed="false">
      <c r="A145" s="20"/>
      <c r="B145" s="20"/>
      <c r="C145" s="20"/>
      <c r="D145" s="20"/>
      <c r="E145" s="20"/>
      <c r="F145" s="20"/>
      <c r="G145" s="20"/>
      <c r="H145" s="19"/>
      <c r="I145" s="20"/>
      <c r="J145" s="20"/>
      <c r="K145" s="19"/>
      <c r="L145" s="20"/>
    </row>
    <row r="146" customFormat="false" ht="15" hidden="false" customHeight="false" outlineLevel="0" collapsed="false">
      <c r="A146" s="20"/>
      <c r="B146" s="20"/>
      <c r="C146" s="20"/>
      <c r="D146" s="20"/>
      <c r="E146" s="20"/>
      <c r="F146" s="20"/>
      <c r="G146" s="20"/>
      <c r="H146" s="19"/>
      <c r="I146" s="20"/>
      <c r="J146" s="20"/>
      <c r="K146" s="19"/>
      <c r="L146" s="20"/>
    </row>
    <row r="147" customFormat="false" ht="15" hidden="false" customHeight="false" outlineLevel="0" collapsed="false">
      <c r="A147" s="20"/>
      <c r="B147" s="20"/>
      <c r="C147" s="20"/>
      <c r="D147" s="20"/>
      <c r="E147" s="20"/>
      <c r="F147" s="20"/>
      <c r="G147" s="20"/>
      <c r="H147" s="19"/>
      <c r="I147" s="20"/>
      <c r="J147" s="20"/>
      <c r="K147" s="19"/>
      <c r="L147" s="20"/>
    </row>
    <row r="148" customFormat="false" ht="15" hidden="false" customHeight="false" outlineLevel="0" collapsed="false">
      <c r="A148" s="20"/>
      <c r="B148" s="20"/>
      <c r="C148" s="20"/>
      <c r="D148" s="20"/>
      <c r="E148" s="20"/>
      <c r="F148" s="20"/>
      <c r="G148" s="20"/>
      <c r="H148" s="19"/>
      <c r="I148" s="20"/>
      <c r="J148" s="20"/>
      <c r="K148" s="19"/>
      <c r="L148" s="20"/>
    </row>
    <row r="149" customFormat="false" ht="15" hidden="false" customHeight="false" outlineLevel="0" collapsed="false">
      <c r="A149" s="20"/>
      <c r="B149" s="20"/>
      <c r="C149" s="20"/>
      <c r="D149" s="20"/>
      <c r="E149" s="20"/>
      <c r="F149" s="20"/>
      <c r="G149" s="20"/>
      <c r="H149" s="19"/>
      <c r="I149" s="20"/>
      <c r="J149" s="20"/>
      <c r="K149" s="19"/>
      <c r="L149" s="20"/>
    </row>
    <row r="150" customFormat="false" ht="15" hidden="false" customHeight="false" outlineLevel="0" collapsed="false">
      <c r="A150" s="20"/>
      <c r="B150" s="20"/>
      <c r="C150" s="20"/>
      <c r="D150" s="20"/>
      <c r="E150" s="20"/>
      <c r="F150" s="20"/>
      <c r="G150" s="20"/>
      <c r="H150" s="19"/>
      <c r="I150" s="20"/>
      <c r="J150" s="20"/>
      <c r="K150" s="19"/>
      <c r="L150" s="20"/>
    </row>
    <row r="151" customFormat="false" ht="15" hidden="false" customHeight="false" outlineLevel="0" collapsed="false">
      <c r="A151" s="20"/>
      <c r="B151" s="20"/>
      <c r="C151" s="20"/>
      <c r="D151" s="20"/>
      <c r="E151" s="20"/>
      <c r="F151" s="20"/>
      <c r="G151" s="20"/>
      <c r="H151" s="19"/>
      <c r="I151" s="20"/>
      <c r="J151" s="20"/>
      <c r="K151" s="19"/>
      <c r="L151" s="20"/>
    </row>
    <row r="152" customFormat="false" ht="15" hidden="false" customHeight="false" outlineLevel="0" collapsed="false">
      <c r="A152" s="20"/>
      <c r="B152" s="20"/>
      <c r="C152" s="20"/>
      <c r="D152" s="20"/>
      <c r="E152" s="20"/>
      <c r="F152" s="20"/>
      <c r="G152" s="20"/>
      <c r="H152" s="19"/>
      <c r="I152" s="20"/>
      <c r="J152" s="20"/>
      <c r="K152" s="19"/>
      <c r="L152" s="20"/>
    </row>
    <row r="153" customFormat="false" ht="15" hidden="false" customHeight="false" outlineLevel="0" collapsed="false">
      <c r="A153" s="20"/>
      <c r="B153" s="20"/>
      <c r="C153" s="20"/>
      <c r="D153" s="20"/>
      <c r="E153" s="20"/>
      <c r="F153" s="20"/>
      <c r="G153" s="20"/>
      <c r="H153" s="19"/>
      <c r="I153" s="20"/>
      <c r="J153" s="20"/>
      <c r="K153" s="19"/>
      <c r="L153" s="20"/>
    </row>
    <row r="154" customFormat="false" ht="15" hidden="false" customHeight="false" outlineLevel="0" collapsed="false">
      <c r="A154" s="20"/>
      <c r="B154" s="20"/>
      <c r="C154" s="20"/>
      <c r="D154" s="20"/>
      <c r="E154" s="20"/>
      <c r="F154" s="20"/>
      <c r="G154" s="20"/>
      <c r="H154" s="19"/>
      <c r="I154" s="20"/>
      <c r="J154" s="20"/>
      <c r="K154" s="19"/>
      <c r="L154" s="20"/>
    </row>
    <row r="155" customFormat="false" ht="15" hidden="false" customHeight="false" outlineLevel="0" collapsed="false">
      <c r="A155" s="20"/>
      <c r="B155" s="20"/>
      <c r="C155" s="20"/>
      <c r="D155" s="20"/>
      <c r="E155" s="20"/>
      <c r="F155" s="20"/>
      <c r="G155" s="20"/>
      <c r="H155" s="19"/>
      <c r="I155" s="20"/>
      <c r="J155" s="20"/>
      <c r="K155" s="19"/>
      <c r="L155" s="20"/>
    </row>
    <row r="156" customFormat="false" ht="15" hidden="false" customHeight="false" outlineLevel="0" collapsed="false">
      <c r="A156" s="20"/>
      <c r="B156" s="20"/>
      <c r="C156" s="20"/>
      <c r="D156" s="20"/>
      <c r="E156" s="20"/>
      <c r="F156" s="20"/>
      <c r="G156" s="20"/>
      <c r="H156" s="19"/>
      <c r="I156" s="20"/>
      <c r="J156" s="20"/>
      <c r="K156" s="19"/>
      <c r="L156" s="20"/>
    </row>
    <row r="157" customFormat="false" ht="15" hidden="false" customHeight="false" outlineLevel="0" collapsed="false">
      <c r="A157" s="20"/>
      <c r="B157" s="20"/>
      <c r="C157" s="20"/>
      <c r="D157" s="20"/>
      <c r="E157" s="20"/>
      <c r="F157" s="20"/>
      <c r="G157" s="20"/>
      <c r="H157" s="19"/>
      <c r="I157" s="20"/>
      <c r="J157" s="20"/>
      <c r="K157" s="19"/>
      <c r="L157" s="20"/>
    </row>
    <row r="158" customFormat="false" ht="15" hidden="false" customHeight="false" outlineLevel="0" collapsed="false">
      <c r="A158" s="20"/>
      <c r="B158" s="20"/>
      <c r="C158" s="20"/>
      <c r="D158" s="20"/>
      <c r="E158" s="20"/>
      <c r="F158" s="20"/>
      <c r="G158" s="20"/>
      <c r="H158" s="19"/>
      <c r="I158" s="20"/>
      <c r="J158" s="20"/>
      <c r="K158" s="19"/>
      <c r="L158" s="20"/>
    </row>
    <row r="159" customFormat="false" ht="15" hidden="false" customHeight="false" outlineLevel="0" collapsed="false">
      <c r="A159" s="20"/>
      <c r="B159" s="20"/>
      <c r="C159" s="20"/>
      <c r="D159" s="20"/>
      <c r="E159" s="20"/>
      <c r="F159" s="20"/>
      <c r="G159" s="20"/>
      <c r="H159" s="19"/>
      <c r="I159" s="20"/>
      <c r="J159" s="20"/>
      <c r="K159" s="19"/>
      <c r="L159" s="20"/>
    </row>
    <row r="160" customFormat="false" ht="15" hidden="false" customHeight="false" outlineLevel="0" collapsed="false">
      <c r="A160" s="20"/>
      <c r="B160" s="20"/>
      <c r="C160" s="20"/>
      <c r="D160" s="20"/>
      <c r="E160" s="20"/>
      <c r="F160" s="20"/>
      <c r="G160" s="20"/>
      <c r="H160" s="19"/>
      <c r="I160" s="20"/>
      <c r="J160" s="20"/>
      <c r="K160" s="19"/>
      <c r="L160" s="20"/>
    </row>
    <row r="161" customFormat="false" ht="15" hidden="false" customHeight="false" outlineLevel="0" collapsed="false">
      <c r="A161" s="20"/>
      <c r="B161" s="20"/>
      <c r="C161" s="20"/>
      <c r="D161" s="20"/>
      <c r="E161" s="20"/>
      <c r="F161" s="20"/>
      <c r="G161" s="20"/>
      <c r="H161" s="19"/>
      <c r="I161" s="20"/>
      <c r="J161" s="20"/>
      <c r="K161" s="19"/>
      <c r="L161" s="20"/>
    </row>
    <row r="162" customFormat="false" ht="15" hidden="false" customHeight="false" outlineLevel="0" collapsed="false">
      <c r="A162" s="20"/>
      <c r="B162" s="20"/>
      <c r="C162" s="20"/>
      <c r="D162" s="20"/>
      <c r="E162" s="20"/>
      <c r="F162" s="20"/>
      <c r="G162" s="20"/>
      <c r="H162" s="19"/>
      <c r="I162" s="20"/>
      <c r="J162" s="20"/>
      <c r="K162" s="19"/>
      <c r="L162" s="20"/>
    </row>
    <row r="163" customFormat="false" ht="15" hidden="false" customHeight="false" outlineLevel="0" collapsed="false">
      <c r="A163" s="20"/>
      <c r="B163" s="20"/>
      <c r="C163" s="20"/>
      <c r="D163" s="20"/>
      <c r="E163" s="20"/>
      <c r="F163" s="20"/>
      <c r="G163" s="20"/>
      <c r="H163" s="19"/>
      <c r="I163" s="20"/>
      <c r="J163" s="20"/>
      <c r="K163" s="19"/>
      <c r="L163" s="20"/>
    </row>
    <row r="164" customFormat="false" ht="15" hidden="false" customHeight="false" outlineLevel="0" collapsed="false">
      <c r="A164" s="20"/>
      <c r="B164" s="20"/>
      <c r="C164" s="20"/>
      <c r="D164" s="20"/>
      <c r="E164" s="20"/>
      <c r="F164" s="20"/>
      <c r="G164" s="20"/>
      <c r="H164" s="19"/>
      <c r="I164" s="20"/>
      <c r="J164" s="20"/>
      <c r="K164" s="19"/>
      <c r="L164" s="20"/>
    </row>
    <row r="165" customFormat="false" ht="15" hidden="false" customHeight="false" outlineLevel="0" collapsed="false">
      <c r="A165" s="20"/>
      <c r="B165" s="20"/>
      <c r="C165" s="20"/>
      <c r="D165" s="20"/>
      <c r="E165" s="20"/>
      <c r="F165" s="20"/>
      <c r="G165" s="20"/>
      <c r="H165" s="19"/>
      <c r="I165" s="20"/>
      <c r="J165" s="20"/>
      <c r="K165" s="19"/>
      <c r="L165" s="20"/>
    </row>
    <row r="166" customFormat="false" ht="15" hidden="false" customHeight="false" outlineLevel="0" collapsed="false">
      <c r="A166" s="20"/>
      <c r="B166" s="20"/>
      <c r="C166" s="20"/>
      <c r="D166" s="20"/>
      <c r="E166" s="20"/>
      <c r="F166" s="20"/>
      <c r="G166" s="20"/>
      <c r="H166" s="19"/>
      <c r="I166" s="20"/>
      <c r="J166" s="20"/>
      <c r="K166" s="19"/>
      <c r="L166" s="20"/>
    </row>
    <row r="167" customFormat="false" ht="15" hidden="false" customHeight="false" outlineLevel="0" collapsed="false">
      <c r="A167" s="20"/>
      <c r="B167" s="20"/>
      <c r="C167" s="20"/>
      <c r="D167" s="20"/>
      <c r="E167" s="20"/>
      <c r="F167" s="20"/>
      <c r="G167" s="20"/>
      <c r="H167" s="19"/>
      <c r="I167" s="20"/>
      <c r="J167" s="20"/>
      <c r="K167" s="19"/>
      <c r="L167" s="20"/>
    </row>
    <row r="168" customFormat="false" ht="15" hidden="false" customHeight="false" outlineLevel="0" collapsed="false">
      <c r="A168" s="20"/>
      <c r="B168" s="20"/>
      <c r="C168" s="20"/>
      <c r="D168" s="20"/>
      <c r="E168" s="20"/>
      <c r="F168" s="20"/>
      <c r="G168" s="20"/>
      <c r="H168" s="19"/>
      <c r="I168" s="20"/>
      <c r="J168" s="20"/>
      <c r="K168" s="19"/>
      <c r="L168" s="20"/>
    </row>
    <row r="169" customFormat="false" ht="15" hidden="false" customHeight="false" outlineLevel="0" collapsed="false">
      <c r="A169" s="20"/>
      <c r="B169" s="20"/>
      <c r="C169" s="20"/>
      <c r="D169" s="20"/>
      <c r="E169" s="20"/>
      <c r="F169" s="20"/>
      <c r="G169" s="20"/>
      <c r="H169" s="19"/>
      <c r="I169" s="20"/>
      <c r="J169" s="20"/>
      <c r="K169" s="19"/>
      <c r="L169" s="20"/>
    </row>
    <row r="170" customFormat="false" ht="15" hidden="false" customHeight="false" outlineLevel="0" collapsed="false">
      <c r="A170" s="20"/>
      <c r="B170" s="20"/>
      <c r="C170" s="20"/>
      <c r="D170" s="20"/>
      <c r="E170" s="20"/>
      <c r="F170" s="20"/>
      <c r="G170" s="20"/>
      <c r="H170" s="19"/>
      <c r="I170" s="20"/>
      <c r="J170" s="20"/>
      <c r="K170" s="19"/>
      <c r="L170" s="20"/>
    </row>
    <row r="171" customFormat="false" ht="15" hidden="false" customHeight="false" outlineLevel="0" collapsed="false">
      <c r="A171" s="20"/>
      <c r="B171" s="20"/>
      <c r="C171" s="20"/>
      <c r="D171" s="20"/>
      <c r="E171" s="20"/>
      <c r="F171" s="20"/>
      <c r="G171" s="20"/>
      <c r="H171" s="19"/>
      <c r="I171" s="20"/>
      <c r="J171" s="20"/>
      <c r="K171" s="19"/>
      <c r="L171" s="20"/>
    </row>
    <row r="172" customFormat="false" ht="15" hidden="false" customHeight="false" outlineLevel="0" collapsed="false">
      <c r="A172" s="20"/>
      <c r="B172" s="20"/>
      <c r="C172" s="20"/>
      <c r="D172" s="20"/>
      <c r="E172" s="20"/>
      <c r="F172" s="20"/>
      <c r="G172" s="20"/>
      <c r="H172" s="19"/>
      <c r="I172" s="20"/>
      <c r="J172" s="20"/>
      <c r="K172" s="19"/>
      <c r="L172" s="20"/>
    </row>
    <row r="173" customFormat="false" ht="15" hidden="false" customHeight="false" outlineLevel="0" collapsed="false">
      <c r="A173" s="20"/>
      <c r="B173" s="20"/>
      <c r="C173" s="20"/>
      <c r="D173" s="20"/>
      <c r="E173" s="20"/>
      <c r="F173" s="20"/>
      <c r="G173" s="20"/>
      <c r="H173" s="19"/>
      <c r="I173" s="20"/>
      <c r="J173" s="20"/>
      <c r="K173" s="19"/>
      <c r="L173" s="20"/>
    </row>
    <row r="174" customFormat="false" ht="15" hidden="false" customHeight="false" outlineLevel="0" collapsed="false">
      <c r="A174" s="20"/>
      <c r="B174" s="20"/>
      <c r="C174" s="20"/>
      <c r="D174" s="20"/>
      <c r="E174" s="20"/>
      <c r="F174" s="20"/>
      <c r="G174" s="20"/>
      <c r="H174" s="19"/>
      <c r="I174" s="20"/>
      <c r="J174" s="20"/>
      <c r="K174" s="19"/>
      <c r="L174" s="20"/>
    </row>
    <row r="175" customFormat="false" ht="15" hidden="false" customHeight="false" outlineLevel="0" collapsed="false">
      <c r="A175" s="20"/>
      <c r="B175" s="20"/>
      <c r="C175" s="20"/>
      <c r="D175" s="20"/>
      <c r="E175" s="20"/>
      <c r="F175" s="20"/>
      <c r="G175" s="20"/>
      <c r="H175" s="19"/>
      <c r="I175" s="20"/>
      <c r="J175" s="20"/>
      <c r="K175" s="19"/>
      <c r="L175" s="20"/>
    </row>
    <row r="176" customFormat="false" ht="15" hidden="false" customHeight="false" outlineLevel="0" collapsed="false">
      <c r="A176" s="20"/>
      <c r="B176" s="20"/>
      <c r="C176" s="20"/>
      <c r="D176" s="20"/>
      <c r="E176" s="20"/>
      <c r="F176" s="20"/>
      <c r="G176" s="20"/>
      <c r="H176" s="19"/>
      <c r="I176" s="20"/>
      <c r="J176" s="20"/>
      <c r="K176" s="19"/>
      <c r="L176" s="20"/>
    </row>
    <row r="177" customFormat="false" ht="15" hidden="false" customHeight="false" outlineLevel="0" collapsed="false">
      <c r="A177" s="20"/>
      <c r="B177" s="20"/>
      <c r="C177" s="20"/>
      <c r="D177" s="20"/>
      <c r="E177" s="20"/>
      <c r="F177" s="20"/>
      <c r="G177" s="20"/>
      <c r="H177" s="19"/>
      <c r="I177" s="20"/>
      <c r="J177" s="20"/>
      <c r="K177" s="19"/>
      <c r="L177" s="20"/>
    </row>
    <row r="178" customFormat="false" ht="15" hidden="false" customHeight="false" outlineLevel="0" collapsed="false">
      <c r="A178" s="20"/>
      <c r="B178" s="20"/>
      <c r="C178" s="20"/>
      <c r="D178" s="20"/>
      <c r="E178" s="20"/>
      <c r="F178" s="20"/>
      <c r="G178" s="20"/>
      <c r="H178" s="19"/>
      <c r="I178" s="20"/>
      <c r="J178" s="20"/>
      <c r="K178" s="19"/>
      <c r="L178" s="20"/>
    </row>
    <row r="179" customFormat="false" ht="15" hidden="false" customHeight="false" outlineLevel="0" collapsed="false">
      <c r="A179" s="20"/>
      <c r="B179" s="20"/>
      <c r="C179" s="20"/>
      <c r="D179" s="20"/>
      <c r="E179" s="20"/>
      <c r="F179" s="20"/>
      <c r="G179" s="20"/>
      <c r="H179" s="19"/>
      <c r="I179" s="20"/>
      <c r="J179" s="20"/>
      <c r="K179" s="19"/>
      <c r="L179" s="20"/>
    </row>
    <row r="180" customFormat="false" ht="15" hidden="false" customHeight="false" outlineLevel="0" collapsed="false">
      <c r="A180" s="20"/>
      <c r="B180" s="20"/>
      <c r="C180" s="20"/>
      <c r="D180" s="20"/>
      <c r="E180" s="20"/>
      <c r="F180" s="20"/>
      <c r="G180" s="20"/>
      <c r="H180" s="19"/>
      <c r="I180" s="20"/>
      <c r="J180" s="20"/>
      <c r="K180" s="19"/>
      <c r="L180" s="20"/>
    </row>
    <row r="181" customFormat="false" ht="15" hidden="false" customHeight="false" outlineLevel="0" collapsed="false">
      <c r="A181" s="20"/>
      <c r="B181" s="20"/>
      <c r="C181" s="20"/>
      <c r="D181" s="20"/>
      <c r="E181" s="20"/>
      <c r="F181" s="20"/>
      <c r="G181" s="20"/>
      <c r="H181" s="19"/>
      <c r="I181" s="20"/>
      <c r="J181" s="20"/>
      <c r="K181" s="19"/>
      <c r="L181" s="20"/>
    </row>
    <row r="182" customFormat="false" ht="15" hidden="false" customHeight="false" outlineLevel="0" collapsed="false">
      <c r="A182" s="20"/>
      <c r="B182" s="20"/>
      <c r="C182" s="20"/>
      <c r="D182" s="20"/>
      <c r="E182" s="20"/>
      <c r="F182" s="20"/>
      <c r="G182" s="20"/>
      <c r="H182" s="19"/>
      <c r="I182" s="20"/>
      <c r="J182" s="20"/>
      <c r="K182" s="19"/>
      <c r="L182" s="20"/>
    </row>
    <row r="183" customFormat="false" ht="15" hidden="false" customHeight="false" outlineLevel="0" collapsed="false">
      <c r="A183" s="20"/>
      <c r="B183" s="20"/>
      <c r="C183" s="20"/>
      <c r="D183" s="20"/>
      <c r="E183" s="20"/>
      <c r="F183" s="20"/>
      <c r="G183" s="20"/>
      <c r="H183" s="19"/>
      <c r="I183" s="20"/>
      <c r="J183" s="20"/>
      <c r="K183" s="19"/>
      <c r="L183" s="20"/>
    </row>
    <row r="184" customFormat="false" ht="15" hidden="false" customHeight="false" outlineLevel="0" collapsed="false">
      <c r="A184" s="20"/>
      <c r="B184" s="20"/>
      <c r="C184" s="20"/>
      <c r="D184" s="20"/>
      <c r="E184" s="20"/>
      <c r="F184" s="20"/>
      <c r="G184" s="20"/>
      <c r="H184" s="19"/>
      <c r="I184" s="20"/>
      <c r="J184" s="20"/>
      <c r="K184" s="19"/>
      <c r="L184" s="20"/>
    </row>
    <row r="185" customFormat="false" ht="15" hidden="false" customHeight="false" outlineLevel="0" collapsed="false">
      <c r="A185" s="20"/>
      <c r="B185" s="20"/>
      <c r="C185" s="20"/>
      <c r="D185" s="20"/>
      <c r="E185" s="20"/>
      <c r="F185" s="20"/>
      <c r="G185" s="20"/>
      <c r="H185" s="19"/>
      <c r="I185" s="20"/>
      <c r="J185" s="20"/>
      <c r="K185" s="19"/>
      <c r="L185" s="20"/>
    </row>
    <row r="186" customFormat="false" ht="15" hidden="false" customHeight="false" outlineLevel="0" collapsed="false">
      <c r="A186" s="20"/>
      <c r="B186" s="20"/>
      <c r="C186" s="20"/>
      <c r="D186" s="20"/>
      <c r="E186" s="20"/>
      <c r="F186" s="20"/>
      <c r="G186" s="20"/>
      <c r="H186" s="19"/>
      <c r="I186" s="20"/>
      <c r="J186" s="20"/>
      <c r="K186" s="19"/>
      <c r="L186" s="20"/>
    </row>
    <row r="187" customFormat="false" ht="15" hidden="false" customHeight="false" outlineLevel="0" collapsed="false">
      <c r="A187" s="20"/>
      <c r="B187" s="20"/>
      <c r="C187" s="20"/>
      <c r="D187" s="20"/>
      <c r="E187" s="20"/>
      <c r="F187" s="20"/>
      <c r="G187" s="20"/>
      <c r="H187" s="19"/>
      <c r="I187" s="20"/>
      <c r="J187" s="20"/>
      <c r="K187" s="19"/>
      <c r="L187" s="20"/>
    </row>
    <row r="188" customFormat="false" ht="15" hidden="false" customHeight="false" outlineLevel="0" collapsed="false">
      <c r="A188" s="20"/>
      <c r="B188" s="20"/>
      <c r="C188" s="20"/>
      <c r="D188" s="20"/>
      <c r="E188" s="20"/>
      <c r="F188" s="20"/>
      <c r="G188" s="20"/>
      <c r="H188" s="19"/>
      <c r="I188" s="20"/>
      <c r="J188" s="20"/>
      <c r="K188" s="19"/>
      <c r="L188" s="20"/>
    </row>
    <row r="189" customFormat="false" ht="15" hidden="false" customHeight="false" outlineLevel="0" collapsed="false">
      <c r="A189" s="20"/>
      <c r="B189" s="20"/>
      <c r="C189" s="20"/>
      <c r="D189" s="20"/>
      <c r="E189" s="20"/>
      <c r="F189" s="20"/>
      <c r="G189" s="20"/>
      <c r="H189" s="19"/>
      <c r="I189" s="20"/>
      <c r="J189" s="20"/>
      <c r="K189" s="19"/>
      <c r="L189" s="20"/>
    </row>
    <row r="190" customFormat="false" ht="15" hidden="false" customHeight="false" outlineLevel="0" collapsed="false">
      <c r="A190" s="20"/>
      <c r="B190" s="20"/>
      <c r="C190" s="20"/>
      <c r="D190" s="20"/>
      <c r="E190" s="20"/>
      <c r="F190" s="20"/>
      <c r="G190" s="20"/>
      <c r="H190" s="19"/>
      <c r="I190" s="20"/>
      <c r="J190" s="20"/>
      <c r="K190" s="19"/>
      <c r="L190" s="20"/>
    </row>
    <row r="191" customFormat="false" ht="15" hidden="false" customHeight="false" outlineLevel="0" collapsed="false">
      <c r="A191" s="20"/>
      <c r="B191" s="20"/>
      <c r="C191" s="20"/>
      <c r="D191" s="20"/>
      <c r="E191" s="20"/>
      <c r="F191" s="20"/>
      <c r="G191" s="20"/>
      <c r="H191" s="19"/>
      <c r="I191" s="20"/>
      <c r="J191" s="20"/>
      <c r="K191" s="19"/>
      <c r="L191" s="20"/>
    </row>
    <row r="192" customFormat="false" ht="15" hidden="false" customHeight="false" outlineLevel="0" collapsed="false">
      <c r="A192" s="20"/>
      <c r="B192" s="20"/>
      <c r="C192" s="20"/>
      <c r="D192" s="20"/>
      <c r="E192" s="20"/>
      <c r="F192" s="20"/>
      <c r="G192" s="20"/>
      <c r="H192" s="19"/>
      <c r="I192" s="20"/>
      <c r="J192" s="20"/>
      <c r="K192" s="19"/>
      <c r="L192" s="20"/>
    </row>
    <row r="193" customFormat="false" ht="15" hidden="false" customHeight="false" outlineLevel="0" collapsed="false">
      <c r="A193" s="20"/>
      <c r="B193" s="20"/>
      <c r="C193" s="20"/>
      <c r="D193" s="20"/>
      <c r="E193" s="20"/>
      <c r="F193" s="20"/>
      <c r="G193" s="20"/>
      <c r="H193" s="19"/>
      <c r="I193" s="20"/>
      <c r="J193" s="20"/>
      <c r="K193" s="19"/>
      <c r="L193" s="20"/>
    </row>
    <row r="194" customFormat="false" ht="15" hidden="false" customHeight="false" outlineLevel="0" collapsed="false">
      <c r="A194" s="20"/>
      <c r="B194" s="20"/>
      <c r="C194" s="20"/>
      <c r="D194" s="20"/>
      <c r="E194" s="20"/>
      <c r="F194" s="20"/>
      <c r="G194" s="20"/>
      <c r="H194" s="19"/>
      <c r="I194" s="20"/>
      <c r="J194" s="20"/>
      <c r="K194" s="19"/>
      <c r="L194" s="20"/>
    </row>
    <row r="195" customFormat="false" ht="15" hidden="false" customHeight="false" outlineLevel="0" collapsed="false">
      <c r="A195" s="20"/>
      <c r="B195" s="20"/>
      <c r="C195" s="20"/>
      <c r="D195" s="20"/>
      <c r="E195" s="20"/>
      <c r="F195" s="20"/>
      <c r="G195" s="20"/>
      <c r="H195" s="19"/>
      <c r="I195" s="20"/>
      <c r="J195" s="20"/>
      <c r="K195" s="19"/>
      <c r="L195" s="20"/>
    </row>
    <row r="196" customFormat="false" ht="15" hidden="false" customHeight="false" outlineLevel="0" collapsed="false">
      <c r="A196" s="20"/>
      <c r="B196" s="20"/>
      <c r="C196" s="20"/>
      <c r="D196" s="20"/>
      <c r="E196" s="20"/>
      <c r="F196" s="20"/>
      <c r="G196" s="20"/>
      <c r="H196" s="19"/>
      <c r="I196" s="20"/>
      <c r="J196" s="20"/>
      <c r="K196" s="19"/>
      <c r="L196" s="20"/>
    </row>
    <row r="197" customFormat="false" ht="15" hidden="false" customHeight="false" outlineLevel="0" collapsed="false">
      <c r="A197" s="20"/>
      <c r="B197" s="20"/>
      <c r="C197" s="20"/>
      <c r="D197" s="20"/>
      <c r="E197" s="20"/>
      <c r="F197" s="20"/>
      <c r="G197" s="20"/>
      <c r="H197" s="19"/>
      <c r="I197" s="20"/>
      <c r="J197" s="20"/>
      <c r="K197" s="19"/>
      <c r="L197" s="20"/>
    </row>
    <row r="198" customFormat="false" ht="15" hidden="false" customHeight="false" outlineLevel="0" collapsed="false">
      <c r="A198" s="20"/>
      <c r="B198" s="20"/>
      <c r="C198" s="20"/>
      <c r="D198" s="20"/>
      <c r="E198" s="20"/>
      <c r="F198" s="20"/>
      <c r="G198" s="20"/>
      <c r="H198" s="19"/>
      <c r="I198" s="20"/>
      <c r="J198" s="20"/>
      <c r="K198" s="19"/>
      <c r="L198" s="20"/>
    </row>
    <row r="199" customFormat="false" ht="15" hidden="false" customHeight="false" outlineLevel="0" collapsed="false">
      <c r="A199" s="20"/>
      <c r="B199" s="20"/>
      <c r="C199" s="20"/>
      <c r="D199" s="20"/>
      <c r="E199" s="20"/>
      <c r="F199" s="20"/>
      <c r="G199" s="20"/>
      <c r="H199" s="19"/>
      <c r="I199" s="20"/>
      <c r="J199" s="20"/>
      <c r="K199" s="19"/>
      <c r="L199" s="20"/>
    </row>
    <row r="200" customFormat="false" ht="15" hidden="false" customHeight="false" outlineLevel="0" collapsed="false">
      <c r="A200" s="20"/>
      <c r="B200" s="20"/>
      <c r="C200" s="20"/>
      <c r="D200" s="20"/>
      <c r="E200" s="20"/>
      <c r="F200" s="20"/>
      <c r="G200" s="20"/>
      <c r="H200" s="19"/>
      <c r="I200" s="20"/>
      <c r="J200" s="20"/>
      <c r="K200" s="19"/>
      <c r="L200" s="20"/>
    </row>
    <row r="201" customFormat="false" ht="15" hidden="false" customHeight="false" outlineLevel="0" collapsed="false">
      <c r="A201" s="20"/>
      <c r="B201" s="20"/>
      <c r="C201" s="20"/>
      <c r="D201" s="20"/>
      <c r="E201" s="20"/>
      <c r="F201" s="20"/>
      <c r="G201" s="20"/>
      <c r="H201" s="19"/>
      <c r="I201" s="20"/>
      <c r="J201" s="20"/>
      <c r="K201" s="19"/>
      <c r="L201" s="20"/>
    </row>
    <row r="202" customFormat="false" ht="15" hidden="false" customHeight="false" outlineLevel="0" collapsed="false">
      <c r="A202" s="20"/>
      <c r="B202" s="20"/>
      <c r="C202" s="20"/>
      <c r="D202" s="20"/>
      <c r="E202" s="20"/>
      <c r="F202" s="20"/>
      <c r="G202" s="20"/>
      <c r="H202" s="19"/>
      <c r="I202" s="20"/>
      <c r="J202" s="20"/>
      <c r="K202" s="19"/>
      <c r="L202" s="20"/>
    </row>
    <row r="203" customFormat="false" ht="15" hidden="false" customHeight="false" outlineLevel="0" collapsed="false">
      <c r="A203" s="20"/>
      <c r="B203" s="20"/>
      <c r="C203" s="20"/>
      <c r="D203" s="20"/>
      <c r="E203" s="20"/>
      <c r="F203" s="20"/>
      <c r="G203" s="20"/>
      <c r="H203" s="19"/>
      <c r="I203" s="20"/>
      <c r="J203" s="20"/>
      <c r="K203" s="19"/>
      <c r="L203" s="20"/>
    </row>
    <row r="204" customFormat="false" ht="15" hidden="false" customHeight="false" outlineLevel="0" collapsed="false">
      <c r="A204" s="20"/>
      <c r="B204" s="20"/>
      <c r="C204" s="20"/>
      <c r="D204" s="20"/>
      <c r="E204" s="20"/>
      <c r="F204" s="20"/>
      <c r="G204" s="20"/>
      <c r="H204" s="19"/>
      <c r="I204" s="20"/>
      <c r="J204" s="20"/>
      <c r="K204" s="19"/>
      <c r="L204" s="20"/>
    </row>
  </sheetData>
  <autoFilter ref="A4:L204"/>
  <dataValidations count="1">
    <dataValidation allowBlank="true" errorStyle="stop" operator="between" showDropDown="false" showErrorMessage="false" showInputMessage="false" sqref="C5:C204" type="list">
      <formula1>Lists!$F$2:$F$12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6"/>
    <col collapsed="false" customWidth="true" hidden="false" outlineLevel="0" max="3" min="3" style="0" width="18"/>
    <col collapsed="false" customWidth="true" hidden="false" outlineLevel="0" max="6" min="4" style="0" width="12"/>
    <col collapsed="false" customWidth="true" hidden="false" outlineLevel="0" max="7" min="7" style="0" width="20"/>
    <col collapsed="false" customWidth="true" hidden="false" outlineLevel="0" max="9" min="8" style="0" width="12"/>
    <col collapsed="false" customWidth="true" hidden="false" outlineLevel="0" max="10" min="10" style="0" width="28"/>
    <col collapsed="false" customWidth="true" hidden="false" outlineLevel="0" max="11" min="11" style="0" width="32"/>
    <col collapsed="false" customWidth="true" hidden="false" outlineLevel="0" max="12" min="12" style="0" width="28"/>
  </cols>
  <sheetData>
    <row r="1" customFormat="false" ht="19.7" hidden="false" customHeight="false" outlineLevel="0" collapsed="false">
      <c r="A1" s="1" t="s">
        <v>639</v>
      </c>
    </row>
    <row r="2" customFormat="false" ht="15" hidden="false" customHeight="false" outlineLevel="0" collapsed="false">
      <c r="A2" s="2" t="s">
        <v>640</v>
      </c>
    </row>
    <row r="4" customFormat="false" ht="31.5" hidden="false" customHeight="true" outlineLevel="0" collapsed="false">
      <c r="A4" s="9" t="s">
        <v>641</v>
      </c>
      <c r="B4" s="9" t="s">
        <v>642</v>
      </c>
      <c r="C4" s="9" t="s">
        <v>111</v>
      </c>
      <c r="D4" s="9" t="s">
        <v>643</v>
      </c>
      <c r="E4" s="9" t="s">
        <v>644</v>
      </c>
      <c r="F4" s="9" t="s">
        <v>101</v>
      </c>
      <c r="G4" s="9" t="s">
        <v>645</v>
      </c>
      <c r="H4" s="9" t="s">
        <v>646</v>
      </c>
      <c r="I4" s="9" t="s">
        <v>316</v>
      </c>
      <c r="J4" s="9" t="s">
        <v>647</v>
      </c>
      <c r="K4" s="9" t="s">
        <v>648</v>
      </c>
      <c r="L4" s="9" t="s">
        <v>136</v>
      </c>
    </row>
    <row r="5" customFormat="false" ht="23.85" hidden="false" customHeight="false" outlineLevel="0" collapsed="false">
      <c r="A5" s="20" t="s">
        <v>649</v>
      </c>
      <c r="B5" s="20" t="s">
        <v>650</v>
      </c>
      <c r="C5" s="20" t="s">
        <v>284</v>
      </c>
      <c r="D5" s="20" t="s">
        <v>609</v>
      </c>
      <c r="E5" s="20"/>
      <c r="F5" s="20"/>
      <c r="G5" s="20"/>
      <c r="H5" s="20"/>
      <c r="I5" s="20"/>
      <c r="J5" s="20"/>
      <c r="K5" s="20"/>
      <c r="L5" s="20"/>
    </row>
    <row r="6" customFormat="false" ht="23.85" hidden="false" customHeight="false" outlineLevel="0" collapsed="false">
      <c r="A6" s="20" t="s">
        <v>651</v>
      </c>
      <c r="B6" s="20" t="s">
        <v>650</v>
      </c>
      <c r="C6" s="20" t="s">
        <v>284</v>
      </c>
      <c r="D6" s="20" t="s">
        <v>609</v>
      </c>
      <c r="E6" s="20"/>
      <c r="F6" s="20"/>
      <c r="G6" s="20"/>
      <c r="H6" s="20"/>
      <c r="I6" s="20"/>
      <c r="J6" s="20"/>
      <c r="K6" s="20"/>
      <c r="L6" s="20"/>
    </row>
    <row r="7" customFormat="false" ht="15" hidden="false" customHeight="false" outlineLevel="0" collapsed="false">
      <c r="A7" s="20" t="s">
        <v>652</v>
      </c>
      <c r="B7" s="20" t="s">
        <v>653</v>
      </c>
      <c r="C7" s="20" t="s">
        <v>429</v>
      </c>
      <c r="D7" s="20" t="s">
        <v>609</v>
      </c>
      <c r="E7" s="20"/>
      <c r="F7" s="20"/>
      <c r="G7" s="20"/>
      <c r="H7" s="20"/>
      <c r="I7" s="20"/>
      <c r="J7" s="20"/>
      <c r="K7" s="20"/>
      <c r="L7" s="20"/>
    </row>
    <row r="8" customFormat="false" ht="15" hidden="false" customHeight="false" outlineLevel="0" collapsed="false">
      <c r="A8" s="20" t="s">
        <v>654</v>
      </c>
      <c r="B8" s="20" t="s">
        <v>653</v>
      </c>
      <c r="C8" s="20" t="s">
        <v>429</v>
      </c>
      <c r="D8" s="20" t="s">
        <v>609</v>
      </c>
      <c r="E8" s="20"/>
      <c r="F8" s="20"/>
      <c r="G8" s="20"/>
      <c r="H8" s="20"/>
      <c r="I8" s="20"/>
      <c r="J8" s="20"/>
      <c r="K8" s="20"/>
      <c r="L8" s="20"/>
    </row>
    <row r="9" customFormat="false" ht="15" hidden="false" customHeight="false" outlineLevel="0" collapsed="false">
      <c r="A9" s="20" t="s">
        <v>655</v>
      </c>
      <c r="B9" s="20" t="s">
        <v>656</v>
      </c>
      <c r="C9" s="20" t="s">
        <v>139</v>
      </c>
      <c r="D9" s="20" t="s">
        <v>657</v>
      </c>
      <c r="E9" s="20"/>
      <c r="F9" s="20"/>
      <c r="G9" s="20"/>
      <c r="H9" s="20"/>
      <c r="I9" s="20"/>
      <c r="J9" s="20"/>
      <c r="K9" s="20"/>
      <c r="L9" s="20"/>
    </row>
    <row r="10" customFormat="false" ht="15" hidden="false" customHeight="false" outlineLevel="0" collapsed="false">
      <c r="A10" s="20" t="s">
        <v>658</v>
      </c>
      <c r="B10" s="20" t="s">
        <v>656</v>
      </c>
      <c r="C10" s="20" t="s">
        <v>139</v>
      </c>
      <c r="D10" s="20" t="s">
        <v>657</v>
      </c>
      <c r="E10" s="20"/>
      <c r="F10" s="20"/>
      <c r="G10" s="20"/>
      <c r="H10" s="20"/>
      <c r="I10" s="20"/>
      <c r="J10" s="20"/>
      <c r="K10" s="20"/>
      <c r="L10" s="20"/>
    </row>
    <row r="11" customFormat="false" ht="15" hidden="false" customHeight="false" outlineLevel="0" collapsed="false">
      <c r="A11" s="20" t="s">
        <v>659</v>
      </c>
      <c r="B11" s="20" t="s">
        <v>656</v>
      </c>
      <c r="C11" s="20" t="s">
        <v>139</v>
      </c>
      <c r="D11" s="20" t="s">
        <v>657</v>
      </c>
      <c r="E11" s="20"/>
      <c r="F11" s="20"/>
      <c r="G11" s="20"/>
      <c r="H11" s="20"/>
      <c r="I11" s="20"/>
      <c r="J11" s="20"/>
      <c r="K11" s="20"/>
      <c r="L11" s="20"/>
    </row>
    <row r="12" customFormat="false" ht="15" hidden="false" customHeight="false" outlineLevel="0" collapsed="false">
      <c r="A12" s="20" t="s">
        <v>660</v>
      </c>
      <c r="B12" s="20" t="s">
        <v>656</v>
      </c>
      <c r="C12" s="20" t="s">
        <v>248</v>
      </c>
      <c r="D12" s="20" t="s">
        <v>657</v>
      </c>
      <c r="E12" s="20"/>
      <c r="F12" s="20"/>
      <c r="G12" s="20"/>
      <c r="H12" s="20"/>
      <c r="I12" s="20"/>
      <c r="J12" s="20"/>
      <c r="K12" s="20"/>
      <c r="L12" s="20"/>
    </row>
    <row r="13" customFormat="false" ht="15" hidden="false" customHeight="false" outlineLevel="0" collapsed="false">
      <c r="A13" s="20" t="s">
        <v>661</v>
      </c>
      <c r="B13" s="20" t="s">
        <v>662</v>
      </c>
      <c r="C13" s="20" t="s">
        <v>139</v>
      </c>
      <c r="D13" s="20" t="s">
        <v>657</v>
      </c>
      <c r="E13" s="20"/>
      <c r="F13" s="20"/>
      <c r="G13" s="20"/>
      <c r="H13" s="20"/>
      <c r="I13" s="20"/>
      <c r="J13" s="20"/>
      <c r="K13" s="20"/>
      <c r="L13" s="20"/>
    </row>
    <row r="14" customFormat="false" ht="15" hidden="false" customHeight="false" outlineLevel="0" collapsed="false">
      <c r="A14" s="20" t="s">
        <v>663</v>
      </c>
      <c r="B14" s="20" t="s">
        <v>664</v>
      </c>
      <c r="C14" s="20" t="s">
        <v>429</v>
      </c>
      <c r="D14" s="20" t="s">
        <v>657</v>
      </c>
      <c r="E14" s="20"/>
      <c r="F14" s="20"/>
      <c r="G14" s="20"/>
      <c r="H14" s="20"/>
      <c r="I14" s="20"/>
      <c r="J14" s="20"/>
      <c r="K14" s="20"/>
      <c r="L14" s="20"/>
    </row>
    <row r="15" customFormat="false" ht="15" hidden="false" customHeight="false" outlineLevel="0" collapsed="false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</row>
    <row r="16" customFormat="false" ht="15" hidden="false" customHeight="false" outlineLevel="0" collapsed="false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</row>
    <row r="17" customFormat="false" ht="15" hidden="false" customHeight="false" outlineLevel="0" collapsed="false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</row>
    <row r="18" customFormat="false" ht="15" hidden="false" customHeight="false" outlineLevel="0" collapsed="false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</row>
    <row r="19" customFormat="false" ht="15" hidden="false" customHeight="false" outlineLevel="0" collapsed="false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</row>
    <row r="20" customFormat="false" ht="15" hidden="false" customHeight="fals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</row>
    <row r="21" customFormat="false" ht="15" hidden="false" customHeight="fals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</row>
    <row r="22" customFormat="false" ht="15" hidden="false" customHeight="fals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</row>
    <row r="23" customFormat="false" ht="15" hidden="false" customHeight="fals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</row>
    <row r="24" customFormat="false" ht="15" hidden="false" customHeight="fals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</row>
    <row r="25" customFormat="false" ht="15" hidden="false" customHeight="fals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</row>
    <row r="26" customFormat="false" ht="15" hidden="false" customHeight="fals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</row>
    <row r="27" customFormat="false" ht="15" hidden="false" customHeight="fals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</row>
    <row r="28" customFormat="false" ht="15" hidden="false" customHeight="fals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</row>
    <row r="29" customFormat="false" ht="15" hidden="false" customHeight="fals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</row>
    <row r="30" customFormat="false" ht="15" hidden="false" customHeight="fals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</row>
    <row r="31" customFormat="false" ht="15" hidden="false" customHeight="fals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</row>
    <row r="32" customFormat="false" ht="15" hidden="false" customHeight="false" outlineLevel="0" collapsed="false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</row>
    <row r="33" customFormat="false" ht="15" hidden="false" customHeight="false" outlineLevel="0" collapsed="false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</row>
    <row r="34" customFormat="false" ht="15" hidden="false" customHeight="fals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</row>
    <row r="35" customFormat="false" ht="15" hidden="false" customHeight="fals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</row>
    <row r="36" customFormat="false" ht="15" hidden="false" customHeight="fals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</row>
    <row r="37" customFormat="false" ht="15" hidden="false" customHeight="fals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</row>
    <row r="38" customFormat="false" ht="15" hidden="false" customHeight="fals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</row>
    <row r="39" customFormat="false" ht="15" hidden="false" customHeight="fals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</row>
    <row r="40" customFormat="false" ht="15" hidden="false" customHeight="fals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</row>
    <row r="41" customFormat="false" ht="15" hidden="false" customHeight="fals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</row>
    <row r="42" customFormat="false" ht="15" hidden="false" customHeight="fals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</row>
    <row r="43" customFormat="false" ht="15" hidden="false" customHeight="fals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</row>
    <row r="44" customFormat="false" ht="15" hidden="false" customHeight="fals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</row>
    <row r="45" customFormat="false" ht="15" hidden="false" customHeight="fals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</row>
    <row r="46" customFormat="false" ht="15" hidden="false" customHeight="fals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</row>
    <row r="47" customFormat="false" ht="15" hidden="false" customHeight="fals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</row>
    <row r="48" customFormat="false" ht="15" hidden="false" customHeight="fals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</row>
    <row r="49" customFormat="false" ht="15" hidden="false" customHeight="fals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</row>
    <row r="50" customFormat="false" ht="15" hidden="false" customHeight="fals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</row>
    <row r="51" customFormat="false" ht="15" hidden="false" customHeight="fals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</row>
    <row r="52" customFormat="false" ht="15" hidden="false" customHeight="fals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</row>
    <row r="53" customFormat="false" ht="15" hidden="false" customHeight="fals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</row>
    <row r="54" customFormat="false" ht="15" hidden="false" customHeight="fals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</row>
    <row r="55" customFormat="false" ht="15" hidden="false" customHeight="fals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</row>
    <row r="56" customFormat="false" ht="15" hidden="false" customHeight="fals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</row>
    <row r="57" customFormat="false" ht="15" hidden="false" customHeight="fals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</row>
    <row r="58" customFormat="false" ht="15" hidden="false" customHeight="fals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</row>
    <row r="59" customFormat="false" ht="15" hidden="false" customHeight="fals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</row>
    <row r="60" customFormat="false" ht="15" hidden="false" customHeight="fals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</row>
    <row r="61" customFormat="false" ht="15" hidden="false" customHeight="fals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</row>
    <row r="62" customFormat="false" ht="15" hidden="false" customHeight="fals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</row>
    <row r="63" customFormat="false" ht="15" hidden="false" customHeight="fals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</row>
    <row r="64" customFormat="false" ht="15" hidden="false" customHeight="fals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</row>
    <row r="65" customFormat="false" ht="15" hidden="false" customHeight="fals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</row>
    <row r="66" customFormat="false" ht="15" hidden="false" customHeight="fals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</row>
    <row r="67" customFormat="false" ht="15" hidden="false" customHeight="fals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</row>
    <row r="68" customFormat="false" ht="15" hidden="false" customHeight="fals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</row>
    <row r="69" customFormat="false" ht="15" hidden="false" customHeight="fals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</row>
    <row r="70" customFormat="false" ht="15" hidden="false" customHeight="fals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</row>
    <row r="71" customFormat="false" ht="15" hidden="false" customHeight="fals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</row>
    <row r="72" customFormat="false" ht="15" hidden="false" customHeight="fals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</row>
    <row r="73" customFormat="false" ht="15" hidden="false" customHeight="fals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</row>
    <row r="74" customFormat="false" ht="15" hidden="false" customHeight="fals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</row>
    <row r="75" customFormat="false" ht="15" hidden="false" customHeight="fals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</row>
    <row r="76" customFormat="false" ht="15" hidden="false" customHeight="fals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</row>
    <row r="77" customFormat="false" ht="15" hidden="false" customHeight="fals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</row>
    <row r="78" customFormat="false" ht="15" hidden="false" customHeight="fals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</row>
    <row r="79" customFormat="false" ht="15" hidden="false" customHeight="fals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</row>
    <row r="80" customFormat="false" ht="15" hidden="false" customHeight="fals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</row>
    <row r="81" customFormat="false" ht="15" hidden="false" customHeight="fals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</row>
    <row r="82" customFormat="false" ht="15" hidden="false" customHeight="fals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</row>
    <row r="83" customFormat="false" ht="15" hidden="false" customHeight="fals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</row>
    <row r="84" customFormat="false" ht="15" hidden="false" customHeight="fals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</row>
    <row r="85" customFormat="false" ht="15" hidden="false" customHeight="fals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</row>
    <row r="86" customFormat="false" ht="15" hidden="false" customHeight="fals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</row>
    <row r="87" customFormat="false" ht="15" hidden="false" customHeight="fals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</row>
    <row r="88" customFormat="false" ht="15" hidden="false" customHeight="fals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</row>
    <row r="89" customFormat="false" ht="15" hidden="false" customHeight="fals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</row>
    <row r="90" customFormat="false" ht="15" hidden="false" customHeight="fals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</row>
    <row r="91" customFormat="false" ht="15" hidden="false" customHeight="fals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</row>
    <row r="92" customFormat="false" ht="15" hidden="false" customHeight="fals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</row>
    <row r="93" customFormat="false" ht="15" hidden="false" customHeight="fals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</row>
    <row r="94" customFormat="false" ht="15" hidden="false" customHeight="fals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</row>
    <row r="95" customFormat="false" ht="15" hidden="false" customHeight="fals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</row>
    <row r="96" customFormat="false" ht="15" hidden="false" customHeight="fals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</row>
    <row r="97" customFormat="false" ht="15" hidden="false" customHeight="fals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</row>
    <row r="98" customFormat="false" ht="15" hidden="false" customHeight="fals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</row>
    <row r="99" customFormat="false" ht="15" hidden="false" customHeight="fals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</row>
    <row r="100" customFormat="false" ht="15" hidden="false" customHeight="fals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</row>
    <row r="101" customFormat="false" ht="15" hidden="false" customHeight="fals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</row>
    <row r="102" customFormat="false" ht="15" hidden="false" customHeight="fals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</row>
    <row r="103" customFormat="false" ht="15" hidden="false" customHeight="fals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</row>
    <row r="104" customFormat="false" ht="15" hidden="false" customHeight="fals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</row>
  </sheetData>
  <autoFilter ref="A4:L104"/>
  <dataValidations count="1">
    <dataValidation allowBlank="true" errorStyle="stop" operator="between" showDropDown="false" showErrorMessage="false" showInputMessage="false" sqref="C5:C104" type="list">
      <formula1>Lists!$F$2:$F$12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4"/>
    <col collapsed="false" customWidth="true" hidden="false" outlineLevel="0" max="3" min="3" style="0" width="34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7" min="6" style="0" width="14"/>
    <col collapsed="false" customWidth="true" hidden="false" outlineLevel="0" max="8" min="8" style="0" width="12"/>
    <col collapsed="false" customWidth="true" hidden="false" outlineLevel="0" max="9" min="9" style="0" width="34"/>
  </cols>
  <sheetData>
    <row r="1" customFormat="false" ht="19.7" hidden="false" customHeight="false" outlineLevel="0" collapsed="false">
      <c r="A1" s="1" t="s">
        <v>665</v>
      </c>
    </row>
    <row r="2" customFormat="false" ht="15" hidden="false" customHeight="false" outlineLevel="0" collapsed="false">
      <c r="A2" s="2" t="s">
        <v>666</v>
      </c>
    </row>
    <row r="4" customFormat="false" ht="31.5" hidden="false" customHeight="true" outlineLevel="0" collapsed="false">
      <c r="A4" s="9" t="s">
        <v>420</v>
      </c>
      <c r="B4" s="9" t="s">
        <v>667</v>
      </c>
      <c r="C4" s="9" t="s">
        <v>668</v>
      </c>
      <c r="D4" s="9" t="s">
        <v>129</v>
      </c>
      <c r="E4" s="9" t="s">
        <v>132</v>
      </c>
      <c r="F4" s="9" t="s">
        <v>130</v>
      </c>
      <c r="G4" s="9" t="s">
        <v>131</v>
      </c>
      <c r="H4" s="9" t="s">
        <v>669</v>
      </c>
      <c r="I4" s="9" t="s">
        <v>136</v>
      </c>
    </row>
    <row r="5" customFormat="false" ht="15" hidden="false" customHeight="false" outlineLevel="0" collapsed="false">
      <c r="A5" s="20"/>
      <c r="B5" s="20"/>
      <c r="C5" s="20"/>
      <c r="D5" s="19"/>
      <c r="E5" s="20"/>
      <c r="F5" s="20"/>
      <c r="G5" s="20"/>
      <c r="H5" s="22" t="str">
        <f aca="false">IF(OR(F5="",G5="",NOT(ISNUMBER(F5)),F5=0),"",G5/F5-1)</f>
        <v/>
      </c>
      <c r="I5" s="20"/>
    </row>
    <row r="6" customFormat="false" ht="15" hidden="false" customHeight="false" outlineLevel="0" collapsed="false">
      <c r="A6" s="20"/>
      <c r="B6" s="20"/>
      <c r="C6" s="20"/>
      <c r="D6" s="19"/>
      <c r="E6" s="20"/>
      <c r="F6" s="20"/>
      <c r="G6" s="20"/>
      <c r="H6" s="22" t="str">
        <f aca="false">IF(OR(F6="",G6="",NOT(ISNUMBER(F6)),F6=0),"",G6/F6-1)</f>
        <v/>
      </c>
      <c r="I6" s="20"/>
    </row>
    <row r="7" customFormat="false" ht="15" hidden="false" customHeight="false" outlineLevel="0" collapsed="false">
      <c r="A7" s="20"/>
      <c r="B7" s="20"/>
      <c r="C7" s="20"/>
      <c r="D7" s="19"/>
      <c r="E7" s="20"/>
      <c r="F7" s="20"/>
      <c r="G7" s="20"/>
      <c r="H7" s="22" t="str">
        <f aca="false">IF(OR(F7="",G7="",NOT(ISNUMBER(F7)),F7=0),"",G7/F7-1)</f>
        <v/>
      </c>
      <c r="I7" s="20"/>
    </row>
    <row r="8" customFormat="false" ht="15" hidden="false" customHeight="false" outlineLevel="0" collapsed="false">
      <c r="A8" s="20"/>
      <c r="B8" s="20"/>
      <c r="C8" s="20"/>
      <c r="D8" s="19"/>
      <c r="E8" s="20"/>
      <c r="F8" s="20"/>
      <c r="G8" s="20"/>
      <c r="H8" s="22" t="str">
        <f aca="false">IF(OR(F8="",G8="",NOT(ISNUMBER(F8)),F8=0),"",G8/F8-1)</f>
        <v/>
      </c>
      <c r="I8" s="20"/>
    </row>
    <row r="9" customFormat="false" ht="15" hidden="false" customHeight="false" outlineLevel="0" collapsed="false">
      <c r="A9" s="20"/>
      <c r="B9" s="20"/>
      <c r="C9" s="20"/>
      <c r="D9" s="19"/>
      <c r="E9" s="20"/>
      <c r="F9" s="20"/>
      <c r="G9" s="20"/>
      <c r="H9" s="22" t="str">
        <f aca="false">IF(OR(F9="",G9="",NOT(ISNUMBER(F9)),F9=0),"",G9/F9-1)</f>
        <v/>
      </c>
      <c r="I9" s="20"/>
    </row>
    <row r="10" customFormat="false" ht="15" hidden="false" customHeight="false" outlineLevel="0" collapsed="false">
      <c r="A10" s="20"/>
      <c r="B10" s="20"/>
      <c r="C10" s="20"/>
      <c r="D10" s="19"/>
      <c r="E10" s="20"/>
      <c r="F10" s="20"/>
      <c r="G10" s="20"/>
      <c r="H10" s="22" t="str">
        <f aca="false">IF(OR(F10="",G10="",NOT(ISNUMBER(F10)),F10=0),"",G10/F10-1)</f>
        <v/>
      </c>
      <c r="I10" s="20"/>
    </row>
    <row r="11" customFormat="false" ht="15" hidden="false" customHeight="false" outlineLevel="0" collapsed="false">
      <c r="A11" s="20"/>
      <c r="B11" s="20"/>
      <c r="C11" s="20"/>
      <c r="D11" s="19"/>
      <c r="E11" s="20"/>
      <c r="F11" s="20"/>
      <c r="G11" s="20"/>
      <c r="H11" s="22" t="str">
        <f aca="false">IF(OR(F11="",G11="",NOT(ISNUMBER(F11)),F11=0),"",G11/F11-1)</f>
        <v/>
      </c>
      <c r="I11" s="20"/>
    </row>
    <row r="12" customFormat="false" ht="15" hidden="false" customHeight="false" outlineLevel="0" collapsed="false">
      <c r="A12" s="20"/>
      <c r="B12" s="20"/>
      <c r="C12" s="20"/>
      <c r="D12" s="19"/>
      <c r="E12" s="20"/>
      <c r="F12" s="20"/>
      <c r="G12" s="20"/>
      <c r="H12" s="22" t="str">
        <f aca="false">IF(OR(F12="",G12="",NOT(ISNUMBER(F12)),F12=0),"",G12/F12-1)</f>
        <v/>
      </c>
      <c r="I12" s="20"/>
    </row>
    <row r="13" customFormat="false" ht="15" hidden="false" customHeight="false" outlineLevel="0" collapsed="false">
      <c r="A13" s="20"/>
      <c r="B13" s="20"/>
      <c r="C13" s="20"/>
      <c r="D13" s="19"/>
      <c r="E13" s="20"/>
      <c r="F13" s="20"/>
      <c r="G13" s="20"/>
      <c r="H13" s="22" t="str">
        <f aca="false">IF(OR(F13="",G13="",NOT(ISNUMBER(F13)),F13=0),"",G13/F13-1)</f>
        <v/>
      </c>
      <c r="I13" s="20"/>
    </row>
    <row r="14" customFormat="false" ht="15" hidden="false" customHeight="false" outlineLevel="0" collapsed="false">
      <c r="A14" s="20"/>
      <c r="B14" s="20"/>
      <c r="C14" s="20"/>
      <c r="D14" s="19"/>
      <c r="E14" s="20"/>
      <c r="F14" s="20"/>
      <c r="G14" s="20"/>
      <c r="H14" s="22" t="str">
        <f aca="false">IF(OR(F14="",G14="",NOT(ISNUMBER(F14)),F14=0),"",G14/F14-1)</f>
        <v/>
      </c>
      <c r="I14" s="20"/>
    </row>
    <row r="15" customFormat="false" ht="15" hidden="false" customHeight="false" outlineLevel="0" collapsed="false">
      <c r="A15" s="20"/>
      <c r="B15" s="20"/>
      <c r="C15" s="20"/>
      <c r="D15" s="19"/>
      <c r="E15" s="20"/>
      <c r="F15" s="20"/>
      <c r="G15" s="20"/>
      <c r="H15" s="22" t="str">
        <f aca="false">IF(OR(F15="",G15="",NOT(ISNUMBER(F15)),F15=0),"",G15/F15-1)</f>
        <v/>
      </c>
      <c r="I15" s="20"/>
    </row>
    <row r="16" customFormat="false" ht="15" hidden="false" customHeight="false" outlineLevel="0" collapsed="false">
      <c r="A16" s="20"/>
      <c r="B16" s="20"/>
      <c r="C16" s="20"/>
      <c r="D16" s="19"/>
      <c r="E16" s="20"/>
      <c r="F16" s="20"/>
      <c r="G16" s="20"/>
      <c r="H16" s="22" t="str">
        <f aca="false">IF(OR(F16="",G16="",NOT(ISNUMBER(F16)),F16=0),"",G16/F16-1)</f>
        <v/>
      </c>
      <c r="I16" s="20"/>
    </row>
    <row r="17" customFormat="false" ht="15" hidden="false" customHeight="false" outlineLevel="0" collapsed="false">
      <c r="A17" s="20"/>
      <c r="B17" s="20"/>
      <c r="C17" s="20"/>
      <c r="D17" s="19"/>
      <c r="E17" s="20"/>
      <c r="F17" s="20"/>
      <c r="G17" s="20"/>
      <c r="H17" s="22" t="str">
        <f aca="false">IF(OR(F17="",G17="",NOT(ISNUMBER(F17)),F17=0),"",G17/F17-1)</f>
        <v/>
      </c>
      <c r="I17" s="20"/>
    </row>
    <row r="18" customFormat="false" ht="15" hidden="false" customHeight="false" outlineLevel="0" collapsed="false">
      <c r="A18" s="20"/>
      <c r="B18" s="20"/>
      <c r="C18" s="20"/>
      <c r="D18" s="19"/>
      <c r="E18" s="20"/>
      <c r="F18" s="20"/>
      <c r="G18" s="20"/>
      <c r="H18" s="22" t="str">
        <f aca="false">IF(OR(F18="",G18="",NOT(ISNUMBER(F18)),F18=0),"",G18/F18-1)</f>
        <v/>
      </c>
      <c r="I18" s="20"/>
    </row>
    <row r="19" customFormat="false" ht="15" hidden="false" customHeight="false" outlineLevel="0" collapsed="false">
      <c r="A19" s="20"/>
      <c r="B19" s="20"/>
      <c r="C19" s="20"/>
      <c r="D19" s="19"/>
      <c r="E19" s="20"/>
      <c r="F19" s="20"/>
      <c r="G19" s="20"/>
      <c r="H19" s="22" t="str">
        <f aca="false">IF(OR(F19="",G19="",NOT(ISNUMBER(F19)),F19=0),"",G19/F19-1)</f>
        <v/>
      </c>
      <c r="I19" s="20"/>
    </row>
    <row r="20" customFormat="false" ht="15" hidden="false" customHeight="false" outlineLevel="0" collapsed="false">
      <c r="A20" s="20"/>
      <c r="B20" s="20"/>
      <c r="C20" s="20"/>
      <c r="D20" s="19"/>
      <c r="E20" s="20"/>
      <c r="F20" s="20"/>
      <c r="G20" s="20"/>
      <c r="H20" s="22" t="str">
        <f aca="false">IF(OR(F20="",G20="",NOT(ISNUMBER(F20)),F20=0),"",G20/F20-1)</f>
        <v/>
      </c>
      <c r="I20" s="20"/>
    </row>
    <row r="21" customFormat="false" ht="15" hidden="false" customHeight="false" outlineLevel="0" collapsed="false">
      <c r="A21" s="20"/>
      <c r="B21" s="20"/>
      <c r="C21" s="20"/>
      <c r="D21" s="19"/>
      <c r="E21" s="20"/>
      <c r="F21" s="20"/>
      <c r="G21" s="20"/>
      <c r="H21" s="22" t="str">
        <f aca="false">IF(OR(F21="",G21="",NOT(ISNUMBER(F21)),F21=0),"",G21/F21-1)</f>
        <v/>
      </c>
      <c r="I21" s="20"/>
    </row>
    <row r="22" customFormat="false" ht="15" hidden="false" customHeight="false" outlineLevel="0" collapsed="false">
      <c r="A22" s="20"/>
      <c r="B22" s="20"/>
      <c r="C22" s="20"/>
      <c r="D22" s="19"/>
      <c r="E22" s="20"/>
      <c r="F22" s="20"/>
      <c r="G22" s="20"/>
      <c r="H22" s="22" t="str">
        <f aca="false">IF(OR(F22="",G22="",NOT(ISNUMBER(F22)),F22=0),"",G22/F22-1)</f>
        <v/>
      </c>
      <c r="I22" s="20"/>
    </row>
    <row r="23" customFormat="false" ht="15" hidden="false" customHeight="false" outlineLevel="0" collapsed="false">
      <c r="A23" s="20"/>
      <c r="B23" s="20"/>
      <c r="C23" s="20"/>
      <c r="D23" s="19"/>
      <c r="E23" s="20"/>
      <c r="F23" s="20"/>
      <c r="G23" s="20"/>
      <c r="H23" s="22" t="str">
        <f aca="false">IF(OR(F23="",G23="",NOT(ISNUMBER(F23)),F23=0),"",G23/F23-1)</f>
        <v/>
      </c>
      <c r="I23" s="20"/>
    </row>
    <row r="24" customFormat="false" ht="15" hidden="false" customHeight="false" outlineLevel="0" collapsed="false">
      <c r="A24" s="20"/>
      <c r="B24" s="20"/>
      <c r="C24" s="20"/>
      <c r="D24" s="19"/>
      <c r="E24" s="20"/>
      <c r="F24" s="20"/>
      <c r="G24" s="20"/>
      <c r="H24" s="22" t="str">
        <f aca="false">IF(OR(F24="",G24="",NOT(ISNUMBER(F24)),F24=0),"",G24/F24-1)</f>
        <v/>
      </c>
      <c r="I24" s="20"/>
    </row>
    <row r="25" customFormat="false" ht="15" hidden="false" customHeight="false" outlineLevel="0" collapsed="false">
      <c r="A25" s="20"/>
      <c r="B25" s="20"/>
      <c r="C25" s="20"/>
      <c r="D25" s="19"/>
      <c r="E25" s="20"/>
      <c r="F25" s="20"/>
      <c r="G25" s="20"/>
      <c r="H25" s="22" t="str">
        <f aca="false">IF(OR(F25="",G25="",NOT(ISNUMBER(F25)),F25=0),"",G25/F25-1)</f>
        <v/>
      </c>
      <c r="I25" s="20"/>
    </row>
    <row r="26" customFormat="false" ht="15" hidden="false" customHeight="false" outlineLevel="0" collapsed="false">
      <c r="A26" s="20"/>
      <c r="B26" s="20"/>
      <c r="C26" s="20"/>
      <c r="D26" s="19"/>
      <c r="E26" s="20"/>
      <c r="F26" s="20"/>
      <c r="G26" s="20"/>
      <c r="H26" s="22" t="str">
        <f aca="false">IF(OR(F26="",G26="",NOT(ISNUMBER(F26)),F26=0),"",G26/F26-1)</f>
        <v/>
      </c>
      <c r="I26" s="20"/>
    </row>
    <row r="27" customFormat="false" ht="15" hidden="false" customHeight="false" outlineLevel="0" collapsed="false">
      <c r="A27" s="20"/>
      <c r="B27" s="20"/>
      <c r="C27" s="20"/>
      <c r="D27" s="19"/>
      <c r="E27" s="20"/>
      <c r="F27" s="20"/>
      <c r="G27" s="20"/>
      <c r="H27" s="22" t="str">
        <f aca="false">IF(OR(F27="",G27="",NOT(ISNUMBER(F27)),F27=0),"",G27/F27-1)</f>
        <v/>
      </c>
      <c r="I27" s="20"/>
    </row>
    <row r="28" customFormat="false" ht="15" hidden="false" customHeight="false" outlineLevel="0" collapsed="false">
      <c r="A28" s="20"/>
      <c r="B28" s="20"/>
      <c r="C28" s="20"/>
      <c r="D28" s="19"/>
      <c r="E28" s="20"/>
      <c r="F28" s="20"/>
      <c r="G28" s="20"/>
      <c r="H28" s="22" t="str">
        <f aca="false">IF(OR(F28="",G28="",NOT(ISNUMBER(F28)),F28=0),"",G28/F28-1)</f>
        <v/>
      </c>
      <c r="I28" s="20"/>
    </row>
    <row r="29" customFormat="false" ht="15" hidden="false" customHeight="false" outlineLevel="0" collapsed="false">
      <c r="A29" s="20"/>
      <c r="B29" s="20"/>
      <c r="C29" s="20"/>
      <c r="D29" s="19"/>
      <c r="E29" s="20"/>
      <c r="F29" s="20"/>
      <c r="G29" s="20"/>
      <c r="H29" s="22" t="str">
        <f aca="false">IF(OR(F29="",G29="",NOT(ISNUMBER(F29)),F29=0),"",G29/F29-1)</f>
        <v/>
      </c>
      <c r="I29" s="20"/>
    </row>
    <row r="30" customFormat="false" ht="15" hidden="false" customHeight="false" outlineLevel="0" collapsed="false">
      <c r="A30" s="20"/>
      <c r="B30" s="20"/>
      <c r="C30" s="20"/>
      <c r="D30" s="19"/>
      <c r="E30" s="20"/>
      <c r="F30" s="20"/>
      <c r="G30" s="20"/>
      <c r="H30" s="22" t="str">
        <f aca="false">IF(OR(F30="",G30="",NOT(ISNUMBER(F30)),F30=0),"",G30/F30-1)</f>
        <v/>
      </c>
      <c r="I30" s="20"/>
    </row>
    <row r="31" customFormat="false" ht="15" hidden="false" customHeight="false" outlineLevel="0" collapsed="false">
      <c r="A31" s="20"/>
      <c r="B31" s="20"/>
      <c r="C31" s="20"/>
      <c r="D31" s="19"/>
      <c r="E31" s="20"/>
      <c r="F31" s="20"/>
      <c r="G31" s="20"/>
      <c r="H31" s="22" t="str">
        <f aca="false">IF(OR(F31="",G31="",NOT(ISNUMBER(F31)),F31=0),"",G31/F31-1)</f>
        <v/>
      </c>
      <c r="I31" s="20"/>
    </row>
    <row r="32" customFormat="false" ht="15" hidden="false" customHeight="false" outlineLevel="0" collapsed="false">
      <c r="A32" s="20"/>
      <c r="B32" s="20"/>
      <c r="C32" s="20"/>
      <c r="D32" s="19"/>
      <c r="E32" s="20"/>
      <c r="F32" s="20"/>
      <c r="G32" s="20"/>
      <c r="H32" s="22" t="str">
        <f aca="false">IF(OR(F32="",G32="",NOT(ISNUMBER(F32)),F32=0),"",G32/F32-1)</f>
        <v/>
      </c>
      <c r="I32" s="20"/>
    </row>
    <row r="33" customFormat="false" ht="15" hidden="false" customHeight="false" outlineLevel="0" collapsed="false">
      <c r="A33" s="20"/>
      <c r="B33" s="20"/>
      <c r="C33" s="20"/>
      <c r="D33" s="19"/>
      <c r="E33" s="20"/>
      <c r="F33" s="20"/>
      <c r="G33" s="20"/>
      <c r="H33" s="22" t="str">
        <f aca="false">IF(OR(F33="",G33="",NOT(ISNUMBER(F33)),F33=0),"",G33/F33-1)</f>
        <v/>
      </c>
      <c r="I33" s="20"/>
    </row>
    <row r="34" customFormat="false" ht="15" hidden="false" customHeight="false" outlineLevel="0" collapsed="false">
      <c r="A34" s="20"/>
      <c r="B34" s="20"/>
      <c r="C34" s="20"/>
      <c r="D34" s="19"/>
      <c r="E34" s="20"/>
      <c r="F34" s="20"/>
      <c r="G34" s="20"/>
      <c r="H34" s="22" t="str">
        <f aca="false">IF(OR(F34="",G34="",NOT(ISNUMBER(F34)),F34=0),"",G34/F34-1)</f>
        <v/>
      </c>
      <c r="I34" s="20"/>
    </row>
    <row r="35" customFormat="false" ht="15" hidden="false" customHeight="false" outlineLevel="0" collapsed="false">
      <c r="A35" s="20"/>
      <c r="B35" s="20"/>
      <c r="C35" s="20"/>
      <c r="D35" s="19"/>
      <c r="E35" s="20"/>
      <c r="F35" s="20"/>
      <c r="G35" s="20"/>
      <c r="H35" s="22" t="str">
        <f aca="false">IF(OR(F35="",G35="",NOT(ISNUMBER(F35)),F35=0),"",G35/F35-1)</f>
        <v/>
      </c>
      <c r="I35" s="20"/>
    </row>
    <row r="36" customFormat="false" ht="15" hidden="false" customHeight="false" outlineLevel="0" collapsed="false">
      <c r="A36" s="20"/>
      <c r="B36" s="20"/>
      <c r="C36" s="20"/>
      <c r="D36" s="19"/>
      <c r="E36" s="20"/>
      <c r="F36" s="20"/>
      <c r="G36" s="20"/>
      <c r="H36" s="22" t="str">
        <f aca="false">IF(OR(F36="",G36="",NOT(ISNUMBER(F36)),F36=0),"",G36/F36-1)</f>
        <v/>
      </c>
      <c r="I36" s="20"/>
    </row>
    <row r="37" customFormat="false" ht="15" hidden="false" customHeight="false" outlineLevel="0" collapsed="false">
      <c r="A37" s="20"/>
      <c r="B37" s="20"/>
      <c r="C37" s="20"/>
      <c r="D37" s="19"/>
      <c r="E37" s="20"/>
      <c r="F37" s="20"/>
      <c r="G37" s="20"/>
      <c r="H37" s="22" t="str">
        <f aca="false">IF(OR(F37="",G37="",NOT(ISNUMBER(F37)),F37=0),"",G37/F37-1)</f>
        <v/>
      </c>
      <c r="I37" s="20"/>
    </row>
    <row r="38" customFormat="false" ht="15" hidden="false" customHeight="false" outlineLevel="0" collapsed="false">
      <c r="A38" s="20"/>
      <c r="B38" s="20"/>
      <c r="C38" s="20"/>
      <c r="D38" s="19"/>
      <c r="E38" s="20"/>
      <c r="F38" s="20"/>
      <c r="G38" s="20"/>
      <c r="H38" s="22" t="str">
        <f aca="false">IF(OR(F38="",G38="",NOT(ISNUMBER(F38)),F38=0),"",G38/F38-1)</f>
        <v/>
      </c>
      <c r="I38" s="20"/>
    </row>
    <row r="39" customFormat="false" ht="15" hidden="false" customHeight="false" outlineLevel="0" collapsed="false">
      <c r="A39" s="20"/>
      <c r="B39" s="20"/>
      <c r="C39" s="20"/>
      <c r="D39" s="19"/>
      <c r="E39" s="20"/>
      <c r="F39" s="20"/>
      <c r="G39" s="20"/>
      <c r="H39" s="22" t="str">
        <f aca="false">IF(OR(F39="",G39="",NOT(ISNUMBER(F39)),F39=0),"",G39/F39-1)</f>
        <v/>
      </c>
      <c r="I39" s="20"/>
    </row>
    <row r="40" customFormat="false" ht="15" hidden="false" customHeight="false" outlineLevel="0" collapsed="false">
      <c r="A40" s="20"/>
      <c r="B40" s="20"/>
      <c r="C40" s="20"/>
      <c r="D40" s="19"/>
      <c r="E40" s="20"/>
      <c r="F40" s="20"/>
      <c r="G40" s="20"/>
      <c r="H40" s="22" t="str">
        <f aca="false">IF(OR(F40="",G40="",NOT(ISNUMBER(F40)),F40=0),"",G40/F40-1)</f>
        <v/>
      </c>
      <c r="I40" s="20"/>
    </row>
    <row r="41" customFormat="false" ht="15" hidden="false" customHeight="false" outlineLevel="0" collapsed="false">
      <c r="A41" s="20"/>
      <c r="B41" s="20"/>
      <c r="C41" s="20"/>
      <c r="D41" s="19"/>
      <c r="E41" s="20"/>
      <c r="F41" s="20"/>
      <c r="G41" s="20"/>
      <c r="H41" s="22" t="str">
        <f aca="false">IF(OR(F41="",G41="",NOT(ISNUMBER(F41)),F41=0),"",G41/F41-1)</f>
        <v/>
      </c>
      <c r="I41" s="20"/>
    </row>
    <row r="42" customFormat="false" ht="15" hidden="false" customHeight="false" outlineLevel="0" collapsed="false">
      <c r="A42" s="20"/>
      <c r="B42" s="20"/>
      <c r="C42" s="20"/>
      <c r="D42" s="19"/>
      <c r="E42" s="20"/>
      <c r="F42" s="20"/>
      <c r="G42" s="20"/>
      <c r="H42" s="22" t="str">
        <f aca="false">IF(OR(F42="",G42="",NOT(ISNUMBER(F42)),F42=0),"",G42/F42-1)</f>
        <v/>
      </c>
      <c r="I42" s="20"/>
    </row>
    <row r="43" customFormat="false" ht="15" hidden="false" customHeight="false" outlineLevel="0" collapsed="false">
      <c r="A43" s="20"/>
      <c r="B43" s="20"/>
      <c r="C43" s="20"/>
      <c r="D43" s="19"/>
      <c r="E43" s="20"/>
      <c r="F43" s="20"/>
      <c r="G43" s="20"/>
      <c r="H43" s="22" t="str">
        <f aca="false">IF(OR(F43="",G43="",NOT(ISNUMBER(F43)),F43=0),"",G43/F43-1)</f>
        <v/>
      </c>
      <c r="I43" s="20"/>
    </row>
    <row r="44" customFormat="false" ht="15" hidden="false" customHeight="false" outlineLevel="0" collapsed="false">
      <c r="A44" s="20"/>
      <c r="B44" s="20"/>
      <c r="C44" s="20"/>
      <c r="D44" s="19"/>
      <c r="E44" s="20"/>
      <c r="F44" s="20"/>
      <c r="G44" s="20"/>
      <c r="H44" s="22" t="str">
        <f aca="false">IF(OR(F44="",G44="",NOT(ISNUMBER(F44)),F44=0),"",G44/F44-1)</f>
        <v/>
      </c>
      <c r="I44" s="20"/>
    </row>
    <row r="45" customFormat="false" ht="15" hidden="false" customHeight="false" outlineLevel="0" collapsed="false">
      <c r="A45" s="20"/>
      <c r="B45" s="20"/>
      <c r="C45" s="20"/>
      <c r="D45" s="19"/>
      <c r="E45" s="20"/>
      <c r="F45" s="20"/>
      <c r="G45" s="20"/>
      <c r="H45" s="22" t="str">
        <f aca="false">IF(OR(F45="",G45="",NOT(ISNUMBER(F45)),F45=0),"",G45/F45-1)</f>
        <v/>
      </c>
      <c r="I45" s="20"/>
    </row>
    <row r="46" customFormat="false" ht="15" hidden="false" customHeight="false" outlineLevel="0" collapsed="false">
      <c r="A46" s="20"/>
      <c r="B46" s="20"/>
      <c r="C46" s="20"/>
      <c r="D46" s="19"/>
      <c r="E46" s="20"/>
      <c r="F46" s="20"/>
      <c r="G46" s="20"/>
      <c r="H46" s="22" t="str">
        <f aca="false">IF(OR(F46="",G46="",NOT(ISNUMBER(F46)),F46=0),"",G46/F46-1)</f>
        <v/>
      </c>
      <c r="I46" s="20"/>
    </row>
    <row r="47" customFormat="false" ht="15" hidden="false" customHeight="false" outlineLevel="0" collapsed="false">
      <c r="A47" s="20"/>
      <c r="B47" s="20"/>
      <c r="C47" s="20"/>
      <c r="D47" s="19"/>
      <c r="E47" s="20"/>
      <c r="F47" s="20"/>
      <c r="G47" s="20"/>
      <c r="H47" s="22" t="str">
        <f aca="false">IF(OR(F47="",G47="",NOT(ISNUMBER(F47)),F47=0),"",G47/F47-1)</f>
        <v/>
      </c>
      <c r="I47" s="20"/>
    </row>
    <row r="48" customFormat="false" ht="15" hidden="false" customHeight="false" outlineLevel="0" collapsed="false">
      <c r="A48" s="20"/>
      <c r="B48" s="20"/>
      <c r="C48" s="20"/>
      <c r="D48" s="19"/>
      <c r="E48" s="20"/>
      <c r="F48" s="20"/>
      <c r="G48" s="20"/>
      <c r="H48" s="22" t="str">
        <f aca="false">IF(OR(F48="",G48="",NOT(ISNUMBER(F48)),F48=0),"",G48/F48-1)</f>
        <v/>
      </c>
      <c r="I48" s="20"/>
    </row>
    <row r="49" customFormat="false" ht="15" hidden="false" customHeight="false" outlineLevel="0" collapsed="false">
      <c r="A49" s="20"/>
      <c r="B49" s="20"/>
      <c r="C49" s="20"/>
      <c r="D49" s="19"/>
      <c r="E49" s="20"/>
      <c r="F49" s="20"/>
      <c r="G49" s="20"/>
      <c r="H49" s="22" t="str">
        <f aca="false">IF(OR(F49="",G49="",NOT(ISNUMBER(F49)),F49=0),"",G49/F49-1)</f>
        <v/>
      </c>
      <c r="I49" s="20"/>
    </row>
    <row r="50" customFormat="false" ht="15" hidden="false" customHeight="false" outlineLevel="0" collapsed="false">
      <c r="A50" s="20"/>
      <c r="B50" s="20"/>
      <c r="C50" s="20"/>
      <c r="D50" s="19"/>
      <c r="E50" s="20"/>
      <c r="F50" s="20"/>
      <c r="G50" s="20"/>
      <c r="H50" s="22" t="str">
        <f aca="false">IF(OR(F50="",G50="",NOT(ISNUMBER(F50)),F50=0),"",G50/F50-1)</f>
        <v/>
      </c>
      <c r="I50" s="20"/>
    </row>
    <row r="51" customFormat="false" ht="15" hidden="false" customHeight="false" outlineLevel="0" collapsed="false">
      <c r="A51" s="20"/>
      <c r="B51" s="20"/>
      <c r="C51" s="20"/>
      <c r="D51" s="19"/>
      <c r="E51" s="20"/>
      <c r="F51" s="20"/>
      <c r="G51" s="20"/>
      <c r="H51" s="22" t="str">
        <f aca="false">IF(OR(F51="",G51="",NOT(ISNUMBER(F51)),F51=0),"",G51/F51-1)</f>
        <v/>
      </c>
      <c r="I51" s="20"/>
    </row>
    <row r="52" customFormat="false" ht="15" hidden="false" customHeight="false" outlineLevel="0" collapsed="false">
      <c r="A52" s="20"/>
      <c r="B52" s="20"/>
      <c r="C52" s="20"/>
      <c r="D52" s="19"/>
      <c r="E52" s="20"/>
      <c r="F52" s="20"/>
      <c r="G52" s="20"/>
      <c r="H52" s="22" t="str">
        <f aca="false">IF(OR(F52="",G52="",NOT(ISNUMBER(F52)),F52=0),"",G52/F52-1)</f>
        <v/>
      </c>
      <c r="I52" s="20"/>
    </row>
    <row r="53" customFormat="false" ht="15" hidden="false" customHeight="false" outlineLevel="0" collapsed="false">
      <c r="A53" s="20"/>
      <c r="B53" s="20"/>
      <c r="C53" s="20"/>
      <c r="D53" s="19"/>
      <c r="E53" s="20"/>
      <c r="F53" s="20"/>
      <c r="G53" s="20"/>
      <c r="H53" s="22" t="str">
        <f aca="false">IF(OR(F53="",G53="",NOT(ISNUMBER(F53)),F53=0),"",G53/F53-1)</f>
        <v/>
      </c>
      <c r="I53" s="20"/>
    </row>
    <row r="54" customFormat="false" ht="15" hidden="false" customHeight="false" outlineLevel="0" collapsed="false">
      <c r="A54" s="20"/>
      <c r="B54" s="20"/>
      <c r="C54" s="20"/>
      <c r="D54" s="19"/>
      <c r="E54" s="20"/>
      <c r="F54" s="20"/>
      <c r="G54" s="20"/>
      <c r="H54" s="22" t="str">
        <f aca="false">IF(OR(F54="",G54="",NOT(ISNUMBER(F54)),F54=0),"",G54/F54-1)</f>
        <v/>
      </c>
      <c r="I54" s="20"/>
    </row>
    <row r="55" customFormat="false" ht="15" hidden="false" customHeight="false" outlineLevel="0" collapsed="false">
      <c r="A55" s="20"/>
      <c r="B55" s="20"/>
      <c r="C55" s="20"/>
      <c r="D55" s="19"/>
      <c r="E55" s="20"/>
      <c r="F55" s="20"/>
      <c r="G55" s="20"/>
      <c r="H55" s="22" t="str">
        <f aca="false">IF(OR(F55="",G55="",NOT(ISNUMBER(F55)),F55=0),"",G55/F55-1)</f>
        <v/>
      </c>
      <c r="I55" s="20"/>
    </row>
    <row r="56" customFormat="false" ht="15" hidden="false" customHeight="false" outlineLevel="0" collapsed="false">
      <c r="A56" s="20"/>
      <c r="B56" s="20"/>
      <c r="C56" s="20"/>
      <c r="D56" s="19"/>
      <c r="E56" s="20"/>
      <c r="F56" s="20"/>
      <c r="G56" s="20"/>
      <c r="H56" s="22" t="str">
        <f aca="false">IF(OR(F56="",G56="",NOT(ISNUMBER(F56)),F56=0),"",G56/F56-1)</f>
        <v/>
      </c>
      <c r="I56" s="20"/>
    </row>
    <row r="57" customFormat="false" ht="15" hidden="false" customHeight="false" outlineLevel="0" collapsed="false">
      <c r="A57" s="20"/>
      <c r="B57" s="20"/>
      <c r="C57" s="20"/>
      <c r="D57" s="19"/>
      <c r="E57" s="20"/>
      <c r="F57" s="20"/>
      <c r="G57" s="20"/>
      <c r="H57" s="22" t="str">
        <f aca="false">IF(OR(F57="",G57="",NOT(ISNUMBER(F57)),F57=0),"",G57/F57-1)</f>
        <v/>
      </c>
      <c r="I57" s="20"/>
    </row>
    <row r="58" customFormat="false" ht="15" hidden="false" customHeight="false" outlineLevel="0" collapsed="false">
      <c r="A58" s="20"/>
      <c r="B58" s="20"/>
      <c r="C58" s="20"/>
      <c r="D58" s="19"/>
      <c r="E58" s="20"/>
      <c r="F58" s="20"/>
      <c r="G58" s="20"/>
      <c r="H58" s="22" t="str">
        <f aca="false">IF(OR(F58="",G58="",NOT(ISNUMBER(F58)),F58=0),"",G58/F58-1)</f>
        <v/>
      </c>
      <c r="I58" s="20"/>
    </row>
    <row r="59" customFormat="false" ht="15" hidden="false" customHeight="false" outlineLevel="0" collapsed="false">
      <c r="A59" s="20"/>
      <c r="B59" s="20"/>
      <c r="C59" s="20"/>
      <c r="D59" s="19"/>
      <c r="E59" s="20"/>
      <c r="F59" s="20"/>
      <c r="G59" s="20"/>
      <c r="H59" s="22" t="str">
        <f aca="false">IF(OR(F59="",G59="",NOT(ISNUMBER(F59)),F59=0),"",G59/F59-1)</f>
        <v/>
      </c>
      <c r="I59" s="20"/>
    </row>
    <row r="60" customFormat="false" ht="15" hidden="false" customHeight="false" outlineLevel="0" collapsed="false">
      <c r="A60" s="20"/>
      <c r="B60" s="20"/>
      <c r="C60" s="20"/>
      <c r="D60" s="19"/>
      <c r="E60" s="20"/>
      <c r="F60" s="20"/>
      <c r="G60" s="20"/>
      <c r="H60" s="22" t="str">
        <f aca="false">IF(OR(F60="",G60="",NOT(ISNUMBER(F60)),F60=0),"",G60/F60-1)</f>
        <v/>
      </c>
      <c r="I60" s="20"/>
    </row>
    <row r="61" customFormat="false" ht="15" hidden="false" customHeight="false" outlineLevel="0" collapsed="false">
      <c r="A61" s="20"/>
      <c r="B61" s="20"/>
      <c r="C61" s="20"/>
      <c r="D61" s="19"/>
      <c r="E61" s="20"/>
      <c r="F61" s="20"/>
      <c r="G61" s="20"/>
      <c r="H61" s="22" t="str">
        <f aca="false">IF(OR(F61="",G61="",NOT(ISNUMBER(F61)),F61=0),"",G61/F61-1)</f>
        <v/>
      </c>
      <c r="I61" s="20"/>
    </row>
    <row r="62" customFormat="false" ht="15" hidden="false" customHeight="false" outlineLevel="0" collapsed="false">
      <c r="A62" s="20"/>
      <c r="B62" s="20"/>
      <c r="C62" s="20"/>
      <c r="D62" s="19"/>
      <c r="E62" s="20"/>
      <c r="F62" s="20"/>
      <c r="G62" s="20"/>
      <c r="H62" s="22" t="str">
        <f aca="false">IF(OR(F62="",G62="",NOT(ISNUMBER(F62)),F62=0),"",G62/F62-1)</f>
        <v/>
      </c>
      <c r="I62" s="20"/>
    </row>
    <row r="63" customFormat="false" ht="15" hidden="false" customHeight="false" outlineLevel="0" collapsed="false">
      <c r="A63" s="20"/>
      <c r="B63" s="20"/>
      <c r="C63" s="20"/>
      <c r="D63" s="19"/>
      <c r="E63" s="20"/>
      <c r="F63" s="20"/>
      <c r="G63" s="20"/>
      <c r="H63" s="22" t="str">
        <f aca="false">IF(OR(F63="",G63="",NOT(ISNUMBER(F63)),F63=0),"",G63/F63-1)</f>
        <v/>
      </c>
      <c r="I63" s="20"/>
    </row>
    <row r="64" customFormat="false" ht="15" hidden="false" customHeight="false" outlineLevel="0" collapsed="false">
      <c r="A64" s="20"/>
      <c r="B64" s="20"/>
      <c r="C64" s="20"/>
      <c r="D64" s="19"/>
      <c r="E64" s="20"/>
      <c r="F64" s="20"/>
      <c r="G64" s="20"/>
      <c r="H64" s="22" t="str">
        <f aca="false">IF(OR(F64="",G64="",NOT(ISNUMBER(F64)),F64=0),"",G64/F64-1)</f>
        <v/>
      </c>
      <c r="I64" s="20"/>
    </row>
    <row r="65" customFormat="false" ht="15" hidden="false" customHeight="false" outlineLevel="0" collapsed="false">
      <c r="A65" s="20"/>
      <c r="B65" s="20"/>
      <c r="C65" s="20"/>
      <c r="D65" s="19"/>
      <c r="E65" s="20"/>
      <c r="F65" s="20"/>
      <c r="G65" s="20"/>
      <c r="H65" s="22" t="str">
        <f aca="false">IF(OR(F65="",G65="",NOT(ISNUMBER(F65)),F65=0),"",G65/F65-1)</f>
        <v/>
      </c>
      <c r="I65" s="20"/>
    </row>
    <row r="66" customFormat="false" ht="15" hidden="false" customHeight="false" outlineLevel="0" collapsed="false">
      <c r="A66" s="20"/>
      <c r="B66" s="20"/>
      <c r="C66" s="20"/>
      <c r="D66" s="19"/>
      <c r="E66" s="20"/>
      <c r="F66" s="20"/>
      <c r="G66" s="20"/>
      <c r="H66" s="22" t="str">
        <f aca="false">IF(OR(F66="",G66="",NOT(ISNUMBER(F66)),F66=0),"",G66/F66-1)</f>
        <v/>
      </c>
      <c r="I66" s="20"/>
    </row>
    <row r="67" customFormat="false" ht="15" hidden="false" customHeight="false" outlineLevel="0" collapsed="false">
      <c r="A67" s="20"/>
      <c r="B67" s="20"/>
      <c r="C67" s="20"/>
      <c r="D67" s="19"/>
      <c r="E67" s="20"/>
      <c r="F67" s="20"/>
      <c r="G67" s="20"/>
      <c r="H67" s="22" t="str">
        <f aca="false">IF(OR(F67="",G67="",NOT(ISNUMBER(F67)),F67=0),"",G67/F67-1)</f>
        <v/>
      </c>
      <c r="I67" s="20"/>
    </row>
    <row r="68" customFormat="false" ht="15" hidden="false" customHeight="false" outlineLevel="0" collapsed="false">
      <c r="A68" s="20"/>
      <c r="B68" s="20"/>
      <c r="C68" s="20"/>
      <c r="D68" s="19"/>
      <c r="E68" s="20"/>
      <c r="F68" s="20"/>
      <c r="G68" s="20"/>
      <c r="H68" s="22" t="str">
        <f aca="false">IF(OR(F68="",G68="",NOT(ISNUMBER(F68)),F68=0),"",G68/F68-1)</f>
        <v/>
      </c>
      <c r="I68" s="20"/>
    </row>
    <row r="69" customFormat="false" ht="15" hidden="false" customHeight="false" outlineLevel="0" collapsed="false">
      <c r="A69" s="20"/>
      <c r="B69" s="20"/>
      <c r="C69" s="20"/>
      <c r="D69" s="19"/>
      <c r="E69" s="20"/>
      <c r="F69" s="20"/>
      <c r="G69" s="20"/>
      <c r="H69" s="22" t="str">
        <f aca="false">IF(OR(F69="",G69="",NOT(ISNUMBER(F69)),F69=0),"",G69/F69-1)</f>
        <v/>
      </c>
      <c r="I69" s="20"/>
    </row>
    <row r="70" customFormat="false" ht="15" hidden="false" customHeight="false" outlineLevel="0" collapsed="false">
      <c r="A70" s="20"/>
      <c r="B70" s="20"/>
      <c r="C70" s="20"/>
      <c r="D70" s="19"/>
      <c r="E70" s="20"/>
      <c r="F70" s="20"/>
      <c r="G70" s="20"/>
      <c r="H70" s="22" t="str">
        <f aca="false">IF(OR(F70="",G70="",NOT(ISNUMBER(F70)),F70=0),"",G70/F70-1)</f>
        <v/>
      </c>
      <c r="I70" s="20"/>
    </row>
    <row r="71" customFormat="false" ht="15" hidden="false" customHeight="false" outlineLevel="0" collapsed="false">
      <c r="A71" s="20"/>
      <c r="B71" s="20"/>
      <c r="C71" s="20"/>
      <c r="D71" s="19"/>
      <c r="E71" s="20"/>
      <c r="F71" s="20"/>
      <c r="G71" s="20"/>
      <c r="H71" s="22" t="str">
        <f aca="false">IF(OR(F71="",G71="",NOT(ISNUMBER(F71)),F71=0),"",G71/F71-1)</f>
        <v/>
      </c>
      <c r="I71" s="20"/>
    </row>
    <row r="72" customFormat="false" ht="15" hidden="false" customHeight="false" outlineLevel="0" collapsed="false">
      <c r="A72" s="20"/>
      <c r="B72" s="20"/>
      <c r="C72" s="20"/>
      <c r="D72" s="19"/>
      <c r="E72" s="20"/>
      <c r="F72" s="20"/>
      <c r="G72" s="20"/>
      <c r="H72" s="22" t="str">
        <f aca="false">IF(OR(F72="",G72="",NOT(ISNUMBER(F72)),F72=0),"",G72/F72-1)</f>
        <v/>
      </c>
      <c r="I72" s="20"/>
    </row>
    <row r="73" customFormat="false" ht="15" hidden="false" customHeight="false" outlineLevel="0" collapsed="false">
      <c r="A73" s="20"/>
      <c r="B73" s="20"/>
      <c r="C73" s="20"/>
      <c r="D73" s="19"/>
      <c r="E73" s="20"/>
      <c r="F73" s="20"/>
      <c r="G73" s="20"/>
      <c r="H73" s="22" t="str">
        <f aca="false">IF(OR(F73="",G73="",NOT(ISNUMBER(F73)),F73=0),"",G73/F73-1)</f>
        <v/>
      </c>
      <c r="I73" s="20"/>
    </row>
    <row r="74" customFormat="false" ht="15" hidden="false" customHeight="false" outlineLevel="0" collapsed="false">
      <c r="A74" s="20"/>
      <c r="B74" s="20"/>
      <c r="C74" s="20"/>
      <c r="D74" s="19"/>
      <c r="E74" s="20"/>
      <c r="F74" s="20"/>
      <c r="G74" s="20"/>
      <c r="H74" s="22" t="str">
        <f aca="false">IF(OR(F74="",G74="",NOT(ISNUMBER(F74)),F74=0),"",G74/F74-1)</f>
        <v/>
      </c>
      <c r="I74" s="20"/>
    </row>
    <row r="75" customFormat="false" ht="15" hidden="false" customHeight="false" outlineLevel="0" collapsed="false">
      <c r="A75" s="20"/>
      <c r="B75" s="20"/>
      <c r="C75" s="20"/>
      <c r="D75" s="19"/>
      <c r="E75" s="20"/>
      <c r="F75" s="20"/>
      <c r="G75" s="20"/>
      <c r="H75" s="22" t="str">
        <f aca="false">IF(OR(F75="",G75="",NOT(ISNUMBER(F75)),F75=0),"",G75/F75-1)</f>
        <v/>
      </c>
      <c r="I75" s="20"/>
    </row>
    <row r="76" customFormat="false" ht="15" hidden="false" customHeight="false" outlineLevel="0" collapsed="false">
      <c r="A76" s="20"/>
      <c r="B76" s="20"/>
      <c r="C76" s="20"/>
      <c r="D76" s="19"/>
      <c r="E76" s="20"/>
      <c r="F76" s="20"/>
      <c r="G76" s="20"/>
      <c r="H76" s="22" t="str">
        <f aca="false">IF(OR(F76="",G76="",NOT(ISNUMBER(F76)),F76=0),"",G76/F76-1)</f>
        <v/>
      </c>
      <c r="I76" s="20"/>
    </row>
    <row r="77" customFormat="false" ht="15" hidden="false" customHeight="false" outlineLevel="0" collapsed="false">
      <c r="A77" s="20"/>
      <c r="B77" s="20"/>
      <c r="C77" s="20"/>
      <c r="D77" s="19"/>
      <c r="E77" s="20"/>
      <c r="F77" s="20"/>
      <c r="G77" s="20"/>
      <c r="H77" s="22" t="str">
        <f aca="false">IF(OR(F77="",G77="",NOT(ISNUMBER(F77)),F77=0),"",G77/F77-1)</f>
        <v/>
      </c>
      <c r="I77" s="20"/>
    </row>
    <row r="78" customFormat="false" ht="15" hidden="false" customHeight="false" outlineLevel="0" collapsed="false">
      <c r="A78" s="20"/>
      <c r="B78" s="20"/>
      <c r="C78" s="20"/>
      <c r="D78" s="19"/>
      <c r="E78" s="20"/>
      <c r="F78" s="20"/>
      <c r="G78" s="20"/>
      <c r="H78" s="22" t="str">
        <f aca="false">IF(OR(F78="",G78="",NOT(ISNUMBER(F78)),F78=0),"",G78/F78-1)</f>
        <v/>
      </c>
      <c r="I78" s="20"/>
    </row>
    <row r="79" customFormat="false" ht="15" hidden="false" customHeight="false" outlineLevel="0" collapsed="false">
      <c r="A79" s="20"/>
      <c r="B79" s="20"/>
      <c r="C79" s="20"/>
      <c r="D79" s="19"/>
      <c r="E79" s="20"/>
      <c r="F79" s="20"/>
      <c r="G79" s="20"/>
      <c r="H79" s="22" t="str">
        <f aca="false">IF(OR(F79="",G79="",NOT(ISNUMBER(F79)),F79=0),"",G79/F79-1)</f>
        <v/>
      </c>
      <c r="I79" s="20"/>
    </row>
    <row r="80" customFormat="false" ht="15" hidden="false" customHeight="false" outlineLevel="0" collapsed="false">
      <c r="A80" s="20"/>
      <c r="B80" s="20"/>
      <c r="C80" s="20"/>
      <c r="D80" s="19"/>
      <c r="E80" s="20"/>
      <c r="F80" s="20"/>
      <c r="G80" s="20"/>
      <c r="H80" s="22" t="str">
        <f aca="false">IF(OR(F80="",G80="",NOT(ISNUMBER(F80)),F80=0),"",G80/F80-1)</f>
        <v/>
      </c>
      <c r="I80" s="20"/>
    </row>
    <row r="81" customFormat="false" ht="15" hidden="false" customHeight="false" outlineLevel="0" collapsed="false">
      <c r="A81" s="20"/>
      <c r="B81" s="20"/>
      <c r="C81" s="20"/>
      <c r="D81" s="19"/>
      <c r="E81" s="20"/>
      <c r="F81" s="20"/>
      <c r="G81" s="20"/>
      <c r="H81" s="22" t="str">
        <f aca="false">IF(OR(F81="",G81="",NOT(ISNUMBER(F81)),F81=0),"",G81/F81-1)</f>
        <v/>
      </c>
      <c r="I81" s="20"/>
    </row>
    <row r="82" customFormat="false" ht="15" hidden="false" customHeight="false" outlineLevel="0" collapsed="false">
      <c r="A82" s="20"/>
      <c r="B82" s="20"/>
      <c r="C82" s="20"/>
      <c r="D82" s="19"/>
      <c r="E82" s="20"/>
      <c r="F82" s="20"/>
      <c r="G82" s="20"/>
      <c r="H82" s="22" t="str">
        <f aca="false">IF(OR(F82="",G82="",NOT(ISNUMBER(F82)),F82=0),"",G82/F82-1)</f>
        <v/>
      </c>
      <c r="I82" s="20"/>
    </row>
    <row r="83" customFormat="false" ht="15" hidden="false" customHeight="false" outlineLevel="0" collapsed="false">
      <c r="A83" s="20"/>
      <c r="B83" s="20"/>
      <c r="C83" s="20"/>
      <c r="D83" s="19"/>
      <c r="E83" s="20"/>
      <c r="F83" s="20"/>
      <c r="G83" s="20"/>
      <c r="H83" s="22" t="str">
        <f aca="false">IF(OR(F83="",G83="",NOT(ISNUMBER(F83)),F83=0),"",G83/F83-1)</f>
        <v/>
      </c>
      <c r="I83" s="20"/>
    </row>
    <row r="84" customFormat="false" ht="15" hidden="false" customHeight="false" outlineLevel="0" collapsed="false">
      <c r="A84" s="20"/>
      <c r="B84" s="20"/>
      <c r="C84" s="20"/>
      <c r="D84" s="19"/>
      <c r="E84" s="20"/>
      <c r="F84" s="20"/>
      <c r="G84" s="20"/>
      <c r="H84" s="22" t="str">
        <f aca="false">IF(OR(F84="",G84="",NOT(ISNUMBER(F84)),F84=0),"",G84/F84-1)</f>
        <v/>
      </c>
      <c r="I84" s="20"/>
    </row>
    <row r="85" customFormat="false" ht="15" hidden="false" customHeight="false" outlineLevel="0" collapsed="false">
      <c r="A85" s="20"/>
      <c r="B85" s="20"/>
      <c r="C85" s="20"/>
      <c r="D85" s="19"/>
      <c r="E85" s="20"/>
      <c r="F85" s="20"/>
      <c r="G85" s="20"/>
      <c r="H85" s="22" t="str">
        <f aca="false">IF(OR(F85="",G85="",NOT(ISNUMBER(F85)),F85=0),"",G85/F85-1)</f>
        <v/>
      </c>
      <c r="I85" s="20"/>
    </row>
    <row r="86" customFormat="false" ht="15" hidden="false" customHeight="false" outlineLevel="0" collapsed="false">
      <c r="A86" s="20"/>
      <c r="B86" s="20"/>
      <c r="C86" s="20"/>
      <c r="D86" s="19"/>
      <c r="E86" s="20"/>
      <c r="F86" s="20"/>
      <c r="G86" s="20"/>
      <c r="H86" s="22" t="str">
        <f aca="false">IF(OR(F86="",G86="",NOT(ISNUMBER(F86)),F86=0),"",G86/F86-1)</f>
        <v/>
      </c>
      <c r="I86" s="20"/>
    </row>
    <row r="87" customFormat="false" ht="15" hidden="false" customHeight="false" outlineLevel="0" collapsed="false">
      <c r="A87" s="20"/>
      <c r="B87" s="20"/>
      <c r="C87" s="20"/>
      <c r="D87" s="19"/>
      <c r="E87" s="20"/>
      <c r="F87" s="20"/>
      <c r="G87" s="20"/>
      <c r="H87" s="22" t="str">
        <f aca="false">IF(OR(F87="",G87="",NOT(ISNUMBER(F87)),F87=0),"",G87/F87-1)</f>
        <v/>
      </c>
      <c r="I87" s="20"/>
    </row>
    <row r="88" customFormat="false" ht="15" hidden="false" customHeight="false" outlineLevel="0" collapsed="false">
      <c r="A88" s="20"/>
      <c r="B88" s="20"/>
      <c r="C88" s="20"/>
      <c r="D88" s="19"/>
      <c r="E88" s="20"/>
      <c r="F88" s="20"/>
      <c r="G88" s="20"/>
      <c r="H88" s="22" t="str">
        <f aca="false">IF(OR(F88="",G88="",NOT(ISNUMBER(F88)),F88=0),"",G88/F88-1)</f>
        <v/>
      </c>
      <c r="I88" s="20"/>
    </row>
    <row r="89" customFormat="false" ht="15" hidden="false" customHeight="false" outlineLevel="0" collapsed="false">
      <c r="A89" s="20"/>
      <c r="B89" s="20"/>
      <c r="C89" s="20"/>
      <c r="D89" s="19"/>
      <c r="E89" s="20"/>
      <c r="F89" s="20"/>
      <c r="G89" s="20"/>
      <c r="H89" s="22" t="str">
        <f aca="false">IF(OR(F89="",G89="",NOT(ISNUMBER(F89)),F89=0),"",G89/F89-1)</f>
        <v/>
      </c>
      <c r="I89" s="20"/>
    </row>
    <row r="90" customFormat="false" ht="15" hidden="false" customHeight="false" outlineLevel="0" collapsed="false">
      <c r="A90" s="20"/>
      <c r="B90" s="20"/>
      <c r="C90" s="20"/>
      <c r="D90" s="19"/>
      <c r="E90" s="20"/>
      <c r="F90" s="20"/>
      <c r="G90" s="20"/>
      <c r="H90" s="22" t="str">
        <f aca="false">IF(OR(F90="",G90="",NOT(ISNUMBER(F90)),F90=0),"",G90/F90-1)</f>
        <v/>
      </c>
      <c r="I90" s="20"/>
    </row>
    <row r="91" customFormat="false" ht="15" hidden="false" customHeight="false" outlineLevel="0" collapsed="false">
      <c r="A91" s="20"/>
      <c r="B91" s="20"/>
      <c r="C91" s="20"/>
      <c r="D91" s="19"/>
      <c r="E91" s="20"/>
      <c r="F91" s="20"/>
      <c r="G91" s="20"/>
      <c r="H91" s="22" t="str">
        <f aca="false">IF(OR(F91="",G91="",NOT(ISNUMBER(F91)),F91=0),"",G91/F91-1)</f>
        <v/>
      </c>
      <c r="I91" s="20"/>
    </row>
    <row r="92" customFormat="false" ht="15" hidden="false" customHeight="false" outlineLevel="0" collapsed="false">
      <c r="A92" s="20"/>
      <c r="B92" s="20"/>
      <c r="C92" s="20"/>
      <c r="D92" s="19"/>
      <c r="E92" s="20"/>
      <c r="F92" s="20"/>
      <c r="G92" s="20"/>
      <c r="H92" s="22" t="str">
        <f aca="false">IF(OR(F92="",G92="",NOT(ISNUMBER(F92)),F92=0),"",G92/F92-1)</f>
        <v/>
      </c>
      <c r="I92" s="20"/>
    </row>
    <row r="93" customFormat="false" ht="15" hidden="false" customHeight="false" outlineLevel="0" collapsed="false">
      <c r="A93" s="20"/>
      <c r="B93" s="20"/>
      <c r="C93" s="20"/>
      <c r="D93" s="19"/>
      <c r="E93" s="20"/>
      <c r="F93" s="20"/>
      <c r="G93" s="20"/>
      <c r="H93" s="22" t="str">
        <f aca="false">IF(OR(F93="",G93="",NOT(ISNUMBER(F93)),F93=0),"",G93/F93-1)</f>
        <v/>
      </c>
      <c r="I93" s="20"/>
    </row>
    <row r="94" customFormat="false" ht="15" hidden="false" customHeight="false" outlineLevel="0" collapsed="false">
      <c r="A94" s="20"/>
      <c r="B94" s="20"/>
      <c r="C94" s="20"/>
      <c r="D94" s="19"/>
      <c r="E94" s="20"/>
      <c r="F94" s="20"/>
      <c r="G94" s="20"/>
      <c r="H94" s="22" t="str">
        <f aca="false">IF(OR(F94="",G94="",NOT(ISNUMBER(F94)),F94=0),"",G94/F94-1)</f>
        <v/>
      </c>
      <c r="I94" s="20"/>
    </row>
    <row r="95" customFormat="false" ht="15" hidden="false" customHeight="false" outlineLevel="0" collapsed="false">
      <c r="A95" s="20"/>
      <c r="B95" s="20"/>
      <c r="C95" s="20"/>
      <c r="D95" s="19"/>
      <c r="E95" s="20"/>
      <c r="F95" s="20"/>
      <c r="G95" s="20"/>
      <c r="H95" s="22" t="str">
        <f aca="false">IF(OR(F95="",G95="",NOT(ISNUMBER(F95)),F95=0),"",G95/F95-1)</f>
        <v/>
      </c>
      <c r="I95" s="20"/>
    </row>
    <row r="96" customFormat="false" ht="15" hidden="false" customHeight="false" outlineLevel="0" collapsed="false">
      <c r="A96" s="20"/>
      <c r="B96" s="20"/>
      <c r="C96" s="20"/>
      <c r="D96" s="19"/>
      <c r="E96" s="20"/>
      <c r="F96" s="20"/>
      <c r="G96" s="20"/>
      <c r="H96" s="22" t="str">
        <f aca="false">IF(OR(F96="",G96="",NOT(ISNUMBER(F96)),F96=0),"",G96/F96-1)</f>
        <v/>
      </c>
      <c r="I96" s="20"/>
    </row>
    <row r="97" customFormat="false" ht="15" hidden="false" customHeight="false" outlineLevel="0" collapsed="false">
      <c r="A97" s="20"/>
      <c r="B97" s="20"/>
      <c r="C97" s="20"/>
      <c r="D97" s="19"/>
      <c r="E97" s="20"/>
      <c r="F97" s="20"/>
      <c r="G97" s="20"/>
      <c r="H97" s="22" t="str">
        <f aca="false">IF(OR(F97="",G97="",NOT(ISNUMBER(F97)),F97=0),"",G97/F97-1)</f>
        <v/>
      </c>
      <c r="I97" s="20"/>
    </row>
    <row r="98" customFormat="false" ht="15" hidden="false" customHeight="false" outlineLevel="0" collapsed="false">
      <c r="A98" s="20"/>
      <c r="B98" s="20"/>
      <c r="C98" s="20"/>
      <c r="D98" s="19"/>
      <c r="E98" s="20"/>
      <c r="F98" s="20"/>
      <c r="G98" s="20"/>
      <c r="H98" s="22" t="str">
        <f aca="false">IF(OR(F98="",G98="",NOT(ISNUMBER(F98)),F98=0),"",G98/F98-1)</f>
        <v/>
      </c>
      <c r="I98" s="20"/>
    </row>
    <row r="99" customFormat="false" ht="15" hidden="false" customHeight="false" outlineLevel="0" collapsed="false">
      <c r="A99" s="20"/>
      <c r="B99" s="20"/>
      <c r="C99" s="20"/>
      <c r="D99" s="19"/>
      <c r="E99" s="20"/>
      <c r="F99" s="20"/>
      <c r="G99" s="20"/>
      <c r="H99" s="22" t="str">
        <f aca="false">IF(OR(F99="",G99="",NOT(ISNUMBER(F99)),F99=0),"",G99/F99-1)</f>
        <v/>
      </c>
      <c r="I99" s="20"/>
    </row>
    <row r="100" customFormat="false" ht="15" hidden="false" customHeight="false" outlineLevel="0" collapsed="false">
      <c r="A100" s="20"/>
      <c r="B100" s="20"/>
      <c r="C100" s="20"/>
      <c r="D100" s="19"/>
      <c r="E100" s="20"/>
      <c r="F100" s="20"/>
      <c r="G100" s="20"/>
      <c r="H100" s="22" t="str">
        <f aca="false">IF(OR(F100="",G100="",NOT(ISNUMBER(F100)),F100=0),"",G100/F100-1)</f>
        <v/>
      </c>
      <c r="I100" s="20"/>
    </row>
    <row r="101" customFormat="false" ht="15" hidden="false" customHeight="false" outlineLevel="0" collapsed="false">
      <c r="A101" s="20"/>
      <c r="B101" s="20"/>
      <c r="C101" s="20"/>
      <c r="D101" s="19"/>
      <c r="E101" s="20"/>
      <c r="F101" s="20"/>
      <c r="G101" s="20"/>
      <c r="H101" s="22" t="str">
        <f aca="false">IF(OR(F101="",G101="",NOT(ISNUMBER(F101)),F101=0),"",G101/F101-1)</f>
        <v/>
      </c>
      <c r="I101" s="20"/>
    </row>
    <row r="102" customFormat="false" ht="15" hidden="false" customHeight="false" outlineLevel="0" collapsed="false">
      <c r="A102" s="20"/>
      <c r="B102" s="20"/>
      <c r="C102" s="20"/>
      <c r="D102" s="19"/>
      <c r="E102" s="20"/>
      <c r="F102" s="20"/>
      <c r="G102" s="20"/>
      <c r="H102" s="22" t="str">
        <f aca="false">IF(OR(F102="",G102="",NOT(ISNUMBER(F102)),F102=0),"",G102/F102-1)</f>
        <v/>
      </c>
      <c r="I102" s="20"/>
    </row>
    <row r="103" customFormat="false" ht="15" hidden="false" customHeight="false" outlineLevel="0" collapsed="false">
      <c r="A103" s="20"/>
      <c r="B103" s="20"/>
      <c r="C103" s="20"/>
      <c r="D103" s="19"/>
      <c r="E103" s="20"/>
      <c r="F103" s="20"/>
      <c r="G103" s="20"/>
      <c r="H103" s="22" t="str">
        <f aca="false">IF(OR(F103="",G103="",NOT(ISNUMBER(F103)),F103=0),"",G103/F103-1)</f>
        <v/>
      </c>
      <c r="I103" s="20"/>
    </row>
    <row r="104" customFormat="false" ht="15" hidden="false" customHeight="false" outlineLevel="0" collapsed="false">
      <c r="A104" s="20"/>
      <c r="B104" s="20"/>
      <c r="C104" s="20"/>
      <c r="D104" s="19"/>
      <c r="E104" s="20"/>
      <c r="F104" s="20"/>
      <c r="G104" s="20"/>
      <c r="H104" s="22" t="str">
        <f aca="false">IF(OR(F104="",G104="",NOT(ISNUMBER(F104)),F104=0),"",G104/F104-1)</f>
        <v/>
      </c>
      <c r="I104" s="20"/>
    </row>
    <row r="105" customFormat="false" ht="15" hidden="false" customHeight="false" outlineLevel="0" collapsed="false">
      <c r="A105" s="20"/>
      <c r="B105" s="20"/>
      <c r="C105" s="20"/>
      <c r="D105" s="19"/>
      <c r="E105" s="20"/>
      <c r="F105" s="20"/>
      <c r="G105" s="20"/>
      <c r="H105" s="22" t="str">
        <f aca="false">IF(OR(F105="",G105="",NOT(ISNUMBER(F105)),F105=0),"",G105/F105-1)</f>
        <v/>
      </c>
      <c r="I105" s="20"/>
    </row>
    <row r="106" customFormat="false" ht="15" hidden="false" customHeight="false" outlineLevel="0" collapsed="false">
      <c r="A106" s="20"/>
      <c r="B106" s="20"/>
      <c r="C106" s="20"/>
      <c r="D106" s="19"/>
      <c r="E106" s="20"/>
      <c r="F106" s="20"/>
      <c r="G106" s="20"/>
      <c r="H106" s="22" t="str">
        <f aca="false">IF(OR(F106="",G106="",NOT(ISNUMBER(F106)),F106=0),"",G106/F106-1)</f>
        <v/>
      </c>
      <c r="I106" s="20"/>
    </row>
    <row r="107" customFormat="false" ht="15" hidden="false" customHeight="false" outlineLevel="0" collapsed="false">
      <c r="A107" s="20"/>
      <c r="B107" s="20"/>
      <c r="C107" s="20"/>
      <c r="D107" s="19"/>
      <c r="E107" s="20"/>
      <c r="F107" s="20"/>
      <c r="G107" s="20"/>
      <c r="H107" s="22" t="str">
        <f aca="false">IF(OR(F107="",G107="",NOT(ISNUMBER(F107)),F107=0),"",G107/F107-1)</f>
        <v/>
      </c>
      <c r="I107" s="20"/>
    </row>
    <row r="108" customFormat="false" ht="15" hidden="false" customHeight="false" outlineLevel="0" collapsed="false">
      <c r="A108" s="20"/>
      <c r="B108" s="20"/>
      <c r="C108" s="20"/>
      <c r="D108" s="19"/>
      <c r="E108" s="20"/>
      <c r="F108" s="20"/>
      <c r="G108" s="20"/>
      <c r="H108" s="22" t="str">
        <f aca="false">IF(OR(F108="",G108="",NOT(ISNUMBER(F108)),F108=0),"",G108/F108-1)</f>
        <v/>
      </c>
      <c r="I108" s="20"/>
    </row>
    <row r="109" customFormat="false" ht="15" hidden="false" customHeight="false" outlineLevel="0" collapsed="false">
      <c r="A109" s="20"/>
      <c r="B109" s="20"/>
      <c r="C109" s="20"/>
      <c r="D109" s="19"/>
      <c r="E109" s="20"/>
      <c r="F109" s="20"/>
      <c r="G109" s="20"/>
      <c r="H109" s="22" t="str">
        <f aca="false">IF(OR(F109="",G109="",NOT(ISNUMBER(F109)),F109=0),"",G109/F109-1)</f>
        <v/>
      </c>
      <c r="I109" s="20"/>
    </row>
    <row r="110" customFormat="false" ht="15" hidden="false" customHeight="false" outlineLevel="0" collapsed="false">
      <c r="A110" s="20"/>
      <c r="B110" s="20"/>
      <c r="C110" s="20"/>
      <c r="D110" s="19"/>
      <c r="E110" s="20"/>
      <c r="F110" s="20"/>
      <c r="G110" s="20"/>
      <c r="H110" s="22" t="str">
        <f aca="false">IF(OR(F110="",G110="",NOT(ISNUMBER(F110)),F110=0),"",G110/F110-1)</f>
        <v/>
      </c>
      <c r="I110" s="20"/>
    </row>
    <row r="111" customFormat="false" ht="15" hidden="false" customHeight="false" outlineLevel="0" collapsed="false">
      <c r="A111" s="20"/>
      <c r="B111" s="20"/>
      <c r="C111" s="20"/>
      <c r="D111" s="19"/>
      <c r="E111" s="20"/>
      <c r="F111" s="20"/>
      <c r="G111" s="20"/>
      <c r="H111" s="22" t="str">
        <f aca="false">IF(OR(F111="",G111="",NOT(ISNUMBER(F111)),F111=0),"",G111/F111-1)</f>
        <v/>
      </c>
      <c r="I111" s="20"/>
    </row>
    <row r="112" customFormat="false" ht="15" hidden="false" customHeight="false" outlineLevel="0" collapsed="false">
      <c r="A112" s="20"/>
      <c r="B112" s="20"/>
      <c r="C112" s="20"/>
      <c r="D112" s="19"/>
      <c r="E112" s="20"/>
      <c r="F112" s="20"/>
      <c r="G112" s="20"/>
      <c r="H112" s="22" t="str">
        <f aca="false">IF(OR(F112="",G112="",NOT(ISNUMBER(F112)),F112=0),"",G112/F112-1)</f>
        <v/>
      </c>
      <c r="I112" s="20"/>
    </row>
    <row r="113" customFormat="false" ht="15" hidden="false" customHeight="false" outlineLevel="0" collapsed="false">
      <c r="A113" s="20"/>
      <c r="B113" s="20"/>
      <c r="C113" s="20"/>
      <c r="D113" s="19"/>
      <c r="E113" s="20"/>
      <c r="F113" s="20"/>
      <c r="G113" s="20"/>
      <c r="H113" s="22" t="str">
        <f aca="false">IF(OR(F113="",G113="",NOT(ISNUMBER(F113)),F113=0),"",G113/F113-1)</f>
        <v/>
      </c>
      <c r="I113" s="20"/>
    </row>
    <row r="114" customFormat="false" ht="15" hidden="false" customHeight="false" outlineLevel="0" collapsed="false">
      <c r="A114" s="20"/>
      <c r="B114" s="20"/>
      <c r="C114" s="20"/>
      <c r="D114" s="19"/>
      <c r="E114" s="20"/>
      <c r="F114" s="20"/>
      <c r="G114" s="20"/>
      <c r="H114" s="22" t="str">
        <f aca="false">IF(OR(F114="",G114="",NOT(ISNUMBER(F114)),F114=0),"",G114/F114-1)</f>
        <v/>
      </c>
      <c r="I114" s="20"/>
    </row>
    <row r="115" customFormat="false" ht="15" hidden="false" customHeight="false" outlineLevel="0" collapsed="false">
      <c r="A115" s="20"/>
      <c r="B115" s="20"/>
      <c r="C115" s="20"/>
      <c r="D115" s="19"/>
      <c r="E115" s="20"/>
      <c r="F115" s="20"/>
      <c r="G115" s="20"/>
      <c r="H115" s="22" t="str">
        <f aca="false">IF(OR(F115="",G115="",NOT(ISNUMBER(F115)),F115=0),"",G115/F115-1)</f>
        <v/>
      </c>
      <c r="I115" s="20"/>
    </row>
    <row r="116" customFormat="false" ht="15" hidden="false" customHeight="false" outlineLevel="0" collapsed="false">
      <c r="A116" s="20"/>
      <c r="B116" s="20"/>
      <c r="C116" s="20"/>
      <c r="D116" s="19"/>
      <c r="E116" s="20"/>
      <c r="F116" s="20"/>
      <c r="G116" s="20"/>
      <c r="H116" s="22" t="str">
        <f aca="false">IF(OR(F116="",G116="",NOT(ISNUMBER(F116)),F116=0),"",G116/F116-1)</f>
        <v/>
      </c>
      <c r="I116" s="20"/>
    </row>
    <row r="117" customFormat="false" ht="15" hidden="false" customHeight="false" outlineLevel="0" collapsed="false">
      <c r="A117" s="20"/>
      <c r="B117" s="20"/>
      <c r="C117" s="20"/>
      <c r="D117" s="19"/>
      <c r="E117" s="20"/>
      <c r="F117" s="20"/>
      <c r="G117" s="20"/>
      <c r="H117" s="22" t="str">
        <f aca="false">IF(OR(F117="",G117="",NOT(ISNUMBER(F117)),F117=0),"",G117/F117-1)</f>
        <v/>
      </c>
      <c r="I117" s="20"/>
    </row>
    <row r="118" customFormat="false" ht="15" hidden="false" customHeight="false" outlineLevel="0" collapsed="false">
      <c r="A118" s="20"/>
      <c r="B118" s="20"/>
      <c r="C118" s="20"/>
      <c r="D118" s="19"/>
      <c r="E118" s="20"/>
      <c r="F118" s="20"/>
      <c r="G118" s="20"/>
      <c r="H118" s="22" t="str">
        <f aca="false">IF(OR(F118="",G118="",NOT(ISNUMBER(F118)),F118=0),"",G118/F118-1)</f>
        <v/>
      </c>
      <c r="I118" s="20"/>
    </row>
    <row r="119" customFormat="false" ht="15" hidden="false" customHeight="false" outlineLevel="0" collapsed="false">
      <c r="A119" s="20"/>
      <c r="B119" s="20"/>
      <c r="C119" s="20"/>
      <c r="D119" s="19"/>
      <c r="E119" s="20"/>
      <c r="F119" s="20"/>
      <c r="G119" s="20"/>
      <c r="H119" s="22" t="str">
        <f aca="false">IF(OR(F119="",G119="",NOT(ISNUMBER(F119)),F119=0),"",G119/F119-1)</f>
        <v/>
      </c>
      <c r="I119" s="20"/>
    </row>
    <row r="120" customFormat="false" ht="15" hidden="false" customHeight="false" outlineLevel="0" collapsed="false">
      <c r="A120" s="20"/>
      <c r="B120" s="20"/>
      <c r="C120" s="20"/>
      <c r="D120" s="19"/>
      <c r="E120" s="20"/>
      <c r="F120" s="20"/>
      <c r="G120" s="20"/>
      <c r="H120" s="22" t="str">
        <f aca="false">IF(OR(F120="",G120="",NOT(ISNUMBER(F120)),F120=0),"",G120/F120-1)</f>
        <v/>
      </c>
      <c r="I120" s="20"/>
    </row>
    <row r="121" customFormat="false" ht="15" hidden="false" customHeight="false" outlineLevel="0" collapsed="false">
      <c r="A121" s="20"/>
      <c r="B121" s="20"/>
      <c r="C121" s="20"/>
      <c r="D121" s="19"/>
      <c r="E121" s="20"/>
      <c r="F121" s="20"/>
      <c r="G121" s="20"/>
      <c r="H121" s="22" t="str">
        <f aca="false">IF(OR(F121="",G121="",NOT(ISNUMBER(F121)),F121=0),"",G121/F121-1)</f>
        <v/>
      </c>
      <c r="I121" s="20"/>
    </row>
    <row r="122" customFormat="false" ht="15" hidden="false" customHeight="false" outlineLevel="0" collapsed="false">
      <c r="A122" s="20"/>
      <c r="B122" s="20"/>
      <c r="C122" s="20"/>
      <c r="D122" s="19"/>
      <c r="E122" s="20"/>
      <c r="F122" s="20"/>
      <c r="G122" s="20"/>
      <c r="H122" s="22" t="str">
        <f aca="false">IF(OR(F122="",G122="",NOT(ISNUMBER(F122)),F122=0),"",G122/F122-1)</f>
        <v/>
      </c>
      <c r="I122" s="20"/>
    </row>
    <row r="123" customFormat="false" ht="15" hidden="false" customHeight="false" outlineLevel="0" collapsed="false">
      <c r="A123" s="20"/>
      <c r="B123" s="20"/>
      <c r="C123" s="20"/>
      <c r="D123" s="19"/>
      <c r="E123" s="20"/>
      <c r="F123" s="20"/>
      <c r="G123" s="20"/>
      <c r="H123" s="22" t="str">
        <f aca="false">IF(OR(F123="",G123="",NOT(ISNUMBER(F123)),F123=0),"",G123/F123-1)</f>
        <v/>
      </c>
      <c r="I123" s="20"/>
    </row>
    <row r="124" customFormat="false" ht="15" hidden="false" customHeight="false" outlineLevel="0" collapsed="false">
      <c r="A124" s="20"/>
      <c r="B124" s="20"/>
      <c r="C124" s="20"/>
      <c r="D124" s="19"/>
      <c r="E124" s="20"/>
      <c r="F124" s="20"/>
      <c r="G124" s="20"/>
      <c r="H124" s="22" t="str">
        <f aca="false">IF(OR(F124="",G124="",NOT(ISNUMBER(F124)),F124=0),"",G124/F124-1)</f>
        <v/>
      </c>
      <c r="I124" s="20"/>
    </row>
    <row r="125" customFormat="false" ht="15" hidden="false" customHeight="false" outlineLevel="0" collapsed="false">
      <c r="A125" s="20"/>
      <c r="B125" s="20"/>
      <c r="C125" s="20"/>
      <c r="D125" s="19"/>
      <c r="E125" s="20"/>
      <c r="F125" s="20"/>
      <c r="G125" s="20"/>
      <c r="H125" s="22" t="str">
        <f aca="false">IF(OR(F125="",G125="",NOT(ISNUMBER(F125)),F125=0),"",G125/F125-1)</f>
        <v/>
      </c>
      <c r="I125" s="20"/>
    </row>
    <row r="126" customFormat="false" ht="15" hidden="false" customHeight="false" outlineLevel="0" collapsed="false">
      <c r="A126" s="20"/>
      <c r="B126" s="20"/>
      <c r="C126" s="20"/>
      <c r="D126" s="19"/>
      <c r="E126" s="20"/>
      <c r="F126" s="20"/>
      <c r="G126" s="20"/>
      <c r="H126" s="22" t="str">
        <f aca="false">IF(OR(F126="",G126="",NOT(ISNUMBER(F126)),F126=0),"",G126/F126-1)</f>
        <v/>
      </c>
      <c r="I126" s="20"/>
    </row>
    <row r="127" customFormat="false" ht="15" hidden="false" customHeight="false" outlineLevel="0" collapsed="false">
      <c r="A127" s="20"/>
      <c r="B127" s="20"/>
      <c r="C127" s="20"/>
      <c r="D127" s="19"/>
      <c r="E127" s="20"/>
      <c r="F127" s="20"/>
      <c r="G127" s="20"/>
      <c r="H127" s="22" t="str">
        <f aca="false">IF(OR(F127="",G127="",NOT(ISNUMBER(F127)),F127=0),"",G127/F127-1)</f>
        <v/>
      </c>
      <c r="I127" s="20"/>
    </row>
    <row r="128" customFormat="false" ht="15" hidden="false" customHeight="false" outlineLevel="0" collapsed="false">
      <c r="A128" s="20"/>
      <c r="B128" s="20"/>
      <c r="C128" s="20"/>
      <c r="D128" s="19"/>
      <c r="E128" s="20"/>
      <c r="F128" s="20"/>
      <c r="G128" s="20"/>
      <c r="H128" s="22" t="str">
        <f aca="false">IF(OR(F128="",G128="",NOT(ISNUMBER(F128)),F128=0),"",G128/F128-1)</f>
        <v/>
      </c>
      <c r="I128" s="20"/>
    </row>
    <row r="129" customFormat="false" ht="15" hidden="false" customHeight="false" outlineLevel="0" collapsed="false">
      <c r="A129" s="20"/>
      <c r="B129" s="20"/>
      <c r="C129" s="20"/>
      <c r="D129" s="19"/>
      <c r="E129" s="20"/>
      <c r="F129" s="20"/>
      <c r="G129" s="20"/>
      <c r="H129" s="22" t="str">
        <f aca="false">IF(OR(F129="",G129="",NOT(ISNUMBER(F129)),F129=0),"",G129/F129-1)</f>
        <v/>
      </c>
      <c r="I129" s="20"/>
    </row>
    <row r="130" customFormat="false" ht="15" hidden="false" customHeight="false" outlineLevel="0" collapsed="false">
      <c r="A130" s="20"/>
      <c r="B130" s="20"/>
      <c r="C130" s="20"/>
      <c r="D130" s="19"/>
      <c r="E130" s="20"/>
      <c r="F130" s="20"/>
      <c r="G130" s="20"/>
      <c r="H130" s="22" t="str">
        <f aca="false">IF(OR(F130="",G130="",NOT(ISNUMBER(F130)),F130=0),"",G130/F130-1)</f>
        <v/>
      </c>
      <c r="I130" s="20"/>
    </row>
    <row r="131" customFormat="false" ht="15" hidden="false" customHeight="false" outlineLevel="0" collapsed="false">
      <c r="A131" s="20"/>
      <c r="B131" s="20"/>
      <c r="C131" s="20"/>
      <c r="D131" s="19"/>
      <c r="E131" s="20"/>
      <c r="F131" s="20"/>
      <c r="G131" s="20"/>
      <c r="H131" s="22" t="str">
        <f aca="false">IF(OR(F131="",G131="",NOT(ISNUMBER(F131)),F131=0),"",G131/F131-1)</f>
        <v/>
      </c>
      <c r="I131" s="20"/>
    </row>
    <row r="132" customFormat="false" ht="15" hidden="false" customHeight="false" outlineLevel="0" collapsed="false">
      <c r="A132" s="20"/>
      <c r="B132" s="20"/>
      <c r="C132" s="20"/>
      <c r="D132" s="19"/>
      <c r="E132" s="20"/>
      <c r="F132" s="20"/>
      <c r="G132" s="20"/>
      <c r="H132" s="22" t="str">
        <f aca="false">IF(OR(F132="",G132="",NOT(ISNUMBER(F132)),F132=0),"",G132/F132-1)</f>
        <v/>
      </c>
      <c r="I132" s="20"/>
    </row>
    <row r="133" customFormat="false" ht="15" hidden="false" customHeight="false" outlineLevel="0" collapsed="false">
      <c r="A133" s="20"/>
      <c r="B133" s="20"/>
      <c r="C133" s="20"/>
      <c r="D133" s="19"/>
      <c r="E133" s="20"/>
      <c r="F133" s="20"/>
      <c r="G133" s="20"/>
      <c r="H133" s="22" t="str">
        <f aca="false">IF(OR(F133="",G133="",NOT(ISNUMBER(F133)),F133=0),"",G133/F133-1)</f>
        <v/>
      </c>
      <c r="I133" s="20"/>
    </row>
    <row r="134" customFormat="false" ht="15" hidden="false" customHeight="false" outlineLevel="0" collapsed="false">
      <c r="A134" s="20"/>
      <c r="B134" s="20"/>
      <c r="C134" s="20"/>
      <c r="D134" s="19"/>
      <c r="E134" s="20"/>
      <c r="F134" s="20"/>
      <c r="G134" s="20"/>
      <c r="H134" s="22" t="str">
        <f aca="false">IF(OR(F134="",G134="",NOT(ISNUMBER(F134)),F134=0),"",G134/F134-1)</f>
        <v/>
      </c>
      <c r="I134" s="20"/>
    </row>
    <row r="135" customFormat="false" ht="15" hidden="false" customHeight="false" outlineLevel="0" collapsed="false">
      <c r="A135" s="20"/>
      <c r="B135" s="20"/>
      <c r="C135" s="20"/>
      <c r="D135" s="19"/>
      <c r="E135" s="20"/>
      <c r="F135" s="20"/>
      <c r="G135" s="20"/>
      <c r="H135" s="22" t="str">
        <f aca="false">IF(OR(F135="",G135="",NOT(ISNUMBER(F135)),F135=0),"",G135/F135-1)</f>
        <v/>
      </c>
      <c r="I135" s="20"/>
    </row>
    <row r="136" customFormat="false" ht="15" hidden="false" customHeight="false" outlineLevel="0" collapsed="false">
      <c r="A136" s="20"/>
      <c r="B136" s="20"/>
      <c r="C136" s="20"/>
      <c r="D136" s="19"/>
      <c r="E136" s="20"/>
      <c r="F136" s="20"/>
      <c r="G136" s="20"/>
      <c r="H136" s="22" t="str">
        <f aca="false">IF(OR(F136="",G136="",NOT(ISNUMBER(F136)),F136=0),"",G136/F136-1)</f>
        <v/>
      </c>
      <c r="I136" s="20"/>
    </row>
    <row r="137" customFormat="false" ht="15" hidden="false" customHeight="false" outlineLevel="0" collapsed="false">
      <c r="A137" s="20"/>
      <c r="B137" s="20"/>
      <c r="C137" s="20"/>
      <c r="D137" s="19"/>
      <c r="E137" s="20"/>
      <c r="F137" s="20"/>
      <c r="G137" s="20"/>
      <c r="H137" s="22" t="str">
        <f aca="false">IF(OR(F137="",G137="",NOT(ISNUMBER(F137)),F137=0),"",G137/F137-1)</f>
        <v/>
      </c>
      <c r="I137" s="20"/>
    </row>
    <row r="138" customFormat="false" ht="15" hidden="false" customHeight="false" outlineLevel="0" collapsed="false">
      <c r="A138" s="20"/>
      <c r="B138" s="20"/>
      <c r="C138" s="20"/>
      <c r="D138" s="19"/>
      <c r="E138" s="20"/>
      <c r="F138" s="20"/>
      <c r="G138" s="20"/>
      <c r="H138" s="22" t="str">
        <f aca="false">IF(OR(F138="",G138="",NOT(ISNUMBER(F138)),F138=0),"",G138/F138-1)</f>
        <v/>
      </c>
      <c r="I138" s="20"/>
    </row>
    <row r="139" customFormat="false" ht="15" hidden="false" customHeight="false" outlineLevel="0" collapsed="false">
      <c r="A139" s="20"/>
      <c r="B139" s="20"/>
      <c r="C139" s="20"/>
      <c r="D139" s="19"/>
      <c r="E139" s="20"/>
      <c r="F139" s="20"/>
      <c r="G139" s="20"/>
      <c r="H139" s="22" t="str">
        <f aca="false">IF(OR(F139="",G139="",NOT(ISNUMBER(F139)),F139=0),"",G139/F139-1)</f>
        <v/>
      </c>
      <c r="I139" s="20"/>
    </row>
    <row r="140" customFormat="false" ht="15" hidden="false" customHeight="false" outlineLevel="0" collapsed="false">
      <c r="A140" s="20"/>
      <c r="B140" s="20"/>
      <c r="C140" s="20"/>
      <c r="D140" s="19"/>
      <c r="E140" s="20"/>
      <c r="F140" s="20"/>
      <c r="G140" s="20"/>
      <c r="H140" s="22" t="str">
        <f aca="false">IF(OR(F140="",G140="",NOT(ISNUMBER(F140)),F140=0),"",G140/F140-1)</f>
        <v/>
      </c>
      <c r="I140" s="20"/>
    </row>
    <row r="141" customFormat="false" ht="15" hidden="false" customHeight="false" outlineLevel="0" collapsed="false">
      <c r="A141" s="20"/>
      <c r="B141" s="20"/>
      <c r="C141" s="20"/>
      <c r="D141" s="19"/>
      <c r="E141" s="20"/>
      <c r="F141" s="20"/>
      <c r="G141" s="20"/>
      <c r="H141" s="22" t="str">
        <f aca="false">IF(OR(F141="",G141="",NOT(ISNUMBER(F141)),F141=0),"",G141/F141-1)</f>
        <v/>
      </c>
      <c r="I141" s="20"/>
    </row>
    <row r="142" customFormat="false" ht="15" hidden="false" customHeight="false" outlineLevel="0" collapsed="false">
      <c r="A142" s="20"/>
      <c r="B142" s="20"/>
      <c r="C142" s="20"/>
      <c r="D142" s="19"/>
      <c r="E142" s="20"/>
      <c r="F142" s="20"/>
      <c r="G142" s="20"/>
      <c r="H142" s="22" t="str">
        <f aca="false">IF(OR(F142="",G142="",NOT(ISNUMBER(F142)),F142=0),"",G142/F142-1)</f>
        <v/>
      </c>
      <c r="I142" s="20"/>
    </row>
    <row r="143" customFormat="false" ht="15" hidden="false" customHeight="false" outlineLevel="0" collapsed="false">
      <c r="A143" s="20"/>
      <c r="B143" s="20"/>
      <c r="C143" s="20"/>
      <c r="D143" s="19"/>
      <c r="E143" s="20"/>
      <c r="F143" s="20"/>
      <c r="G143" s="20"/>
      <c r="H143" s="22" t="str">
        <f aca="false">IF(OR(F143="",G143="",NOT(ISNUMBER(F143)),F143=0),"",G143/F143-1)</f>
        <v/>
      </c>
      <c r="I143" s="20"/>
    </row>
    <row r="144" customFormat="false" ht="15" hidden="false" customHeight="false" outlineLevel="0" collapsed="false">
      <c r="A144" s="20"/>
      <c r="B144" s="20"/>
      <c r="C144" s="20"/>
      <c r="D144" s="19"/>
      <c r="E144" s="20"/>
      <c r="F144" s="20"/>
      <c r="G144" s="20"/>
      <c r="H144" s="22" t="str">
        <f aca="false">IF(OR(F144="",G144="",NOT(ISNUMBER(F144)),F144=0),"",G144/F144-1)</f>
        <v/>
      </c>
      <c r="I144" s="20"/>
    </row>
    <row r="145" customFormat="false" ht="15" hidden="false" customHeight="false" outlineLevel="0" collapsed="false">
      <c r="A145" s="20"/>
      <c r="B145" s="20"/>
      <c r="C145" s="20"/>
      <c r="D145" s="19"/>
      <c r="E145" s="20"/>
      <c r="F145" s="20"/>
      <c r="G145" s="20"/>
      <c r="H145" s="22" t="str">
        <f aca="false">IF(OR(F145="",G145="",NOT(ISNUMBER(F145)),F145=0),"",G145/F145-1)</f>
        <v/>
      </c>
      <c r="I145" s="20"/>
    </row>
    <row r="146" customFormat="false" ht="15" hidden="false" customHeight="false" outlineLevel="0" collapsed="false">
      <c r="A146" s="20"/>
      <c r="B146" s="20"/>
      <c r="C146" s="20"/>
      <c r="D146" s="19"/>
      <c r="E146" s="20"/>
      <c r="F146" s="20"/>
      <c r="G146" s="20"/>
      <c r="H146" s="22" t="str">
        <f aca="false">IF(OR(F146="",G146="",NOT(ISNUMBER(F146)),F146=0),"",G146/F146-1)</f>
        <v/>
      </c>
      <c r="I146" s="20"/>
    </row>
    <row r="147" customFormat="false" ht="15" hidden="false" customHeight="false" outlineLevel="0" collapsed="false">
      <c r="A147" s="20"/>
      <c r="B147" s="20"/>
      <c r="C147" s="20"/>
      <c r="D147" s="19"/>
      <c r="E147" s="20"/>
      <c r="F147" s="20"/>
      <c r="G147" s="20"/>
      <c r="H147" s="22" t="str">
        <f aca="false">IF(OR(F147="",G147="",NOT(ISNUMBER(F147)),F147=0),"",G147/F147-1)</f>
        <v/>
      </c>
      <c r="I147" s="20"/>
    </row>
    <row r="148" customFormat="false" ht="15" hidden="false" customHeight="false" outlineLevel="0" collapsed="false">
      <c r="A148" s="20"/>
      <c r="B148" s="20"/>
      <c r="C148" s="20"/>
      <c r="D148" s="19"/>
      <c r="E148" s="20"/>
      <c r="F148" s="20"/>
      <c r="G148" s="20"/>
      <c r="H148" s="22" t="str">
        <f aca="false">IF(OR(F148="",G148="",NOT(ISNUMBER(F148)),F148=0),"",G148/F148-1)</f>
        <v/>
      </c>
      <c r="I148" s="20"/>
    </row>
    <row r="149" customFormat="false" ht="15" hidden="false" customHeight="false" outlineLevel="0" collapsed="false">
      <c r="A149" s="20"/>
      <c r="B149" s="20"/>
      <c r="C149" s="20"/>
      <c r="D149" s="19"/>
      <c r="E149" s="20"/>
      <c r="F149" s="20"/>
      <c r="G149" s="20"/>
      <c r="H149" s="22" t="str">
        <f aca="false">IF(OR(F149="",G149="",NOT(ISNUMBER(F149)),F149=0),"",G149/F149-1)</f>
        <v/>
      </c>
      <c r="I149" s="20"/>
    </row>
    <row r="150" customFormat="false" ht="15" hidden="false" customHeight="false" outlineLevel="0" collapsed="false">
      <c r="A150" s="20"/>
      <c r="B150" s="20"/>
      <c r="C150" s="20"/>
      <c r="D150" s="19"/>
      <c r="E150" s="20"/>
      <c r="F150" s="20"/>
      <c r="G150" s="20"/>
      <c r="H150" s="22" t="str">
        <f aca="false">IF(OR(F150="",G150="",NOT(ISNUMBER(F150)),F150=0),"",G150/F150-1)</f>
        <v/>
      </c>
      <c r="I150" s="20"/>
    </row>
    <row r="151" customFormat="false" ht="15" hidden="false" customHeight="false" outlineLevel="0" collapsed="false">
      <c r="A151" s="20"/>
      <c r="B151" s="20"/>
      <c r="C151" s="20"/>
      <c r="D151" s="19"/>
      <c r="E151" s="20"/>
      <c r="F151" s="20"/>
      <c r="G151" s="20"/>
      <c r="H151" s="22" t="str">
        <f aca="false">IF(OR(F151="",G151="",NOT(ISNUMBER(F151)),F151=0),"",G151/F151-1)</f>
        <v/>
      </c>
      <c r="I151" s="20"/>
    </row>
    <row r="152" customFormat="false" ht="15" hidden="false" customHeight="false" outlineLevel="0" collapsed="false">
      <c r="A152" s="20"/>
      <c r="B152" s="20"/>
      <c r="C152" s="20"/>
      <c r="D152" s="19"/>
      <c r="E152" s="20"/>
      <c r="F152" s="20"/>
      <c r="G152" s="20"/>
      <c r="H152" s="22" t="str">
        <f aca="false">IF(OR(F152="",G152="",NOT(ISNUMBER(F152)),F152=0),"",G152/F152-1)</f>
        <v/>
      </c>
      <c r="I152" s="20"/>
    </row>
    <row r="153" customFormat="false" ht="15" hidden="false" customHeight="false" outlineLevel="0" collapsed="false">
      <c r="A153" s="20"/>
      <c r="B153" s="20"/>
      <c r="C153" s="20"/>
      <c r="D153" s="19"/>
      <c r="E153" s="20"/>
      <c r="F153" s="20"/>
      <c r="G153" s="20"/>
      <c r="H153" s="22" t="str">
        <f aca="false">IF(OR(F153="",G153="",NOT(ISNUMBER(F153)),F153=0),"",G153/F153-1)</f>
        <v/>
      </c>
      <c r="I153" s="20"/>
    </row>
    <row r="154" customFormat="false" ht="15" hidden="false" customHeight="false" outlineLevel="0" collapsed="false">
      <c r="A154" s="20"/>
      <c r="B154" s="20"/>
      <c r="C154" s="20"/>
      <c r="D154" s="19"/>
      <c r="E154" s="20"/>
      <c r="F154" s="20"/>
      <c r="G154" s="20"/>
      <c r="H154" s="22" t="str">
        <f aca="false">IF(OR(F154="",G154="",NOT(ISNUMBER(F154)),F154=0),"",G154/F154-1)</f>
        <v/>
      </c>
      <c r="I154" s="20"/>
    </row>
    <row r="155" customFormat="false" ht="15" hidden="false" customHeight="false" outlineLevel="0" collapsed="false">
      <c r="A155" s="20"/>
      <c r="B155" s="20"/>
      <c r="C155" s="20"/>
      <c r="D155" s="19"/>
      <c r="E155" s="20"/>
      <c r="F155" s="20"/>
      <c r="G155" s="20"/>
      <c r="H155" s="22" t="str">
        <f aca="false">IF(OR(F155="",G155="",NOT(ISNUMBER(F155)),F155=0),"",G155/F155-1)</f>
        <v/>
      </c>
      <c r="I155" s="20"/>
    </row>
    <row r="156" customFormat="false" ht="15" hidden="false" customHeight="false" outlineLevel="0" collapsed="false">
      <c r="A156" s="20"/>
      <c r="B156" s="20"/>
      <c r="C156" s="20"/>
      <c r="D156" s="19"/>
      <c r="E156" s="20"/>
      <c r="F156" s="20"/>
      <c r="G156" s="20"/>
      <c r="H156" s="22" t="str">
        <f aca="false">IF(OR(F156="",G156="",NOT(ISNUMBER(F156)),F156=0),"",G156/F156-1)</f>
        <v/>
      </c>
      <c r="I156" s="20"/>
    </row>
    <row r="157" customFormat="false" ht="15" hidden="false" customHeight="false" outlineLevel="0" collapsed="false">
      <c r="A157" s="20"/>
      <c r="B157" s="20"/>
      <c r="C157" s="20"/>
      <c r="D157" s="19"/>
      <c r="E157" s="20"/>
      <c r="F157" s="20"/>
      <c r="G157" s="20"/>
      <c r="H157" s="22" t="str">
        <f aca="false">IF(OR(F157="",G157="",NOT(ISNUMBER(F157)),F157=0),"",G157/F157-1)</f>
        <v/>
      </c>
      <c r="I157" s="20"/>
    </row>
    <row r="158" customFormat="false" ht="15" hidden="false" customHeight="false" outlineLevel="0" collapsed="false">
      <c r="A158" s="20"/>
      <c r="B158" s="20"/>
      <c r="C158" s="20"/>
      <c r="D158" s="19"/>
      <c r="E158" s="20"/>
      <c r="F158" s="20"/>
      <c r="G158" s="20"/>
      <c r="H158" s="22" t="str">
        <f aca="false">IF(OR(F158="",G158="",NOT(ISNUMBER(F158)),F158=0),"",G158/F158-1)</f>
        <v/>
      </c>
      <c r="I158" s="20"/>
    </row>
    <row r="159" customFormat="false" ht="15" hidden="false" customHeight="false" outlineLevel="0" collapsed="false">
      <c r="A159" s="20"/>
      <c r="B159" s="20"/>
      <c r="C159" s="20"/>
      <c r="D159" s="19"/>
      <c r="E159" s="20"/>
      <c r="F159" s="20"/>
      <c r="G159" s="20"/>
      <c r="H159" s="22" t="str">
        <f aca="false">IF(OR(F159="",G159="",NOT(ISNUMBER(F159)),F159=0),"",G159/F159-1)</f>
        <v/>
      </c>
      <c r="I159" s="20"/>
    </row>
    <row r="160" customFormat="false" ht="15" hidden="false" customHeight="false" outlineLevel="0" collapsed="false">
      <c r="A160" s="20"/>
      <c r="B160" s="20"/>
      <c r="C160" s="20"/>
      <c r="D160" s="19"/>
      <c r="E160" s="20"/>
      <c r="F160" s="20"/>
      <c r="G160" s="20"/>
      <c r="H160" s="22" t="str">
        <f aca="false">IF(OR(F160="",G160="",NOT(ISNUMBER(F160)),F160=0),"",G160/F160-1)</f>
        <v/>
      </c>
      <c r="I160" s="20"/>
    </row>
    <row r="161" customFormat="false" ht="15" hidden="false" customHeight="false" outlineLevel="0" collapsed="false">
      <c r="A161" s="20"/>
      <c r="B161" s="20"/>
      <c r="C161" s="20"/>
      <c r="D161" s="19"/>
      <c r="E161" s="20"/>
      <c r="F161" s="20"/>
      <c r="G161" s="20"/>
      <c r="H161" s="22" t="str">
        <f aca="false">IF(OR(F161="",G161="",NOT(ISNUMBER(F161)),F161=0),"",G161/F161-1)</f>
        <v/>
      </c>
      <c r="I161" s="20"/>
    </row>
    <row r="162" customFormat="false" ht="15" hidden="false" customHeight="false" outlineLevel="0" collapsed="false">
      <c r="A162" s="20"/>
      <c r="B162" s="20"/>
      <c r="C162" s="20"/>
      <c r="D162" s="19"/>
      <c r="E162" s="20"/>
      <c r="F162" s="20"/>
      <c r="G162" s="20"/>
      <c r="H162" s="22" t="str">
        <f aca="false">IF(OR(F162="",G162="",NOT(ISNUMBER(F162)),F162=0),"",G162/F162-1)</f>
        <v/>
      </c>
      <c r="I162" s="20"/>
    </row>
    <row r="163" customFormat="false" ht="15" hidden="false" customHeight="false" outlineLevel="0" collapsed="false">
      <c r="A163" s="20"/>
      <c r="B163" s="20"/>
      <c r="C163" s="20"/>
      <c r="D163" s="19"/>
      <c r="E163" s="20"/>
      <c r="F163" s="20"/>
      <c r="G163" s="20"/>
      <c r="H163" s="22" t="str">
        <f aca="false">IF(OR(F163="",G163="",NOT(ISNUMBER(F163)),F163=0),"",G163/F163-1)</f>
        <v/>
      </c>
      <c r="I163" s="20"/>
    </row>
    <row r="164" customFormat="false" ht="15" hidden="false" customHeight="false" outlineLevel="0" collapsed="false">
      <c r="A164" s="20"/>
      <c r="B164" s="20"/>
      <c r="C164" s="20"/>
      <c r="D164" s="19"/>
      <c r="E164" s="20"/>
      <c r="F164" s="20"/>
      <c r="G164" s="20"/>
      <c r="H164" s="22" t="str">
        <f aca="false">IF(OR(F164="",G164="",NOT(ISNUMBER(F164)),F164=0),"",G164/F164-1)</f>
        <v/>
      </c>
      <c r="I164" s="20"/>
    </row>
    <row r="165" customFormat="false" ht="15" hidden="false" customHeight="false" outlineLevel="0" collapsed="false">
      <c r="A165" s="20"/>
      <c r="B165" s="20"/>
      <c r="C165" s="20"/>
      <c r="D165" s="19"/>
      <c r="E165" s="20"/>
      <c r="F165" s="20"/>
      <c r="G165" s="20"/>
      <c r="H165" s="22" t="str">
        <f aca="false">IF(OR(F165="",G165="",NOT(ISNUMBER(F165)),F165=0),"",G165/F165-1)</f>
        <v/>
      </c>
      <c r="I165" s="20"/>
    </row>
    <row r="166" customFormat="false" ht="15" hidden="false" customHeight="false" outlineLevel="0" collapsed="false">
      <c r="A166" s="20"/>
      <c r="B166" s="20"/>
      <c r="C166" s="20"/>
      <c r="D166" s="19"/>
      <c r="E166" s="20"/>
      <c r="F166" s="20"/>
      <c r="G166" s="20"/>
      <c r="H166" s="22" t="str">
        <f aca="false">IF(OR(F166="",G166="",NOT(ISNUMBER(F166)),F166=0),"",G166/F166-1)</f>
        <v/>
      </c>
      <c r="I166" s="20"/>
    </row>
    <row r="167" customFormat="false" ht="15" hidden="false" customHeight="false" outlineLevel="0" collapsed="false">
      <c r="A167" s="20"/>
      <c r="B167" s="20"/>
      <c r="C167" s="20"/>
      <c r="D167" s="19"/>
      <c r="E167" s="20"/>
      <c r="F167" s="20"/>
      <c r="G167" s="20"/>
      <c r="H167" s="22" t="str">
        <f aca="false">IF(OR(F167="",G167="",NOT(ISNUMBER(F167)),F167=0),"",G167/F167-1)</f>
        <v/>
      </c>
      <c r="I167" s="20"/>
    </row>
    <row r="168" customFormat="false" ht="15" hidden="false" customHeight="false" outlineLevel="0" collapsed="false">
      <c r="A168" s="20"/>
      <c r="B168" s="20"/>
      <c r="C168" s="20"/>
      <c r="D168" s="19"/>
      <c r="E168" s="20"/>
      <c r="F168" s="20"/>
      <c r="G168" s="20"/>
      <c r="H168" s="22" t="str">
        <f aca="false">IF(OR(F168="",G168="",NOT(ISNUMBER(F168)),F168=0),"",G168/F168-1)</f>
        <v/>
      </c>
      <c r="I168" s="20"/>
    </row>
    <row r="169" customFormat="false" ht="15" hidden="false" customHeight="false" outlineLevel="0" collapsed="false">
      <c r="A169" s="20"/>
      <c r="B169" s="20"/>
      <c r="C169" s="20"/>
      <c r="D169" s="19"/>
      <c r="E169" s="20"/>
      <c r="F169" s="20"/>
      <c r="G169" s="20"/>
      <c r="H169" s="22" t="str">
        <f aca="false">IF(OR(F169="",G169="",NOT(ISNUMBER(F169)),F169=0),"",G169/F169-1)</f>
        <v/>
      </c>
      <c r="I169" s="20"/>
    </row>
    <row r="170" customFormat="false" ht="15" hidden="false" customHeight="false" outlineLevel="0" collapsed="false">
      <c r="A170" s="20"/>
      <c r="B170" s="20"/>
      <c r="C170" s="20"/>
      <c r="D170" s="19"/>
      <c r="E170" s="20"/>
      <c r="F170" s="20"/>
      <c r="G170" s="20"/>
      <c r="H170" s="22" t="str">
        <f aca="false">IF(OR(F170="",G170="",NOT(ISNUMBER(F170)),F170=0),"",G170/F170-1)</f>
        <v/>
      </c>
      <c r="I170" s="20"/>
    </row>
    <row r="171" customFormat="false" ht="15" hidden="false" customHeight="false" outlineLevel="0" collapsed="false">
      <c r="A171" s="20"/>
      <c r="B171" s="20"/>
      <c r="C171" s="20"/>
      <c r="D171" s="19"/>
      <c r="E171" s="20"/>
      <c r="F171" s="20"/>
      <c r="G171" s="20"/>
      <c r="H171" s="22" t="str">
        <f aca="false">IF(OR(F171="",G171="",NOT(ISNUMBER(F171)),F171=0),"",G171/F171-1)</f>
        <v/>
      </c>
      <c r="I171" s="20"/>
    </row>
    <row r="172" customFormat="false" ht="15" hidden="false" customHeight="false" outlineLevel="0" collapsed="false">
      <c r="A172" s="20"/>
      <c r="B172" s="20"/>
      <c r="C172" s="20"/>
      <c r="D172" s="19"/>
      <c r="E172" s="20"/>
      <c r="F172" s="20"/>
      <c r="G172" s="20"/>
      <c r="H172" s="22" t="str">
        <f aca="false">IF(OR(F172="",G172="",NOT(ISNUMBER(F172)),F172=0),"",G172/F172-1)</f>
        <v/>
      </c>
      <c r="I172" s="20"/>
    </row>
    <row r="173" customFormat="false" ht="15" hidden="false" customHeight="false" outlineLevel="0" collapsed="false">
      <c r="A173" s="20"/>
      <c r="B173" s="20"/>
      <c r="C173" s="20"/>
      <c r="D173" s="19"/>
      <c r="E173" s="20"/>
      <c r="F173" s="20"/>
      <c r="G173" s="20"/>
      <c r="H173" s="22" t="str">
        <f aca="false">IF(OR(F173="",G173="",NOT(ISNUMBER(F173)),F173=0),"",G173/F173-1)</f>
        <v/>
      </c>
      <c r="I173" s="20"/>
    </row>
    <row r="174" customFormat="false" ht="15" hidden="false" customHeight="false" outlineLevel="0" collapsed="false">
      <c r="A174" s="20"/>
      <c r="B174" s="20"/>
      <c r="C174" s="20"/>
      <c r="D174" s="19"/>
      <c r="E174" s="20"/>
      <c r="F174" s="20"/>
      <c r="G174" s="20"/>
      <c r="H174" s="22" t="str">
        <f aca="false">IF(OR(F174="",G174="",NOT(ISNUMBER(F174)),F174=0),"",G174/F174-1)</f>
        <v/>
      </c>
      <c r="I174" s="20"/>
    </row>
    <row r="175" customFormat="false" ht="15" hidden="false" customHeight="false" outlineLevel="0" collapsed="false">
      <c r="A175" s="20"/>
      <c r="B175" s="20"/>
      <c r="C175" s="20"/>
      <c r="D175" s="19"/>
      <c r="E175" s="20"/>
      <c r="F175" s="20"/>
      <c r="G175" s="20"/>
      <c r="H175" s="22" t="str">
        <f aca="false">IF(OR(F175="",G175="",NOT(ISNUMBER(F175)),F175=0),"",G175/F175-1)</f>
        <v/>
      </c>
      <c r="I175" s="20"/>
    </row>
    <row r="176" customFormat="false" ht="15" hidden="false" customHeight="false" outlineLevel="0" collapsed="false">
      <c r="A176" s="20"/>
      <c r="B176" s="20"/>
      <c r="C176" s="20"/>
      <c r="D176" s="19"/>
      <c r="E176" s="20"/>
      <c r="F176" s="20"/>
      <c r="G176" s="20"/>
      <c r="H176" s="22" t="str">
        <f aca="false">IF(OR(F176="",G176="",NOT(ISNUMBER(F176)),F176=0),"",G176/F176-1)</f>
        <v/>
      </c>
      <c r="I176" s="20"/>
    </row>
    <row r="177" customFormat="false" ht="15" hidden="false" customHeight="false" outlineLevel="0" collapsed="false">
      <c r="A177" s="20"/>
      <c r="B177" s="20"/>
      <c r="C177" s="20"/>
      <c r="D177" s="19"/>
      <c r="E177" s="20"/>
      <c r="F177" s="20"/>
      <c r="G177" s="20"/>
      <c r="H177" s="22" t="str">
        <f aca="false">IF(OR(F177="",G177="",NOT(ISNUMBER(F177)),F177=0),"",G177/F177-1)</f>
        <v/>
      </c>
      <c r="I177" s="20"/>
    </row>
    <row r="178" customFormat="false" ht="15" hidden="false" customHeight="false" outlineLevel="0" collapsed="false">
      <c r="A178" s="20"/>
      <c r="B178" s="20"/>
      <c r="C178" s="20"/>
      <c r="D178" s="19"/>
      <c r="E178" s="20"/>
      <c r="F178" s="20"/>
      <c r="G178" s="20"/>
      <c r="H178" s="22" t="str">
        <f aca="false">IF(OR(F178="",G178="",NOT(ISNUMBER(F178)),F178=0),"",G178/F178-1)</f>
        <v/>
      </c>
      <c r="I178" s="20"/>
    </row>
    <row r="179" customFormat="false" ht="15" hidden="false" customHeight="false" outlineLevel="0" collapsed="false">
      <c r="A179" s="20"/>
      <c r="B179" s="20"/>
      <c r="C179" s="20"/>
      <c r="D179" s="19"/>
      <c r="E179" s="20"/>
      <c r="F179" s="20"/>
      <c r="G179" s="20"/>
      <c r="H179" s="22" t="str">
        <f aca="false">IF(OR(F179="",G179="",NOT(ISNUMBER(F179)),F179=0),"",G179/F179-1)</f>
        <v/>
      </c>
      <c r="I179" s="20"/>
    </row>
    <row r="180" customFormat="false" ht="15" hidden="false" customHeight="false" outlineLevel="0" collapsed="false">
      <c r="A180" s="20"/>
      <c r="B180" s="20"/>
      <c r="C180" s="20"/>
      <c r="D180" s="19"/>
      <c r="E180" s="20"/>
      <c r="F180" s="20"/>
      <c r="G180" s="20"/>
      <c r="H180" s="22" t="str">
        <f aca="false">IF(OR(F180="",G180="",NOT(ISNUMBER(F180)),F180=0),"",G180/F180-1)</f>
        <v/>
      </c>
      <c r="I180" s="20"/>
    </row>
    <row r="181" customFormat="false" ht="15" hidden="false" customHeight="false" outlineLevel="0" collapsed="false">
      <c r="A181" s="20"/>
      <c r="B181" s="20"/>
      <c r="C181" s="20"/>
      <c r="D181" s="19"/>
      <c r="E181" s="20"/>
      <c r="F181" s="20"/>
      <c r="G181" s="20"/>
      <c r="H181" s="22" t="str">
        <f aca="false">IF(OR(F181="",G181="",NOT(ISNUMBER(F181)),F181=0),"",G181/F181-1)</f>
        <v/>
      </c>
      <c r="I181" s="20"/>
    </row>
    <row r="182" customFormat="false" ht="15" hidden="false" customHeight="false" outlineLevel="0" collapsed="false">
      <c r="A182" s="20"/>
      <c r="B182" s="20"/>
      <c r="C182" s="20"/>
      <c r="D182" s="19"/>
      <c r="E182" s="20"/>
      <c r="F182" s="20"/>
      <c r="G182" s="20"/>
      <c r="H182" s="22" t="str">
        <f aca="false">IF(OR(F182="",G182="",NOT(ISNUMBER(F182)),F182=0),"",G182/F182-1)</f>
        <v/>
      </c>
      <c r="I182" s="20"/>
    </row>
    <row r="183" customFormat="false" ht="15" hidden="false" customHeight="false" outlineLevel="0" collapsed="false">
      <c r="A183" s="20"/>
      <c r="B183" s="20"/>
      <c r="C183" s="20"/>
      <c r="D183" s="19"/>
      <c r="E183" s="20"/>
      <c r="F183" s="20"/>
      <c r="G183" s="20"/>
      <c r="H183" s="22" t="str">
        <f aca="false">IF(OR(F183="",G183="",NOT(ISNUMBER(F183)),F183=0),"",G183/F183-1)</f>
        <v/>
      </c>
      <c r="I183" s="20"/>
    </row>
    <row r="184" customFormat="false" ht="15" hidden="false" customHeight="false" outlineLevel="0" collapsed="false">
      <c r="A184" s="20"/>
      <c r="B184" s="20"/>
      <c r="C184" s="20"/>
      <c r="D184" s="19"/>
      <c r="E184" s="20"/>
      <c r="F184" s="20"/>
      <c r="G184" s="20"/>
      <c r="H184" s="22" t="str">
        <f aca="false">IF(OR(F184="",G184="",NOT(ISNUMBER(F184)),F184=0),"",G184/F184-1)</f>
        <v/>
      </c>
      <c r="I184" s="20"/>
    </row>
    <row r="185" customFormat="false" ht="15" hidden="false" customHeight="false" outlineLevel="0" collapsed="false">
      <c r="A185" s="20"/>
      <c r="B185" s="20"/>
      <c r="C185" s="20"/>
      <c r="D185" s="19"/>
      <c r="E185" s="20"/>
      <c r="F185" s="20"/>
      <c r="G185" s="20"/>
      <c r="H185" s="22" t="str">
        <f aca="false">IF(OR(F185="",G185="",NOT(ISNUMBER(F185)),F185=0),"",G185/F185-1)</f>
        <v/>
      </c>
      <c r="I185" s="20"/>
    </row>
    <row r="186" customFormat="false" ht="15" hidden="false" customHeight="false" outlineLevel="0" collapsed="false">
      <c r="A186" s="20"/>
      <c r="B186" s="20"/>
      <c r="C186" s="20"/>
      <c r="D186" s="19"/>
      <c r="E186" s="20"/>
      <c r="F186" s="20"/>
      <c r="G186" s="20"/>
      <c r="H186" s="22" t="str">
        <f aca="false">IF(OR(F186="",G186="",NOT(ISNUMBER(F186)),F186=0),"",G186/F186-1)</f>
        <v/>
      </c>
      <c r="I186" s="20"/>
    </row>
    <row r="187" customFormat="false" ht="15" hidden="false" customHeight="false" outlineLevel="0" collapsed="false">
      <c r="A187" s="20"/>
      <c r="B187" s="20"/>
      <c r="C187" s="20"/>
      <c r="D187" s="19"/>
      <c r="E187" s="20"/>
      <c r="F187" s="20"/>
      <c r="G187" s="20"/>
      <c r="H187" s="22" t="str">
        <f aca="false">IF(OR(F187="",G187="",NOT(ISNUMBER(F187)),F187=0),"",G187/F187-1)</f>
        <v/>
      </c>
      <c r="I187" s="20"/>
    </row>
    <row r="188" customFormat="false" ht="15" hidden="false" customHeight="false" outlineLevel="0" collapsed="false">
      <c r="A188" s="20"/>
      <c r="B188" s="20"/>
      <c r="C188" s="20"/>
      <c r="D188" s="19"/>
      <c r="E188" s="20"/>
      <c r="F188" s="20"/>
      <c r="G188" s="20"/>
      <c r="H188" s="22" t="str">
        <f aca="false">IF(OR(F188="",G188="",NOT(ISNUMBER(F188)),F188=0),"",G188/F188-1)</f>
        <v/>
      </c>
      <c r="I188" s="20"/>
    </row>
    <row r="189" customFormat="false" ht="15" hidden="false" customHeight="false" outlineLevel="0" collapsed="false">
      <c r="A189" s="20"/>
      <c r="B189" s="20"/>
      <c r="C189" s="20"/>
      <c r="D189" s="19"/>
      <c r="E189" s="20"/>
      <c r="F189" s="20"/>
      <c r="G189" s="20"/>
      <c r="H189" s="22" t="str">
        <f aca="false">IF(OR(F189="",G189="",NOT(ISNUMBER(F189)),F189=0),"",G189/F189-1)</f>
        <v/>
      </c>
      <c r="I189" s="20"/>
    </row>
    <row r="190" customFormat="false" ht="15" hidden="false" customHeight="false" outlineLevel="0" collapsed="false">
      <c r="A190" s="20"/>
      <c r="B190" s="20"/>
      <c r="C190" s="20"/>
      <c r="D190" s="19"/>
      <c r="E190" s="20"/>
      <c r="F190" s="20"/>
      <c r="G190" s="20"/>
      <c r="H190" s="22" t="str">
        <f aca="false">IF(OR(F190="",G190="",NOT(ISNUMBER(F190)),F190=0),"",G190/F190-1)</f>
        <v/>
      </c>
      <c r="I190" s="20"/>
    </row>
    <row r="191" customFormat="false" ht="15" hidden="false" customHeight="false" outlineLevel="0" collapsed="false">
      <c r="A191" s="20"/>
      <c r="B191" s="20"/>
      <c r="C191" s="20"/>
      <c r="D191" s="19"/>
      <c r="E191" s="20"/>
      <c r="F191" s="20"/>
      <c r="G191" s="20"/>
      <c r="H191" s="22" t="str">
        <f aca="false">IF(OR(F191="",G191="",NOT(ISNUMBER(F191)),F191=0),"",G191/F191-1)</f>
        <v/>
      </c>
      <c r="I191" s="20"/>
    </row>
    <row r="192" customFormat="false" ht="15" hidden="false" customHeight="false" outlineLevel="0" collapsed="false">
      <c r="A192" s="20"/>
      <c r="B192" s="20"/>
      <c r="C192" s="20"/>
      <c r="D192" s="19"/>
      <c r="E192" s="20"/>
      <c r="F192" s="20"/>
      <c r="G192" s="20"/>
      <c r="H192" s="22" t="str">
        <f aca="false">IF(OR(F192="",G192="",NOT(ISNUMBER(F192)),F192=0),"",G192/F192-1)</f>
        <v/>
      </c>
      <c r="I192" s="20"/>
    </row>
    <row r="193" customFormat="false" ht="15" hidden="false" customHeight="false" outlineLevel="0" collapsed="false">
      <c r="A193" s="20"/>
      <c r="B193" s="20"/>
      <c r="C193" s="20"/>
      <c r="D193" s="19"/>
      <c r="E193" s="20"/>
      <c r="F193" s="20"/>
      <c r="G193" s="20"/>
      <c r="H193" s="22" t="str">
        <f aca="false">IF(OR(F193="",G193="",NOT(ISNUMBER(F193)),F193=0),"",G193/F193-1)</f>
        <v/>
      </c>
      <c r="I193" s="20"/>
    </row>
    <row r="194" customFormat="false" ht="15" hidden="false" customHeight="false" outlineLevel="0" collapsed="false">
      <c r="A194" s="20"/>
      <c r="B194" s="20"/>
      <c r="C194" s="20"/>
      <c r="D194" s="19"/>
      <c r="E194" s="20"/>
      <c r="F194" s="20"/>
      <c r="G194" s="20"/>
      <c r="H194" s="22" t="str">
        <f aca="false">IF(OR(F194="",G194="",NOT(ISNUMBER(F194)),F194=0),"",G194/F194-1)</f>
        <v/>
      </c>
      <c r="I194" s="20"/>
    </row>
    <row r="195" customFormat="false" ht="15" hidden="false" customHeight="false" outlineLevel="0" collapsed="false">
      <c r="A195" s="20"/>
      <c r="B195" s="20"/>
      <c r="C195" s="20"/>
      <c r="D195" s="19"/>
      <c r="E195" s="20"/>
      <c r="F195" s="20"/>
      <c r="G195" s="20"/>
      <c r="H195" s="22" t="str">
        <f aca="false">IF(OR(F195="",G195="",NOT(ISNUMBER(F195)),F195=0),"",G195/F195-1)</f>
        <v/>
      </c>
      <c r="I195" s="20"/>
    </row>
    <row r="196" customFormat="false" ht="15" hidden="false" customHeight="false" outlineLevel="0" collapsed="false">
      <c r="A196" s="20"/>
      <c r="B196" s="20"/>
      <c r="C196" s="20"/>
      <c r="D196" s="19"/>
      <c r="E196" s="20"/>
      <c r="F196" s="20"/>
      <c r="G196" s="20"/>
      <c r="H196" s="22" t="str">
        <f aca="false">IF(OR(F196="",G196="",NOT(ISNUMBER(F196)),F196=0),"",G196/F196-1)</f>
        <v/>
      </c>
      <c r="I196" s="20"/>
    </row>
    <row r="197" customFormat="false" ht="15" hidden="false" customHeight="false" outlineLevel="0" collapsed="false">
      <c r="A197" s="20"/>
      <c r="B197" s="20"/>
      <c r="C197" s="20"/>
      <c r="D197" s="19"/>
      <c r="E197" s="20"/>
      <c r="F197" s="20"/>
      <c r="G197" s="20"/>
      <c r="H197" s="22" t="str">
        <f aca="false">IF(OR(F197="",G197="",NOT(ISNUMBER(F197)),F197=0),"",G197/F197-1)</f>
        <v/>
      </c>
      <c r="I197" s="20"/>
    </row>
    <row r="198" customFormat="false" ht="15" hidden="false" customHeight="false" outlineLevel="0" collapsed="false">
      <c r="A198" s="20"/>
      <c r="B198" s="20"/>
      <c r="C198" s="20"/>
      <c r="D198" s="19"/>
      <c r="E198" s="20"/>
      <c r="F198" s="20"/>
      <c r="G198" s="20"/>
      <c r="H198" s="22" t="str">
        <f aca="false">IF(OR(F198="",G198="",NOT(ISNUMBER(F198)),F198=0),"",G198/F198-1)</f>
        <v/>
      </c>
      <c r="I198" s="20"/>
    </row>
    <row r="199" customFormat="false" ht="15" hidden="false" customHeight="false" outlineLevel="0" collapsed="false">
      <c r="A199" s="20"/>
      <c r="B199" s="20"/>
      <c r="C199" s="20"/>
      <c r="D199" s="19"/>
      <c r="E199" s="20"/>
      <c r="F199" s="20"/>
      <c r="G199" s="20"/>
      <c r="H199" s="22" t="str">
        <f aca="false">IF(OR(F199="",G199="",NOT(ISNUMBER(F199)),F199=0),"",G199/F199-1)</f>
        <v/>
      </c>
      <c r="I199" s="20"/>
    </row>
    <row r="200" customFormat="false" ht="15" hidden="false" customHeight="false" outlineLevel="0" collapsed="false">
      <c r="A200" s="20"/>
      <c r="B200" s="20"/>
      <c r="C200" s="20"/>
      <c r="D200" s="19"/>
      <c r="E200" s="20"/>
      <c r="F200" s="20"/>
      <c r="G200" s="20"/>
      <c r="H200" s="22" t="str">
        <f aca="false">IF(OR(F200="",G200="",NOT(ISNUMBER(F200)),F200=0),"",G200/F200-1)</f>
        <v/>
      </c>
      <c r="I200" s="20"/>
    </row>
    <row r="201" customFormat="false" ht="15" hidden="false" customHeight="false" outlineLevel="0" collapsed="false">
      <c r="A201" s="20"/>
      <c r="B201" s="20"/>
      <c r="C201" s="20"/>
      <c r="D201" s="19"/>
      <c r="E201" s="20"/>
      <c r="F201" s="20"/>
      <c r="G201" s="20"/>
      <c r="H201" s="22" t="str">
        <f aca="false">IF(OR(F201="",G201="",NOT(ISNUMBER(F201)),F201=0),"",G201/F201-1)</f>
        <v/>
      </c>
      <c r="I201" s="20"/>
    </row>
    <row r="202" customFormat="false" ht="15" hidden="false" customHeight="false" outlineLevel="0" collapsed="false">
      <c r="A202" s="20"/>
      <c r="B202" s="20"/>
      <c r="C202" s="20"/>
      <c r="D202" s="19"/>
      <c r="E202" s="20"/>
      <c r="F202" s="20"/>
      <c r="G202" s="20"/>
      <c r="H202" s="22" t="str">
        <f aca="false">IF(OR(F202="",G202="",NOT(ISNUMBER(F202)),F202=0),"",G202/F202-1)</f>
        <v/>
      </c>
      <c r="I202" s="20"/>
    </row>
    <row r="203" customFormat="false" ht="15" hidden="false" customHeight="false" outlineLevel="0" collapsed="false">
      <c r="A203" s="20"/>
      <c r="B203" s="20"/>
      <c r="C203" s="20"/>
      <c r="D203" s="19"/>
      <c r="E203" s="20"/>
      <c r="F203" s="20"/>
      <c r="G203" s="20"/>
      <c r="H203" s="22" t="str">
        <f aca="false">IF(OR(F203="",G203="",NOT(ISNUMBER(F203)),F203=0),"",G203/F203-1)</f>
        <v/>
      </c>
      <c r="I203" s="20"/>
    </row>
    <row r="204" customFormat="false" ht="15" hidden="false" customHeight="false" outlineLevel="0" collapsed="false">
      <c r="A204" s="20"/>
      <c r="B204" s="20"/>
      <c r="C204" s="20"/>
      <c r="D204" s="19"/>
      <c r="E204" s="20"/>
      <c r="F204" s="20"/>
      <c r="G204" s="20"/>
      <c r="H204" s="22" t="str">
        <f aca="false">IF(OR(F204="",G204="",NOT(ISNUMBER(F204)),F204=0),"",G204/F204-1)</f>
        <v/>
      </c>
      <c r="I204" s="2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9" min="1" style="0" width="24"/>
  </cols>
  <sheetData>
    <row r="1" customFormat="false" ht="15" hidden="false" customHeight="false" outlineLevel="0" collapsed="false">
      <c r="A1" s="27" t="s">
        <v>33</v>
      </c>
      <c r="B1" s="27" t="s">
        <v>35</v>
      </c>
      <c r="C1" s="27" t="s">
        <v>123</v>
      </c>
      <c r="D1" s="27" t="s">
        <v>124</v>
      </c>
      <c r="E1" s="27" t="s">
        <v>37</v>
      </c>
      <c r="F1" s="27" t="s">
        <v>111</v>
      </c>
      <c r="G1" s="27" t="s">
        <v>409</v>
      </c>
      <c r="H1" s="27" t="s">
        <v>670</v>
      </c>
      <c r="I1" s="27" t="s">
        <v>334</v>
      </c>
    </row>
    <row r="2" customFormat="false" ht="15" hidden="false" customHeight="false" outlineLevel="0" collapsed="false">
      <c r="A2" s="5" t="s">
        <v>38</v>
      </c>
      <c r="B2" s="5" t="s">
        <v>39</v>
      </c>
      <c r="C2" s="5" t="s">
        <v>42</v>
      </c>
      <c r="D2" s="5" t="s">
        <v>145</v>
      </c>
      <c r="E2" s="5" t="s">
        <v>40</v>
      </c>
      <c r="F2" s="5" t="s">
        <v>139</v>
      </c>
      <c r="G2" s="5" t="s">
        <v>671</v>
      </c>
      <c r="H2" s="5" t="s">
        <v>143</v>
      </c>
      <c r="I2" s="5" t="s">
        <v>315</v>
      </c>
    </row>
    <row r="3" customFormat="false" ht="15" hidden="false" customHeight="false" outlineLevel="0" collapsed="false">
      <c r="A3" s="5" t="s">
        <v>41</v>
      </c>
      <c r="B3" s="5" t="s">
        <v>42</v>
      </c>
      <c r="C3" s="5" t="s">
        <v>45</v>
      </c>
      <c r="D3" s="5" t="s">
        <v>159</v>
      </c>
      <c r="E3" s="5" t="s">
        <v>43</v>
      </c>
      <c r="F3" s="5" t="s">
        <v>284</v>
      </c>
      <c r="G3" s="5" t="s">
        <v>439</v>
      </c>
      <c r="H3" s="5" t="s">
        <v>672</v>
      </c>
      <c r="I3" s="5" t="s">
        <v>147</v>
      </c>
    </row>
    <row r="4" customFormat="false" ht="15" hidden="false" customHeight="false" outlineLevel="0" collapsed="false">
      <c r="A4" s="5" t="s">
        <v>44</v>
      </c>
      <c r="B4" s="5" t="s">
        <v>45</v>
      </c>
      <c r="C4" s="5" t="s">
        <v>48</v>
      </c>
      <c r="D4" s="5" t="s">
        <v>673</v>
      </c>
      <c r="E4" s="5" t="s">
        <v>46</v>
      </c>
      <c r="F4" s="5" t="s">
        <v>248</v>
      </c>
      <c r="G4" s="5" t="s">
        <v>436</v>
      </c>
      <c r="H4" s="5" t="s">
        <v>234</v>
      </c>
      <c r="I4" s="5" t="s">
        <v>320</v>
      </c>
    </row>
    <row r="5" customFormat="false" ht="15" hidden="false" customHeight="false" outlineLevel="0" collapsed="false">
      <c r="A5" s="5" t="s">
        <v>47</v>
      </c>
      <c r="B5" s="5" t="s">
        <v>48</v>
      </c>
      <c r="E5" s="5" t="s">
        <v>49</v>
      </c>
      <c r="F5" s="5" t="s">
        <v>429</v>
      </c>
      <c r="G5" s="5" t="s">
        <v>434</v>
      </c>
      <c r="H5" s="5" t="s">
        <v>157</v>
      </c>
      <c r="I5" s="5" t="s">
        <v>216</v>
      </c>
    </row>
    <row r="6" customFormat="false" ht="15" hidden="false" customHeight="false" outlineLevel="0" collapsed="false">
      <c r="A6" s="5" t="s">
        <v>50</v>
      </c>
      <c r="E6" s="5" t="s">
        <v>51</v>
      </c>
      <c r="F6" s="5" t="s">
        <v>542</v>
      </c>
      <c r="G6" s="5" t="s">
        <v>423</v>
      </c>
      <c r="H6" s="5" t="s">
        <v>112</v>
      </c>
      <c r="I6" s="5" t="s">
        <v>674</v>
      </c>
    </row>
    <row r="7" customFormat="false" ht="15" hidden="false" customHeight="false" outlineLevel="0" collapsed="false">
      <c r="A7" s="5" t="s">
        <v>52</v>
      </c>
      <c r="E7" s="5" t="s">
        <v>53</v>
      </c>
      <c r="F7" s="5" t="s">
        <v>546</v>
      </c>
      <c r="G7" s="5" t="s">
        <v>675</v>
      </c>
      <c r="H7" s="5" t="s">
        <v>195</v>
      </c>
      <c r="I7" s="5" t="s">
        <v>281</v>
      </c>
    </row>
    <row r="8" customFormat="false" ht="15" hidden="false" customHeight="false" outlineLevel="0" collapsed="false">
      <c r="A8" s="5" t="s">
        <v>54</v>
      </c>
      <c r="E8" s="5" t="s">
        <v>55</v>
      </c>
      <c r="F8" s="5" t="s">
        <v>544</v>
      </c>
      <c r="H8" s="5" t="s">
        <v>301</v>
      </c>
    </row>
    <row r="9" customFormat="false" ht="15" hidden="false" customHeight="false" outlineLevel="0" collapsed="false">
      <c r="A9" s="5" t="s">
        <v>56</v>
      </c>
      <c r="E9" s="5" t="s">
        <v>57</v>
      </c>
      <c r="F9" s="5" t="s">
        <v>550</v>
      </c>
      <c r="H9" s="5" t="s">
        <v>175</v>
      </c>
    </row>
    <row r="10" customFormat="false" ht="15" hidden="false" customHeight="false" outlineLevel="0" collapsed="false">
      <c r="A10" s="5" t="s">
        <v>58</v>
      </c>
      <c r="E10" s="5" t="s">
        <v>59</v>
      </c>
      <c r="F10" s="5" t="s">
        <v>548</v>
      </c>
      <c r="H10" s="5" t="s">
        <v>676</v>
      </c>
    </row>
    <row r="11" customFormat="false" ht="15" hidden="false" customHeight="false" outlineLevel="0" collapsed="false">
      <c r="E11" s="5" t="s">
        <v>61</v>
      </c>
      <c r="F11" s="5" t="s">
        <v>552</v>
      </c>
      <c r="H11" s="5" t="s">
        <v>677</v>
      </c>
    </row>
    <row r="12" customFormat="false" ht="15" hidden="false" customHeight="false" outlineLevel="0" collapsed="false">
      <c r="E12" s="5" t="s">
        <v>63</v>
      </c>
      <c r="F12" s="5" t="s">
        <v>678</v>
      </c>
      <c r="H12" s="5" t="s">
        <v>307</v>
      </c>
    </row>
    <row r="13" customFormat="false" ht="15" hidden="false" customHeight="false" outlineLevel="0" collapsed="false">
      <c r="E13" s="5" t="s">
        <v>65</v>
      </c>
      <c r="H13" s="5" t="s">
        <v>278</v>
      </c>
    </row>
    <row r="14" customFormat="false" ht="15" hidden="false" customHeight="false" outlineLevel="0" collapsed="false">
      <c r="E14" s="5" t="s">
        <v>66</v>
      </c>
      <c r="H14" s="5" t="s">
        <v>467</v>
      </c>
    </row>
    <row r="15" customFormat="false" ht="15" hidden="false" customHeight="false" outlineLevel="0" collapsed="false">
      <c r="E15" s="5" t="s">
        <v>67</v>
      </c>
      <c r="H15" s="5" t="s">
        <v>679</v>
      </c>
    </row>
    <row r="16" customFormat="false" ht="15" hidden="false" customHeight="false" outlineLevel="0" collapsed="false">
      <c r="H16" s="5" t="s">
        <v>169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2026-10-06T06:59:00Z</dcterms:created>
  <dc:creator>openpyxl</dc:creator>
  <dc:description/>
  <dc:language>en-US</dc:language>
  <cp:lastModifiedBy/>
  <dcterms:modified xsi:type="dcterms:W3CDTF">2026-10-06T06:59:01Z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