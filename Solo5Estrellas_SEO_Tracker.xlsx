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19.xml.rels" ContentType="application/vnd.openxmlformats-package.relationships+xml"/>
  <Override PartName="/xl/worksheets/_rels/sheet20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3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9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16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Executive Dashboard" sheetId="2" state="visible" r:id="rId4"/>
    <sheet name="Master Tracker" sheetId="3" state="visible" r:id="rId5"/>
    <sheet name="Technical SEO" sheetId="4" state="visible" r:id="rId6"/>
    <sheet name="Keywords" sheetId="5" state="visible" r:id="rId7"/>
    <sheet name="Rankings" sheetId="6" state="visible" r:id="rId8"/>
    <sheet name="Content" sheetId="7" state="visible" r:id="rId9"/>
    <sheet name="Hotel Pages" sheetId="8" state="visible" r:id="rId10"/>
    <sheet name="Destination Pages" sheetId="9" state="visible" r:id="rId11"/>
    <sheet name="U.S. Hispanic SEO" sheetId="10" state="visible" r:id="rId12"/>
    <sheet name="International Markets" sheetId="11" state="visible" r:id="rId13"/>
    <sheet name="AEO" sheetId="12" state="visible" r:id="rId14"/>
    <sheet name="GEO - AI Visibility" sheetId="13" state="visible" r:id="rId15"/>
    <sheet name="Schema" sheetId="14" state="visible" r:id="rId16"/>
    <sheet name="Backlinks" sheetId="15" state="visible" r:id="rId17"/>
    <sheet name="Competitors" sheetId="16" state="visible" r:id="rId18"/>
    <sheet name="Completed Work" sheetId="17" state="visible" r:id="rId19"/>
    <sheet name="GSC Baseline" sheetId="18" state="visible" r:id="rId20"/>
    <sheet name="GSC Queries" sheetId="19" state="visible" r:id="rId21"/>
    <sheet name="GSC Pages" sheetId="20" state="visible" r:id="rId22"/>
    <sheet name="Lists" sheetId="21" state="visible" r:id="rId23"/>
  </sheets>
  <definedNames>
    <definedName function="false" hidden="true" localSheetId="11" name="_xlnm._FilterDatabase" vbProcedure="false">AEO!$A$4:$K$204</definedName>
    <definedName function="false" hidden="true" localSheetId="14" name="_xlnm._FilterDatabase" vbProcedure="false">Backlinks!$A$4:$L$204</definedName>
    <definedName function="false" hidden="true" localSheetId="15" name="_xlnm._FilterDatabase" vbProcedure="false">Competitors!$A$4:$L$104</definedName>
    <definedName function="false" hidden="true" localSheetId="6" name="_xlnm._FilterDatabase" vbProcedure="false">Content!$A$4:$M$204</definedName>
    <definedName function="false" hidden="true" localSheetId="8" name="_xlnm._FilterDatabase" vbProcedure="false">'Destination Pages'!$A$4:$N$204</definedName>
    <definedName function="false" hidden="true" localSheetId="12" name="_xlnm._FilterDatabase" vbProcedure="false">'GEO - AI Visibility'!$A$4:$J$504</definedName>
    <definedName function="false" hidden="true" localSheetId="19" name="_xlnm._FilterDatabase" vbProcedure="false">'GSC Pages'!$A$4:$F$1004</definedName>
    <definedName function="false" hidden="true" localSheetId="18" name="_xlnm._FilterDatabase" vbProcedure="false">'GSC Queries'!$A$4:$F$1004</definedName>
    <definedName function="false" hidden="true" localSheetId="7" name="_xlnm._FilterDatabase" vbProcedure="false">'Hotel Pages'!$A$4:$R$304</definedName>
    <definedName function="false" hidden="true" localSheetId="10" name="_xlnm._FilterDatabase" vbProcedure="false">'International Markets'!$A$4:$N$16</definedName>
    <definedName function="false" hidden="true" localSheetId="4" name="_xlnm._FilterDatabase" vbProcedure="false">Keywords!$A$4:$P$304</definedName>
    <definedName function="false" hidden="true" localSheetId="2" name="_xlnm._FilterDatabase" vbProcedure="false">'Master Tracker'!$A$4:$AG$300</definedName>
    <definedName function="false" hidden="true" localSheetId="5" name="_xlnm._FilterDatabase" vbProcedure="false">Rankings!$A$4:$M$304</definedName>
    <definedName function="false" hidden="true" localSheetId="13" name="_xlnm._FilterDatabase" vbProcedure="false">Schema!$A$4:$J$104</definedName>
    <definedName function="false" hidden="true" localSheetId="3" name="_xlnm._FilterDatabase" vbProcedure="false">'Technical SEO'!$A$4:$H$64</definedName>
    <definedName function="false" hidden="true" localSheetId="9" name="_xlnm._FilterDatabase" vbProcedure="false">'U.S. Hispanic SEO'!$A$4:$K$204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<sst xmlns="http://schemas.openxmlformats.org/spreadsheetml/2006/main" count="4861" uniqueCount="2892">
  <si>
    <t xml:space="preserve">Solo5Estrellas.com — SEO / AEO / GEO Master Tracker</t>
  </si>
  <si>
    <t xml:space="preserve">Created 6 Oct 2026 from the SEO proposal. Spanish-language luxury hotels: U.S. Spanish, Mexico, Spain, Latin America.</t>
  </si>
  <si>
    <t xml:space="preserve">How to use</t>
  </si>
  <si>
    <t xml:space="preserve">1</t>
  </si>
  <si>
    <t xml:space="preserve">Every issue or opportunity is ONE row on 'Master Tracker' (one URL or template, one issue). Seeded rows come from the Oct 2026 audit.</t>
  </si>
  <si>
    <t xml:space="preserve">2</t>
  </si>
  <si>
    <t xml:space="preserve">Blue text = values you type. Black = formulas (do not overwrite). Yellow fill = baseline cells to fill in Week 1 from Search Console, GA4 and Semrush.</t>
  </si>
  <si>
    <t xml:space="preserve">3</t>
  </si>
  <si>
    <t xml:space="preserve">Pick Status, Priority, Impact, Effort, Category, Market from the dropdowns. Allowed statuses: Identified &gt; Approved &gt; Planned &gt; In Progress &gt; Waiting for Client &gt; Waiting for Developer &gt; Testing &gt; Monitoring &gt; Completed.</t>
  </si>
  <si>
    <t xml:space="preserve">4</t>
  </si>
  <si>
    <t xml:space="preserve">'Executive Dashboard' reads the Master Tracker automatically. KPI baselines and targets are inputs there.</t>
  </si>
  <si>
    <t xml:space="preserve">5</t>
  </si>
  <si>
    <t xml:space="preserve">Specialist tabs (Keywords, Rankings, Content, Hotel Pages, Destination Pages, U.S. Hispanic SEO, International Markets, AEO, GEO - AI Visibility, Schema, Backlinks, Competitors) hold detail; link their rows back to a Master Tracker ID.</t>
  </si>
  <si>
    <t xml:space="preserve">6</t>
  </si>
  <si>
    <t xml:space="preserve">When a row reaches Completed, copy it to 'Completed Work' with the Before and After metric.</t>
  </si>
  <si>
    <t xml:space="preserve">Data status</t>
  </si>
  <si>
    <t xml:space="preserve">•</t>
  </si>
  <si>
    <t xml:space="preserve">No keyword volumes, positions, clicks or impressions are entered. Semrush API units were exhausted and Search Console/GA4 were not yet connected. Cells are blank by design — do not estimate.</t>
  </si>
  <si>
    <t xml:space="preserve">Priority formula (proposal section 25.3): Score = Demand x Intent x Value x Probability / Effort, each input 1-5. Scored on the Keywords tab.</t>
  </si>
  <si>
    <t xml:space="preserve">Review cadence</t>
  </si>
  <si>
    <t xml:space="preserve">Daily: indexing and errors. Weekly: GSC, rankings, crawl, AI spot checks. Monthly: KPI review, audit, market and competitor analysis, AI prompt log.</t>
  </si>
  <si>
    <t xml:space="preserve">Legend example</t>
  </si>
  <si>
    <t xml:space="preserve">Blue</t>
  </si>
  <si>
    <t xml:space="preserve">Input you type</t>
  </si>
  <si>
    <t xml:space="preserve">Black</t>
  </si>
  <si>
    <t xml:space="preserve">Formula</t>
  </si>
  <si>
    <t xml:space="preserve">Yellow</t>
  </si>
  <si>
    <t xml:space="preserve">Baseline to capture in Week 1</t>
  </si>
  <si>
    <t xml:space="preserve">GSC data (6 Oct 2026 exports) is loaded on 'GSC Baseline', 'GSC Queries', 'GSC Pages', 'International Markets' and the Executive Dashboard baseline cells. Master Tracker rows X1-X13 (Search Console) and Y1-Y8 (claude-seo crawl) come from those exports.</t>
  </si>
  <si>
    <t xml:space="preserve">Executive Dashboard</t>
  </si>
  <si>
    <t xml:space="preserve">Task counts read from Master Tracker. KPI baseline and targets are inputs (blue); targets are set after Week 1 baseline.</t>
  </si>
  <si>
    <t xml:space="preserve">Tasks by status</t>
  </si>
  <si>
    <t xml:space="preserve">Open tasks by priority</t>
  </si>
  <si>
    <t xml:space="preserve">Open tasks by category</t>
  </si>
  <si>
    <t xml:space="preserve">Status</t>
  </si>
  <si>
    <t xml:space="preserve">Tasks</t>
  </si>
  <si>
    <t xml:space="preserve">Priority</t>
  </si>
  <si>
    <t xml:space="preserve">Open tasks</t>
  </si>
  <si>
    <t xml:space="preserve">Category</t>
  </si>
  <si>
    <t xml:space="preserve">Identified</t>
  </si>
  <si>
    <t xml:space="preserve">Critical</t>
  </si>
  <si>
    <t xml:space="preserve">Technical</t>
  </si>
  <si>
    <t xml:space="preserve">Approved</t>
  </si>
  <si>
    <t xml:space="preserve">High</t>
  </si>
  <si>
    <t xml:space="preserve">Indexing</t>
  </si>
  <si>
    <t xml:space="preserve">Planned</t>
  </si>
  <si>
    <t xml:space="preserve">Medium</t>
  </si>
  <si>
    <t xml:space="preserve">Metadata</t>
  </si>
  <si>
    <t xml:space="preserve">In Progress</t>
  </si>
  <si>
    <t xml:space="preserve">Low</t>
  </si>
  <si>
    <t xml:space="preserve">Localization</t>
  </si>
  <si>
    <t xml:space="preserve">Waiting for Client</t>
  </si>
  <si>
    <t xml:space="preserve">Schema</t>
  </si>
  <si>
    <t xml:space="preserve">Waiting for Developer</t>
  </si>
  <si>
    <t xml:space="preserve">Internal linking</t>
  </si>
  <si>
    <t xml:space="preserve">Testing</t>
  </si>
  <si>
    <t xml:space="preserve">Content</t>
  </si>
  <si>
    <t xml:space="preserve">Monitoring</t>
  </si>
  <si>
    <t xml:space="preserve">AEO</t>
  </si>
  <si>
    <t xml:space="preserve">Completed</t>
  </si>
  <si>
    <t xml:space="preserve">GEO</t>
  </si>
  <si>
    <t xml:space="preserve">Total with an ID</t>
  </si>
  <si>
    <t xml:space="preserve">Entity</t>
  </si>
  <si>
    <t xml:space="preserve">Overdue (target passed, not Completed/Monitoring)</t>
  </si>
  <si>
    <t xml:space="preserve">Tracking</t>
  </si>
  <si>
    <t xml:space="preserve">Completion rate</t>
  </si>
  <si>
    <t xml:space="preserve">Keywords</t>
  </si>
  <si>
    <t xml:space="preserve">Backlinks</t>
  </si>
  <si>
    <t xml:space="preserve">Performance</t>
  </si>
  <si>
    <t xml:space="preserve">KPI scorecard (fill baseline in Week 1; targets are % change vs baseline)</t>
  </si>
  <si>
    <t xml:space="preserve">KPI</t>
  </si>
  <si>
    <t xml:space="preserve">Baseline</t>
  </si>
  <si>
    <t xml:space="preserve">Current</t>
  </si>
  <si>
    <t xml:space="preserve">Change vs baseline</t>
  </si>
  <si>
    <t xml:space="preserve">30-day target</t>
  </si>
  <si>
    <t xml:space="preserve">90-day target</t>
  </si>
  <si>
    <t xml:space="preserve">6-month target</t>
  </si>
  <si>
    <t xml:space="preserve">Source</t>
  </si>
  <si>
    <t xml:space="preserve">Organic clicks</t>
  </si>
  <si>
    <t xml:space="preserve">GSC</t>
  </si>
  <si>
    <t xml:space="preserve">Organic impressions</t>
  </si>
  <si>
    <t xml:space="preserve">CTR</t>
  </si>
  <si>
    <t xml:space="preserve">Average position</t>
  </si>
  <si>
    <t xml:space="preserve">Keywords in top 3</t>
  </si>
  <si>
    <t xml:space="preserve">Semrush</t>
  </si>
  <si>
    <t xml:space="preserve">Keywords in top 10</t>
  </si>
  <si>
    <t xml:space="preserve">Keywords in top 20</t>
  </si>
  <si>
    <t xml:space="preserve">Non-brand clicks</t>
  </si>
  <si>
    <t xml:space="preserve">GSC: total minus brand-query clicks (approx.)</t>
  </si>
  <si>
    <t xml:space="preserve">Branded clicks</t>
  </si>
  <si>
    <t xml:space="preserve">Indexed pages (high-value)</t>
  </si>
  <si>
    <t xml:space="preserve">GSC page indexing: all indexed pages (19 Sep 2026), not only high-value</t>
  </si>
  <si>
    <t xml:space="preserve">Organic conversions (inquiries)</t>
  </si>
  <si>
    <t xml:space="preserve">GA4</t>
  </si>
  <si>
    <t xml:space="preserve">Booking searches</t>
  </si>
  <si>
    <t xml:space="preserve">Hotel inquiries</t>
  </si>
  <si>
    <t xml:space="preserve">GA4 / CRM</t>
  </si>
  <si>
    <t xml:space="preserve">Revenue from organic ($)</t>
  </si>
  <si>
    <t xml:space="preserve">Booking system</t>
  </si>
  <si>
    <t xml:space="preserve">AI citations per month</t>
  </si>
  <si>
    <t xml:space="preserve">Prompt log. GSC shows 1,343 AI-feature impressions since 18 May 2026</t>
  </si>
  <si>
    <t xml:space="preserve">Featured snippets</t>
  </si>
  <si>
    <t xml:space="preserve">Referring domains</t>
  </si>
  <si>
    <t xml:space="preserve">Semrush / Ahrefs</t>
  </si>
  <si>
    <t xml:space="preserve">U.S. Spanish organic sessions</t>
  </si>
  <si>
    <t xml:space="preserve">GA4 + GSC</t>
  </si>
  <si>
    <t xml:space="preserve">Latin America organic sessions</t>
  </si>
  <si>
    <t xml:space="preserve">Baselines for clicks, impressions, CTR, position, brand split and indexed pages come from the 6 Oct 2026 GSC exports (29 Jan - 3 Oct 2026). Other baselines remain blank until GA4/Semrush data is available. No rankings are promised.</t>
  </si>
  <si>
    <t xml:space="preserve">Master Tracker</t>
  </si>
  <si>
    <t xml:space="preserve">One row per URL/template + issue. Blue = type here; CTR is a formula.</t>
  </si>
  <si>
    <t xml:space="preserve">ID</t>
  </si>
  <si>
    <t xml:space="preserve">Date identified</t>
  </si>
  <si>
    <t xml:space="preserve">Market</t>
  </si>
  <si>
    <t xml:space="preserve">Country</t>
  </si>
  <si>
    <t xml:space="preserve">Language/locale</t>
  </si>
  <si>
    <t xml:space="preserve">URL</t>
  </si>
  <si>
    <t xml:space="preserve">Page type</t>
  </si>
  <si>
    <t xml:space="preserve">Issue/opportunity</t>
  </si>
  <si>
    <t xml:space="preserve">Keyword</t>
  </si>
  <si>
    <t xml:space="preserve">Search intent</t>
  </si>
  <si>
    <t xml:space="preserve">Search volume</t>
  </si>
  <si>
    <t xml:space="preserve">Current position</t>
  </si>
  <si>
    <t xml:space="preserve">Baseline clicks</t>
  </si>
  <si>
    <t xml:space="preserve">Baseline impressions</t>
  </si>
  <si>
    <t xml:space="preserve">Impact</t>
  </si>
  <si>
    <t xml:space="preserve">Effort</t>
  </si>
  <si>
    <t xml:space="preserve">Recommended action</t>
  </si>
  <si>
    <t xml:space="preserve">Assigned owner</t>
  </si>
  <si>
    <t xml:space="preserve">Date started</t>
  </si>
  <si>
    <t xml:space="preserve">Target completion</t>
  </si>
  <si>
    <t xml:space="preserve">Completion date</t>
  </si>
  <si>
    <t xml:space="preserve">Before metric</t>
  </si>
  <si>
    <t xml:space="preserve">After metric</t>
  </si>
  <si>
    <t xml:space="preserve">KPI affected</t>
  </si>
  <si>
    <t xml:space="preserve">Search Console status</t>
  </si>
  <si>
    <t xml:space="preserve">Indexing status</t>
  </si>
  <si>
    <t xml:space="preserve">AI visibility</t>
  </si>
  <si>
    <t xml:space="preserve">Notes</t>
  </si>
  <si>
    <t xml:space="preserve">Next review date</t>
  </si>
  <si>
    <t xml:space="preserve">T1</t>
  </si>
  <si>
    <t xml:space="preserve">All Spanish</t>
  </si>
  <si>
    <t xml:space="preserve">All</t>
  </si>
  <si>
    <t xml:space="preserve">es</t>
  </si>
  <si>
    <t xml:space="preserve">All indexable templates</t>
  </si>
  <si>
    <t xml:space="preserve">Site-wide</t>
  </si>
  <si>
    <t xml:space="preserve">No canonical tags on any of 17 sampled templates</t>
  </si>
  <si>
    <t xml:space="preserve">S</t>
  </si>
  <si>
    <t xml:space="preserve">Add self-referencing absolute canonical to every indexable URL</t>
  </si>
  <si>
    <t xml:space="preserve">Dev</t>
  </si>
  <si>
    <t xml:space="preserve">Duplicate-canonical flags in GSC to 0</t>
  </si>
  <si>
    <t xml:space="preserve">Sampled 6 Oct 2026</t>
  </si>
  <si>
    <t xml:space="preserve">T2</t>
  </si>
  <si>
    <t xml:space="preserve">solo5estrellas.com / www.solo5estrellas.com</t>
  </si>
  <si>
    <t xml:space="preserve">Apex and www both return 200; http redirects with 302</t>
  </si>
  <si>
    <t xml:space="preserve">One canonical host; 301 for http and the alternate host</t>
  </si>
  <si>
    <t xml:space="preserve">One host in GSC</t>
  </si>
  <si>
    <t xml:space="preserve">T3</t>
  </si>
  <si>
    <t xml:space="preserve">/cities/{id}/{any-slug}.html</t>
  </si>
  <si>
    <t xml:space="preserve">City</t>
  </si>
  <si>
    <t xml:space="preserve">Any slug resolves with 200 (e.g. /cities/192/anything.html)</t>
  </si>
  <si>
    <t xml:space="preserve">M</t>
  </si>
  <si>
    <t xml:space="preserve">301 to canonical slug; real 404 when ID unknown</t>
  </si>
  <si>
    <t xml:space="preserve">Duplicate URLs to 0</t>
  </si>
  <si>
    <t xml:space="preserve">T4</t>
  </si>
  <si>
    <t xml:space="preserve">/cities/9999/foo.html</t>
  </si>
  <si>
    <t xml:space="preserve">Soft 404: unknown ID returns 200</t>
  </si>
  <si>
    <t xml:space="preserve">Return 404/410 for missing IDs</t>
  </si>
  <si>
    <t xml:space="preserve">Soft-404 count in GSC</t>
  </si>
  <si>
    <t xml:space="preserve">T5</t>
  </si>
  <si>
    <t xml:space="preserve">/sitemap.xml</t>
  </si>
  <si>
    <t xml:space="preserve">Sitemap/robots</t>
  </si>
  <si>
    <t xml:space="preserve">Sitemap lists 14 URLs; no hotel, city, chain or region URLs</t>
  </si>
  <si>
    <t xml:space="preserve">Segmented sitemap index with real lastmod; submit in GSC and Bing</t>
  </si>
  <si>
    <t xml:space="preserve">Indexed vs submitted URLs by type</t>
  </si>
  <si>
    <t xml:space="preserve">T6</t>
  </si>
  <si>
    <t xml:space="preserve">/collection/ and /luxury_hotels/; /chains/2/ and /collection/2/</t>
  </si>
  <si>
    <t xml:space="preserve">Collection</t>
  </si>
  <si>
    <t xml:space="preserve">Duplicate hub URLs (identical content)</t>
  </si>
  <si>
    <t xml:space="preserve">Choose one URL, 301 the other</t>
  </si>
  <si>
    <t xml:space="preserve">T7</t>
  </si>
  <si>
    <t xml:space="preserve">/robots.txt</t>
  </si>
  <si>
    <t xml:space="preserve">No Sitemap: line</t>
  </si>
  <si>
    <t xml:space="preserve">Add sitemap index URL</t>
  </si>
  <si>
    <t xml:space="preserve">Sitemap fetch status</t>
  </si>
  <si>
    <t xml:space="preserve">T8</t>
  </si>
  <si>
    <t xml:space="preserve">/sitemap/ (footer link)</t>
  </si>
  <si>
    <t xml:space="preserve">Footer link returns 404</t>
  </si>
  <si>
    <t xml:space="preserve">Create HTML sitemap or remove link</t>
  </si>
  <si>
    <t xml:space="preserve">404 internal links to 0</t>
  </si>
  <si>
    <t xml:space="preserve">T9</t>
  </si>
  <si>
    <t xml:space="preserve">/cities/192/new_york.html; /cities/44/cancun.html</t>
  </si>
  <si>
    <t xml:space="preserve">~3.6 s server response on city pages (others ~0.6 s)</t>
  </si>
  <si>
    <t xml:space="preserve">Cache and lazy-load hotel lists</t>
  </si>
  <si>
    <t xml:space="preserve">TTFB under 0.8 s</t>
  </si>
  <si>
    <t xml:space="preserve">T10</t>
  </si>
  <si>
    <t xml:space="preserve">/regions/8/europe.html</t>
  </si>
  <si>
    <t xml:space="preserve">Region</t>
  </si>
  <si>
    <t xml:space="preserve">1,075 links and 199 KB HTML on one page</t>
  </si>
  <si>
    <t xml:space="preserve">Group by city; cap links per page</t>
  </si>
  <si>
    <t xml:space="preserve">Links per page under 300</t>
  </si>
  <si>
    <t xml:space="preserve">T11</t>
  </si>
  <si>
    <t xml:space="preserve">Outdated jQuery 1.11.2, Facebook SDK v2.8</t>
  </si>
  <si>
    <t xml:space="preserve">Upgrade or remove</t>
  </si>
  <si>
    <t xml:space="preserve">Lighthouse mobile score</t>
  </si>
  <si>
    <t xml:space="preserve">T12</t>
  </si>
  <si>
    <t xml:space="preserve">CFID cookie set for 30 years on every request</t>
  </si>
  <si>
    <t xml:space="preserve">Session cookies set only after interaction</t>
  </si>
  <si>
    <t xml:space="preserve">M1</t>
  </si>
  <si>
    <t xml:space="preserve">All templates</t>
  </si>
  <si>
    <t xml:space="preserve">Identical meta description on every page; generic titles</t>
  </si>
  <si>
    <t xml:space="preserve">Title and description templates per page type</t>
  </si>
  <si>
    <t xml:space="preserve">Dev + Editor</t>
  </si>
  <si>
    <t xml:space="preserve">Unique titles/descriptions 100%; CTR</t>
  </si>
  <si>
    <t xml:space="preserve">M2</t>
  </si>
  <si>
    <t xml:space="preserve">/collection/, /destinations/, /faq.cfm, /company.cfm, /testimonials.cfm, /guarantee.cfm</t>
  </si>
  <si>
    <t xml:space="preserve">English titles on Spanish pages</t>
  </si>
  <si>
    <t xml:space="preserve">Translate titles and H1s</t>
  </si>
  <si>
    <t xml:space="preserve">Editor</t>
  </si>
  <si>
    <t xml:space="preserve">Impressions on Spanish queries</t>
  </si>
  <si>
    <t xml:space="preserve">M3</t>
  </si>
  <si>
    <t xml:space="preserve">City template</t>
  </si>
  <si>
    <t xml:space="preserve">City pages titled 'Bienvenido'</t>
  </si>
  <si>
    <t xml:space="preserve">Title: Hoteles de lujo en {ciudad}: los mejores 5 estrellas</t>
  </si>
  <si>
    <t xml:space="preserve">City-page impressions</t>
  </si>
  <si>
    <t xml:space="preserve">H1</t>
  </si>
  <si>
    <t xml:space="preserve">Region and hub pages</t>
  </si>
  <si>
    <t xml:space="preserve">hreflang es points to homepage, x-default to English homepage on every page</t>
  </si>
  <si>
    <t xml:space="preserve">Page-level reciprocal es/en pairs with WhataHotel</t>
  </si>
  <si>
    <t xml:space="preserve">hreflang errors to 0</t>
  </si>
  <si>
    <t xml:space="preserve">H2</t>
  </si>
  <si>
    <t xml:space="preserve">Malformed hreflang es tag (no ID, no closing quote)</t>
  </si>
  <si>
    <t xml:space="preserve">Remove or repair immediately</t>
  </si>
  <si>
    <t xml:space="preserve">Valid head markup</t>
  </si>
  <si>
    <t xml:space="preserve">L1</t>
  </si>
  <si>
    <t xml:space="preserve">Booking loader and offer text</t>
  </si>
  <si>
    <t xml:space="preserve">Hotel</t>
  </si>
  <si>
    <t xml:space="preserve">Mixed tú/usted ('Reserva tu habitación' vs 'Reciba')</t>
  </si>
  <si>
    <t xml:space="preserve">Use usted throughout</t>
  </si>
  <si>
    <t xml:space="preserve">Native-review error count</t>
  </si>
  <si>
    <t xml:space="preserve">L2</t>
  </si>
  <si>
    <t xml:space="preserve">Hotel template (schema offer)</t>
  </si>
  <si>
    <t xml:space="preserve">Typo 'Reciba Una Nnoche Gratis'</t>
  </si>
  <si>
    <t xml:space="preserve">Fix wording and sentence case</t>
  </si>
  <si>
    <t xml:space="preserve">L3</t>
  </si>
  <si>
    <t xml:space="preserve">Occupancy selector</t>
  </si>
  <si>
    <t xml:space="preserve">'1 Alojamiento, 2 Adulta' wrong noun and plural</t>
  </si>
  <si>
    <t xml:space="preserve">'1 habitación, 2 adultos'</t>
  </si>
  <si>
    <t xml:space="preserve">Availability-search rate</t>
  </si>
  <si>
    <t xml:space="preserve">L4</t>
  </si>
  <si>
    <t xml:space="preserve">Mexico</t>
  </si>
  <si>
    <t xml:space="preserve">City H1 and nav</t>
  </si>
  <si>
    <t xml:space="preserve">'Cancun' without accent</t>
  </si>
  <si>
    <t xml:space="preserve">Use 'Cancún' everywhere</t>
  </si>
  <si>
    <t xml:space="preserve">Impressions on 'Cancún' queries</t>
  </si>
  <si>
    <t xml:space="preserve">L5</t>
  </si>
  <si>
    <t xml:space="preserve">Language toggle</t>
  </si>
  <si>
    <t xml:space="preserve">Toggle labelled 'Spanish / English' on a Spanish page</t>
  </si>
  <si>
    <t xml:space="preserve">'Español / English'</t>
  </si>
  <si>
    <t xml:space="preserve">L6</t>
  </si>
  <si>
    <t xml:space="preserve">Possible encoding corruption in hotel schema text</t>
  </si>
  <si>
    <t xml:space="preserve">Verify UTF-8 end to end</t>
  </si>
  <si>
    <t xml:space="preserve">To verify</t>
  </si>
  <si>
    <t xml:space="preserve">S1</t>
  </si>
  <si>
    <t xml:space="preserve">Organization sameAs points to WhataHotel profiles; no Lorraine Travel parent</t>
  </si>
  <si>
    <t xml:space="preserve">Rebuild Organization graph with parentOrganization</t>
  </si>
  <si>
    <t xml:space="preserve">Dev + SEO</t>
  </si>
  <si>
    <t xml:space="preserve">Valid entity graph</t>
  </si>
  <si>
    <t xml:space="preserve">S2</t>
  </si>
  <si>
    <t xml:space="preserve">/hotels/{id}/</t>
  </si>
  <si>
    <t xml:space="preserve">No Hotel/LodgingBusiness schema; zero-price Offer markup</t>
  </si>
  <si>
    <t xml:space="preserve">Add Hotel entity; remove zero-price offers</t>
  </si>
  <si>
    <t xml:space="preserve">Schema errors to 0</t>
  </si>
  <si>
    <t xml:space="preserve">S3</t>
  </si>
  <si>
    <t xml:space="preserve">Hotel, city, chain</t>
  </si>
  <si>
    <t xml:space="preserve">No breadcrumbs or BreadcrumbList</t>
  </si>
  <si>
    <t xml:space="preserve">Visible breadcrumbs plus schema</t>
  </si>
  <si>
    <t xml:space="preserve">Breadcrumb coverage</t>
  </si>
  <si>
    <t xml:space="preserve">E1</t>
  </si>
  <si>
    <t xml:space="preserve">/company.cfm</t>
  </si>
  <si>
    <t xml:space="preserve">Company</t>
  </si>
  <si>
    <t xml:space="preserve">About page: English title, no H1, no named experts</t>
  </si>
  <si>
    <t xml:space="preserve">Rebuild About Lorraine Travel; advisor profiles</t>
  </si>
  <si>
    <t xml:space="preserve">Client + Editor</t>
  </si>
  <si>
    <t xml:space="preserve">Page indexed; branded impressions</t>
  </si>
  <si>
    <t xml:space="preserve">C1</t>
  </si>
  <si>
    <t xml:space="preserve">United States - Spanish</t>
  </si>
  <si>
    <t xml:space="preserve">United States</t>
  </si>
  <si>
    <t xml:space="preserve">New (Spanish path)</t>
  </si>
  <si>
    <t xml:space="preserve">No Miami hub</t>
  </si>
  <si>
    <t xml:space="preserve">Launch Miami hub from city template</t>
  </si>
  <si>
    <t xml:space="preserve">Impressions; top-10 hub keywords</t>
  </si>
  <si>
    <t xml:space="preserve">Demand to validate</t>
  </si>
  <si>
    <t xml:space="preserve">C2</t>
  </si>
  <si>
    <t xml:space="preserve">/cities/192/new_york.html</t>
  </si>
  <si>
    <t xml:space="preserve">New York page is a listing (74 hotels, 'Bienvenido' title)</t>
  </si>
  <si>
    <t xml:space="preserve">Rebuild with hub template</t>
  </si>
  <si>
    <t xml:space="preserve">Top-10 keywords</t>
  </si>
  <si>
    <t xml:space="preserve">C3</t>
  </si>
  <si>
    <t xml:space="preserve">/cities/44/cancun.html</t>
  </si>
  <si>
    <t xml:space="preserve">Cancún page is a listing</t>
  </si>
  <si>
    <t xml:space="preserve">C4</t>
  </si>
  <si>
    <t xml:space="preserve">/chains/2/four_seasons.html</t>
  </si>
  <si>
    <t xml:space="preserve">Chain</t>
  </si>
  <si>
    <t xml:space="preserve">Four Seasons perks unsourced and undated</t>
  </si>
  <si>
    <t xml:space="preserve">Rebuild with sourced perks, FAQ, comparison</t>
  </si>
  <si>
    <t xml:space="preserve">Impressions 'hoteles Four Seasons'</t>
  </si>
  <si>
    <t xml:space="preserve">A1</t>
  </si>
  <si>
    <t xml:space="preserve">/faq.cfm</t>
  </si>
  <si>
    <t xml:space="preserve">FAQ</t>
  </si>
  <si>
    <t xml:space="preserve">No benefits/FAQ hub with direct answers</t>
  </si>
  <si>
    <t xml:space="preserve">15 direct answers (40-60 words) with sources</t>
  </si>
  <si>
    <t xml:space="preserve">Snippet/PAA entries</t>
  </si>
  <si>
    <t xml:space="preserve">G1</t>
  </si>
  <si>
    <t xml:space="preserve">Research</t>
  </si>
  <si>
    <t xml:space="preserve">No AI-visibility baseline</t>
  </si>
  <si>
    <t xml:space="preserve">Run 40-prompt baseline across 5 AI systems</t>
  </si>
  <si>
    <t xml:space="preserve">SEO</t>
  </si>
  <si>
    <t xml:space="preserve">AI citations</t>
  </si>
  <si>
    <t xml:space="preserve">K1</t>
  </si>
  <si>
    <t xml:space="preserve">No keyword or competitor data (Semrush units exhausted)</t>
  </si>
  <si>
    <t xml:space="preserve">Restore API units or use alternative tool</t>
  </si>
  <si>
    <t xml:space="preserve">Client</t>
  </si>
  <si>
    <t xml:space="preserve">Keyword set available</t>
  </si>
  <si>
    <t xml:space="preserve">TR1</t>
  </si>
  <si>
    <t xml:space="preserve">GA4 / GTM</t>
  </si>
  <si>
    <t xml:space="preserve">Conversion events not verified</t>
  </si>
  <si>
    <t xml:space="preserve">Audit/add hotel_search, availability_search, booking_click, inquiry_submit, phone/email click, special_offer_click</t>
  </si>
  <si>
    <t xml:space="preserve">Events firing</t>
  </si>
  <si>
    <t xml:space="preserve">X1</t>
  </si>
  <si>
    <t xml:space="preserve">/browse_country.cfm?countryid=64 (Turks &amp; Caicos country hub)</t>
  </si>
  <si>
    <t xml:space="preserve">Top URL in GSC is a legacy parameter URL: 29 of 124 clicks (23%) and 8,384 impressions (18%) at position 11.8, CTR 0.35%</t>
  </si>
  <si>
    <t xml:space="preserve">301 legacy browse_*.cfm?id URLs to canonical /countries/{id}/ pages; rebuild the Turks &amp; Caicos hub (Spanish name 'Islas Turcas y Caicos', 'Turks and Caicos' variant) to reach top 5</t>
  </si>
  <si>
    <t xml:space="preserve">Clicks and CTR on Turks &amp; Caicos queries</t>
  </si>
  <si>
    <t xml:space="preserve">From GSC export 6 Oct 2026</t>
  </si>
  <si>
    <t xml:space="preserve">Queries: hoteles en islas turcas y caicos (1,283 impr, pos 10.9, 0 clicks); 65 Turks &amp; Caicos query variants = 5,692 impr</t>
  </si>
  <si>
    <t xml:space="preserve">X2</t>
  </si>
  <si>
    <t xml:space="preserve">/browse_hotel.cfm?hotelID=, /browse_city.cfm?cityid=, /browse_region.cfm?regionid=</t>
  </si>
  <si>
    <t xml:space="preserve">Search/filter</t>
  </si>
  <si>
    <t xml:space="preserve">11 legacy browse_*.cfm?id URLs appear in GSC alongside the clean URLs</t>
  </si>
  <si>
    <t xml:space="preserve">301 all browse_*.cfm?id URLs to canonical clean URLs; add canonical</t>
  </si>
  <si>
    <t xml:space="preserve">Duplicate URLs in GSC to 0</t>
  </si>
  <si>
    <t xml:space="preserve">Sample from top-1,000 pages only</t>
  </si>
  <si>
    <t xml:space="preserve">X3</t>
  </si>
  <si>
    <t xml:space="preserve">/hotels/, /collection/, /regions/</t>
  </si>
  <si>
    <t xml:space="preserve">81 IDs appear under 2-3 URL variants in GSC (case and slug: Hotel-Ritz-Paris vs hotel-ritz-paris; Aman_Hotels_&amp;_Resorts vs Aman-Hotels-Resorts; necker_island, Necker-Island, necker-island)</t>
  </si>
  <si>
    <t xml:space="preserve">Force one lowercase slug per ID, 301 variants, canonical</t>
  </si>
  <si>
    <t xml:space="preserve">Same-ID duplicate URLs to 0</t>
  </si>
  <si>
    <t xml:space="preserve">Confirms T3</t>
  </si>
  <si>
    <t xml:space="preserve">X4</t>
  </si>
  <si>
    <t xml:space="preserve">/chains/21/ vs /collection/21/</t>
  </si>
  <si>
    <t xml:space="preserve">Aman appears as /chains/21/Aman_Resorts.html and /collection/21/... (two URL families, ID 21)</t>
  </si>
  <si>
    <t xml:space="preserve">Choose one URL family for chains; 301 the other</t>
  </si>
  <si>
    <t xml:space="preserve">Duplicate hub URLs to 0</t>
  </si>
  <si>
    <t xml:space="preserve">Confirms T6</t>
  </si>
  <si>
    <t xml:space="preserve">X5</t>
  </si>
  <si>
    <t xml:space="preserve">Page indexing report</t>
  </si>
  <si>
    <t xml:space="preserve">1,646 pages 'Blocked by robots.txt' (plus 46 'Indexed, though blocked by robots.txt')</t>
  </si>
  <si>
    <t xml:space="preserve">Export examples in GSC; confirm they are /booking/ and other intended paths; fix any content URL caught by Disallow</t>
  </si>
  <si>
    <t xml:space="preserve">SEO + Dev</t>
  </si>
  <si>
    <t xml:space="preserve">Blocked content URLs to 0</t>
  </si>
  <si>
    <t xml:space="preserve">Examples not in export; open Page indexing &gt; Blocked by robots.txt</t>
  </si>
  <si>
    <t xml:space="preserve">X6</t>
  </si>
  <si>
    <t xml:space="preserve">492 pages 'Duplicate without user-selected canonical'</t>
  </si>
  <si>
    <t xml:space="preserve">Add self-referencing canonicals (T1); re-validate</t>
  </si>
  <si>
    <t xml:space="preserve">Flag count to 0</t>
  </si>
  <si>
    <t xml:space="preserve">Confirms T1</t>
  </si>
  <si>
    <t xml:space="preserve">X7</t>
  </si>
  <si>
    <t xml:space="preserve">1,963 'Discovered - currently not indexed' and 931 'Crawled - currently not indexed'</t>
  </si>
  <si>
    <t xml:space="preserve">L</t>
  </si>
  <si>
    <t xml:space="preserve">Improve internal links, unique metadata and body text on hotel/city templates; keep thin pages noindex until improved; submit segmented sitemaps</t>
  </si>
  <si>
    <t xml:space="preserve">SEO + Dev + Editor</t>
  </si>
  <si>
    <t xml:space="preserve">Not indexed count down; indexed up</t>
  </si>
  <si>
    <t xml:space="preserve">Indexed rose 390 (10 Jul) to 5,774 (19 Sep); not indexed 5,221</t>
  </si>
  <si>
    <t xml:space="preserve">X8</t>
  </si>
  <si>
    <t xml:space="preserve">120 not found (404), 65 redirect pages, 2 server errors (5xx), 2 forbidden (403)</t>
  </si>
  <si>
    <t xml:space="preserve">List URLs in GSC; fix internal links to them; restore or redirect</t>
  </si>
  <si>
    <t xml:space="preserve">404/5xx count to 0</t>
  </si>
  <si>
    <t xml:space="preserve">X9</t>
  </si>
  <si>
    <t xml:space="preserve">Spanish city and chain hubs</t>
  </si>
  <si>
    <t xml:space="preserve">U.S. is 11.0% of impressions at average position 24.5 (vs 11.3 Argentina, 14.7 Mexico)</t>
  </si>
  <si>
    <t xml:space="preserve">Build Miami, New York, Las Vegas, Orlando hubs; rewrite New York</t>
  </si>
  <si>
    <t xml:space="preserve">U.S. avg position under 15</t>
  </si>
  <si>
    <t xml:space="preserve">U.S. clicks 15</t>
  </si>
  <si>
    <t xml:space="preserve">X10</t>
  </si>
  <si>
    <t xml:space="preserve">Spain</t>
  </si>
  <si>
    <t xml:space="preserve">/cities/150/London.html, /cities/207/Paris.html, /regions/8/Europe.html</t>
  </si>
  <si>
    <t xml:space="preserve">Spain is 29.9% of impressions (13,720) and 29.8% of clicks (37) at position 18.3; London (738 impr, pos 20), Paris (410 impr, pos 25), Europe (1,012 impr, pos 13.8) have zero clicks</t>
  </si>
  <si>
    <t xml:space="preserve">Rebuild London, Paris, Europe pages with hub template; 'hoteles de 5 estrellas en París/Londres' H1 and FAQ</t>
  </si>
  <si>
    <t xml:space="preserve">Spain clicks and top-10 count</t>
  </si>
  <si>
    <t xml:space="preserve">Queries: hoteles de 5 estrellas en parís 183 impr pos 24; en londres 150 impr pos 14</t>
  </si>
  <si>
    <t xml:space="preserve">X11</t>
  </si>
  <si>
    <t xml:space="preserve">Desktop results</t>
  </si>
  <si>
    <t xml:space="preserve">Desktop: 27,647 impressions at position 21.4, CTR 0.19%; mobile: 17,870 at position 12.3, CTR 0.39%</t>
  </si>
  <si>
    <t xml:space="preserve">Investigate desktop ranking gap (templates, CWV, snippets)</t>
  </si>
  <si>
    <t xml:space="preserve">Desktop avg position</t>
  </si>
  <si>
    <t xml:space="preserve">X12</t>
  </si>
  <si>
    <t xml:space="preserve">Brand</t>
  </si>
  <si>
    <t xml:space="preserve">Brand demand is negligible: brand queries 137 impressions, 3 clicks; 'lorraine travel' 80 impressions</t>
  </si>
  <si>
    <t xml:space="preserve">Build branded demand: About page, PR, Google Business Profile, entity graph (section 18)</t>
  </si>
  <si>
    <t xml:space="preserve">SEO + Client</t>
  </si>
  <si>
    <t xml:space="preserve">Brand impressions</t>
  </si>
  <si>
    <t xml:space="preserve">Top-1,000 queries only</t>
  </si>
  <si>
    <t xml:space="preserve">X13</t>
  </si>
  <si>
    <t xml:space="preserve">Sitemap</t>
  </si>
  <si>
    <t xml:space="preserve">GSC shows sitemap 'All known pages' only: no submitted sitemap detected in the export</t>
  </si>
  <si>
    <t xml:space="preserve">Submit segmented sitemap index in GSC and Bing</t>
  </si>
  <si>
    <t xml:space="preserve">Submitted URLs by type</t>
  </si>
  <si>
    <t xml:space="preserve">Verify in GSC &gt; Sitemaps</t>
  </si>
  <si>
    <t xml:space="preserve">Y1</t>
  </si>
  <si>
    <t xml:space="preserve">Hotel, collection, city and chain templates (head)</t>
  </si>
  <si>
    <t xml:space="preserve">Unclosed &lt;meta name="title" content=" swallows the next tag: meta description lost on 367/399 crawled pages; hreflang es tag cut off</t>
  </si>
  <si>
    <t xml:space="preserve">Close quotes in head template, fill or remove meta title, repair hreflang; re-crawl</t>
  </si>
  <si>
    <t xml:space="preserve">Pages with a readable description to 100%</t>
  </si>
  <si>
    <t xml:space="preserve">claude-seo audit crawl, 399 URLs</t>
  </si>
  <si>
    <t xml:space="preserve">Y2</t>
  </si>
  <si>
    <t xml:space="preserve">/hotels/{id}/{slug}.html</t>
  </si>
  <si>
    <t xml:space="preserve">Internal links use two slug styles (hyphen and underscore) for the same hotel: 3,080 of 3,235 IDs, both 200, no canonical</t>
  </si>
  <si>
    <t xml:space="preserve">One slug per ID in all templates; 301 variants; canonical</t>
  </si>
  <si>
    <t xml:space="preserve">1 URL per ID in crawl</t>
  </si>
  <si>
    <t xml:space="preserve">Confirms T3, X3</t>
  </si>
  <si>
    <t xml:space="preserve">Y3</t>
  </si>
  <si>
    <t xml:space="preserve">JSON-LD on 206 hotel pages</t>
  </si>
  <si>
    <t xml:space="preserve">Replacement characters (U+FFFD) replace accents inside JSON-LD text (e.g. 'n?mero', 'Cr?dito'); not visible on page</t>
  </si>
  <si>
    <t xml:space="preserve">Fix encoding at data source; re-validate</t>
  </si>
  <si>
    <t xml:space="preserve">U+FFFD occurrences to 0</t>
  </si>
  <si>
    <t xml:space="preserve">Visible text is clean</t>
  </si>
  <si>
    <t xml:space="preserve">Y4</t>
  </si>
  <si>
    <t xml:space="preserve">/hotels/{id}/ (300 sampled)</t>
  </si>
  <si>
    <t xml:space="preserve">Exactly 1 &lt;img&gt; (the logo) in server HTML on all sampled hotel pages; gallery presumably JS-loaded</t>
  </si>
  <si>
    <t xml:space="preserve">Server-render hero image with alt, width/height, fetchpriority; lazy-load the rest; confirm in URL Inspection</t>
  </si>
  <si>
    <t xml:space="preserve">Images in rendered and raw HTML</t>
  </si>
  <si>
    <t xml:space="preserve">Y5</t>
  </si>
  <si>
    <t xml:space="preserve">/hotels/2894/..., /hotels/957/..., /hotels/4668/...</t>
  </si>
  <si>
    <t xml:space="preserve">Hotel slugs containing &lt;br&gt;, ** or tabs (14 links) return 400</t>
  </si>
  <si>
    <t xml:space="preserve">Sanitize slugs at source; fix links</t>
  </si>
  <si>
    <t xml:space="preserve">400 responses to 0</t>
  </si>
  <si>
    <t xml:space="preserve">e.g. /hotels/2894/sonora_resort__&lt;br&gt;_all-inclusive.html</t>
  </si>
  <si>
    <t xml:space="preserve">Y6</t>
  </si>
  <si>
    <t xml:space="preserve">67 of 68 chain and collection pages</t>
  </si>
  <si>
    <t xml:space="preserve">Title 'Preferred Partner | Official Excusive Perks | ...': English, typo, repeated pattern</t>
  </si>
  <si>
    <t xml:space="preserve">Spanish title template per chain/collection</t>
  </si>
  <si>
    <t xml:space="preserve">Duplicate and English titles to 0</t>
  </si>
  <si>
    <t xml:space="preserve">Y7</t>
  </si>
  <si>
    <t xml:space="preserve">94 of 300 sampled hotel pages</t>
  </si>
  <si>
    <t xml:space="preserve">Under 300 visible words (e.g. /hotels/1539/amanjiwo.html 210 words)</t>
  </si>
  <si>
    <t xml:space="preserve">Expert text and verified benefits; noindex until improved</t>
  </si>
  <si>
    <t xml:space="preserve">Indexable pages under 300 words to 0</t>
  </si>
  <si>
    <t xml:space="preserve">31% of sample</t>
  </si>
  <si>
    <t xml:space="preserve">Y8</t>
  </si>
  <si>
    <t xml:space="preserve">Site-wide headers</t>
  </si>
  <si>
    <t xml:space="preserve">No Cache-Control, ETag, HSTS or security headers; X-Powered-By and Server version exposed</t>
  </si>
  <si>
    <t xml:space="preserve">Add caching and security headers; remove version headers</t>
  </si>
  <si>
    <t xml:space="preserve">Header checks pass</t>
  </si>
  <si>
    <t xml:space="preserve">Technical SEO</t>
  </si>
  <si>
    <t xml:space="preserve">Audit checklist. Results from the 6 Oct 2026 crawl of 17 templates; 'Not yet' items need the full crawl.</t>
  </si>
  <si>
    <t xml:space="preserve">Area</t>
  </si>
  <si>
    <t xml:space="preserve">Check</t>
  </si>
  <si>
    <t xml:space="preserve">Result (6 Oct 2026)</t>
  </si>
  <si>
    <t xml:space="preserve">Tracker ID / action</t>
  </si>
  <si>
    <t xml:space="preserve">Planned week</t>
  </si>
  <si>
    <t xml:space="preserve">Owner</t>
  </si>
  <si>
    <t xml:space="preserve">Crawling</t>
  </si>
  <si>
    <t xml:space="preserve">Full JS-rendered crawl of all templates</t>
  </si>
  <si>
    <t xml:space="preserve">Not yet run</t>
  </si>
  <si>
    <t xml:space="preserve">Run Screaming Frog/Semrush Site Audit</t>
  </si>
  <si>
    <t xml:space="preserve">Week 1</t>
  </si>
  <si>
    <t xml:space="preserve">Indexability</t>
  </si>
  <si>
    <t xml:space="preserve">Canonicals</t>
  </si>
  <si>
    <t xml:space="preserve">Fail: 0 of 17 sampled</t>
  </si>
  <si>
    <t xml:space="preserve">Host consolidation (apex/www/http)</t>
  </si>
  <si>
    <t xml:space="preserve">Fail: both hosts 200, http 302</t>
  </si>
  <si>
    <t xml:space="preserve">Soft 404 / invalid IDs</t>
  </si>
  <si>
    <t xml:space="preserve">Fail</t>
  </si>
  <si>
    <t xml:space="preserve">T3, T4</t>
  </si>
  <si>
    <t xml:space="preserve">robots.txt</t>
  </si>
  <si>
    <t xml:space="preserve">Sitemap directive</t>
  </si>
  <si>
    <t xml:space="preserve">Fail: missing</t>
  </si>
  <si>
    <t xml:space="preserve">Week 2</t>
  </si>
  <si>
    <t xml:space="preserve">Blocks only low-value paths (/booking/, /admin/, /tools/, /data/, /cfc/)</t>
  </si>
  <si>
    <t xml:space="preserve">Pass</t>
  </si>
  <si>
    <t xml:space="preserve">Keep; decide GPTBot/ClaudeBot/Google-Extended policy</t>
  </si>
  <si>
    <t xml:space="preserve">XML sitemap</t>
  </si>
  <si>
    <t xml:space="preserve">Coverage by page type</t>
  </si>
  <si>
    <t xml:space="preserve">Fail: 14 URLs</t>
  </si>
  <si>
    <t xml:space="preserve">Real lastmod</t>
  </si>
  <si>
    <t xml:space="preserve">Fail: identical date on all URLs</t>
  </si>
  <si>
    <t xml:space="preserve">Duplicate content</t>
  </si>
  <si>
    <t xml:space="preserve">Duplicate hubs and chains</t>
  </si>
  <si>
    <t xml:space="preserve">Redirects</t>
  </si>
  <si>
    <t xml:space="preserve">Redirect chains and 302s</t>
  </si>
  <si>
    <t xml:space="preserve">Not yet crawled</t>
  </si>
  <si>
    <t xml:space="preserve">Crawl; map</t>
  </si>
  <si>
    <t xml:space="preserve">Links</t>
  </si>
  <si>
    <t xml:space="preserve">Broken internal links (footer /sitemap/)</t>
  </si>
  <si>
    <t xml:space="preserve">Fail: 404</t>
  </si>
  <si>
    <t xml:space="preserve">Faceted navigation</t>
  </si>
  <si>
    <t xml:space="preserve">Flight-time, distance, chain, country, region, city filters</t>
  </si>
  <si>
    <t xml:space="preserve">List parameters; noindex/disallow policy</t>
  </si>
  <si>
    <t xml:space="preserve">Pagination</t>
  </si>
  <si>
    <t xml:space="preserve">Hotel lists on city/region pages</t>
  </si>
  <si>
    <t xml:space="preserve">Not yet reviewed</t>
  </si>
  <si>
    <t xml:space="preserve">Crawlable links or full lists</t>
  </si>
  <si>
    <t xml:space="preserve">Week 3</t>
  </si>
  <si>
    <t xml:space="preserve">JavaScript</t>
  </si>
  <si>
    <t xml:space="preserve">Rates and gallery rendered client-side</t>
  </si>
  <si>
    <t xml:space="preserve">Partial: server HTML has 1 img on hotel page</t>
  </si>
  <si>
    <t xml:space="preserve">Check GSC URL Inspection</t>
  </si>
  <si>
    <t xml:space="preserve">Server response</t>
  </si>
  <si>
    <t xml:space="preserve">Fail on NY/Cancún (~3.6 s)</t>
  </si>
  <si>
    <t xml:space="preserve">Core Web Vitals (field)</t>
  </si>
  <si>
    <t xml:space="preserve">Not yet measured</t>
  </si>
  <si>
    <t xml:space="preserve">Pull CrUX/GSC</t>
  </si>
  <si>
    <t xml:space="preserve">Images</t>
  </si>
  <si>
    <t xml:space="preserve">Alt text, lazy loading, sizing</t>
  </si>
  <si>
    <t xml:space="preserve">Audit</t>
  </si>
  <si>
    <t xml:space="preserve">Language</t>
  </si>
  <si>
    <t xml:space="preserve">lang attribute</t>
  </si>
  <si>
    <t xml:space="preserve">Pass: lang="es"</t>
  </si>
  <si>
    <t xml:space="preserve">Keep</t>
  </si>
  <si>
    <t xml:space="preserve">—</t>
  </si>
  <si>
    <t xml:space="preserve">hreflang</t>
  </si>
  <si>
    <t xml:space="preserve">H1, H2</t>
  </si>
  <si>
    <t xml:space="preserve">Structured data</t>
  </si>
  <si>
    <t xml:space="preserve">JSON-LD validity and fit</t>
  </si>
  <si>
    <t xml:space="preserve">Partial</t>
  </si>
  <si>
    <t xml:space="preserve">S1-S3</t>
  </si>
  <si>
    <t xml:space="preserve">HTTPS</t>
  </si>
  <si>
    <t xml:space="preserve">HTTPS enforced, HSTS</t>
  </si>
  <si>
    <t xml:space="preserve">Partial: https works; http uses 302</t>
  </si>
  <si>
    <t xml:space="preserve">Orphans and click depth</t>
  </si>
  <si>
    <t xml:space="preserve">Compare DB IDs to crawl</t>
  </si>
  <si>
    <t xml:space="preserve">Cookies</t>
  </si>
  <si>
    <t xml:space="preserve">Persistent CFID on every request</t>
  </si>
  <si>
    <t xml:space="preserve">Week 4</t>
  </si>
  <si>
    <t xml:space="preserve">Native Spanish keyword framework. Volume and difficulty: fill from Semrush (blank until data available). Score = Demand x Intent x Value x Probability / Effort.</t>
  </si>
  <si>
    <t xml:space="preserve">Intent</t>
  </si>
  <si>
    <t xml:space="preserve">Cluster</t>
  </si>
  <si>
    <t xml:space="preserve">Target page</t>
  </si>
  <si>
    <t xml:space="preserve">Keyword difficulty</t>
  </si>
  <si>
    <t xml:space="preserve">Demand (1-5)</t>
  </si>
  <si>
    <t xml:space="preserve">Intent (1-5)</t>
  </si>
  <si>
    <t xml:space="preserve">Value (1-5)</t>
  </si>
  <si>
    <t xml:space="preserve">Probability (1-5)</t>
  </si>
  <si>
    <t xml:space="preserve">Effort (1-5)</t>
  </si>
  <si>
    <t xml:space="preserve">Opportunity score</t>
  </si>
  <si>
    <t xml:space="preserve">Bucket</t>
  </si>
  <si>
    <t xml:space="preserve">Master ID</t>
  </si>
  <si>
    <t xml:space="preserve">Bucket rule (editable): Quick win = score&gt;=100 and effort&lt;=2; Strategic = score&gt;=100; Long-term = 30-99; else Low/avoid</t>
  </si>
  <si>
    <t xml:space="preserve">hoteles de lujo en Miami</t>
  </si>
  <si>
    <t xml:space="preserve">Destination + luxury</t>
  </si>
  <si>
    <t xml:space="preserve">City hub</t>
  </si>
  <si>
    <t xml:space="preserve">Miami hub</t>
  </si>
  <si>
    <t xml:space="preserve">hoteles cinco estrellas Nueva York</t>
  </si>
  <si>
    <t xml:space="preserve">New York hub</t>
  </si>
  <si>
    <t xml:space="preserve">hoteles de lujo en Madrid</t>
  </si>
  <si>
    <t xml:space="preserve">Madrid hub</t>
  </si>
  <si>
    <t xml:space="preserve">resorts de lujo Cancún</t>
  </si>
  <si>
    <t xml:space="preserve">Cancún hub</t>
  </si>
  <si>
    <t xml:space="preserve">hoteles Four Seasons</t>
  </si>
  <si>
    <t xml:space="preserve">¿Cómo conseguir beneficios VIP en Four Seasons?</t>
  </si>
  <si>
    <t xml:space="preserve">Informational</t>
  </si>
  <si>
    <t xml:space="preserve">Four Seasons chain page</t>
  </si>
  <si>
    <t xml:space="preserve">mejores hoteles para luna de miel</t>
  </si>
  <si>
    <t xml:space="preserve">Commercial investigation</t>
  </si>
  <si>
    <t xml:space="preserve">Luna de miel collection</t>
  </si>
  <si>
    <t xml:space="preserve">Rankings</t>
  </si>
  <si>
    <t xml:space="preserve">Weekly positions per keyword and market (Semrush position tracking). Enter one column per week.</t>
  </si>
  <si>
    <t xml:space="preserve">Country database</t>
  </si>
  <si>
    <t xml:space="preserve">Target URL</t>
  </si>
  <si>
    <t xml:space="preserve">Baseline position</t>
  </si>
  <si>
    <t xml:space="preserve">Wk 1</t>
  </si>
  <si>
    <t xml:space="preserve">Wk 2</t>
  </si>
  <si>
    <t xml:space="preserve">Wk 3</t>
  </si>
  <si>
    <t xml:space="preserve">Wk 4</t>
  </si>
  <si>
    <t xml:space="preserve">Latest</t>
  </si>
  <si>
    <t xml:space="preserve">SERP feature</t>
  </si>
  <si>
    <t xml:space="preserve">Guides, comparisons, FAQs and hub support pages.</t>
  </si>
  <si>
    <t xml:space="preserve">Title (Spanish)</t>
  </si>
  <si>
    <t xml:space="preserve">Hub</t>
  </si>
  <si>
    <t xml:space="preserve">Content type</t>
  </si>
  <si>
    <t xml:space="preserve">Target keyword</t>
  </si>
  <si>
    <t xml:space="preserve">Author/expert</t>
  </si>
  <si>
    <t xml:space="preserve">Publish date</t>
  </si>
  <si>
    <t xml:space="preserve">Last reviewed</t>
  </si>
  <si>
    <t xml:space="preserve">Next refresh</t>
  </si>
  <si>
    <t xml:space="preserve">Impressions (90d)</t>
  </si>
  <si>
    <t xml:space="preserve">Clicks (90d)</t>
  </si>
  <si>
    <t xml:space="preserve">Hoteles de lujo en Madrid</t>
  </si>
  <si>
    <t xml:space="preserve">(new)</t>
  </si>
  <si>
    <t xml:space="preserve">Madrid</t>
  </si>
  <si>
    <t xml:space="preserve">Dónde alojarse en Madrid: Salamanca, Centro y Retiro</t>
  </si>
  <si>
    <t xml:space="preserve">Guide</t>
  </si>
  <si>
    <t xml:space="preserve">dónde alojarse en Madrid</t>
  </si>
  <si>
    <t xml:space="preserve">Four Seasons vs. Ritz-Carlton</t>
  </si>
  <si>
    <t xml:space="preserve">Chains</t>
  </si>
  <si>
    <t xml:space="preserve">Comparison</t>
  </si>
  <si>
    <t xml:space="preserve">Four Seasons vs Ritz Carlton</t>
  </si>
  <si>
    <t xml:space="preserve">Hotel Pages</t>
  </si>
  <si>
    <t xml:space="preserve">Hotel-level work. Revenue tier comes from the client's top-100 list.</t>
  </si>
  <si>
    <t xml:space="preserve">Hotel ID</t>
  </si>
  <si>
    <t xml:space="preserve">Revenue tier (A/B/C)</t>
  </si>
  <si>
    <t xml:space="preserve">Unique title</t>
  </si>
  <si>
    <t xml:space="preserve">Unique description</t>
  </si>
  <si>
    <t xml:space="preserve">Unique body (words)</t>
  </si>
  <si>
    <t xml:space="preserve">Verified perks block</t>
  </si>
  <si>
    <t xml:space="preserve">FAQ on page</t>
  </si>
  <si>
    <t xml:space="preserve">Hotel schema</t>
  </si>
  <si>
    <t xml:space="preserve">Inquiries (90d)</t>
  </si>
  <si>
    <t xml:space="preserve">1 Hotel Brooklyn Bridge</t>
  </si>
  <si>
    <t xml:space="preserve">New York</t>
  </si>
  <si>
    <t xml:space="preserve">Estados Unidos</t>
  </si>
  <si>
    <t xml:space="preserve">/hotels/6494/1-hotel-brooklyn-bridge.html</t>
  </si>
  <si>
    <t xml:space="preserve">No</t>
  </si>
  <si>
    <t xml:space="preserve">~1,400</t>
  </si>
  <si>
    <t xml:space="preserve">Yes (sales-line answers)</t>
  </si>
  <si>
    <t xml:space="preserve">Destination Pages</t>
  </si>
  <si>
    <t xml:space="preserve">City, country, region, chain and collection hubs.</t>
  </si>
  <si>
    <t xml:space="preserve">Type</t>
  </si>
  <si>
    <t xml:space="preserve">URL (current or planned)</t>
  </si>
  <si>
    <t xml:space="preserve">Market priority</t>
  </si>
  <si>
    <t xml:space="preserve">Direct answer</t>
  </si>
  <si>
    <t xml:space="preserve">Selection table</t>
  </si>
  <si>
    <t xml:space="preserve">Neighborhood guide</t>
  </si>
  <si>
    <t xml:space="preserve">FAQ (5-8)</t>
  </si>
  <si>
    <t xml:space="preserve">Hoteles de lujo en Miami</t>
  </si>
  <si>
    <t xml:space="preserve">(new, Spanish path)</t>
  </si>
  <si>
    <t xml:space="preserve">Hoteles de lujo en Nueva York</t>
  </si>
  <si>
    <t xml:space="preserve">Hoteles de lujo en Cancún</t>
  </si>
  <si>
    <t xml:space="preserve">Hoteles Four Seasons</t>
  </si>
  <si>
    <t xml:space="preserve">Hoteles de lujo en Europa</t>
  </si>
  <si>
    <t xml:space="preserve">U.S. Hispanic SEO</t>
  </si>
  <si>
    <t xml:space="preserve">U.S. Spanish performance by state/city. Isolate with GA4 language es* + country US; in GSC use country US + Spanish query classification.</t>
  </si>
  <si>
    <t xml:space="preserve">State</t>
  </si>
  <si>
    <t xml:space="preserve">Metro</t>
  </si>
  <si>
    <t xml:space="preserve">Query / cluster</t>
  </si>
  <si>
    <t xml:space="preserve">Landing page</t>
  </si>
  <si>
    <t xml:space="preserve">Impressions</t>
  </si>
  <si>
    <t xml:space="preserve">Clicks</t>
  </si>
  <si>
    <t xml:space="preserve">Avg. position</t>
  </si>
  <si>
    <t xml:space="preserve">Inquiries</t>
  </si>
  <si>
    <t xml:space="preserve">Doorway-guardrail check (tools, own recs, distinct demand)</t>
  </si>
  <si>
    <t xml:space="preserve">FL</t>
  </si>
  <si>
    <t xml:space="preserve">Miami / South Florida</t>
  </si>
  <si>
    <t xml:space="preserve">NY</t>
  </si>
  <si>
    <t xml:space="preserve">NV</t>
  </si>
  <si>
    <t xml:space="preserve">Las Vegas</t>
  </si>
  <si>
    <t xml:space="preserve">hoteles de lujo Las Vegas</t>
  </si>
  <si>
    <t xml:space="preserve">Las Vegas hub</t>
  </si>
  <si>
    <t xml:space="preserve">TX</t>
  </si>
  <si>
    <t xml:space="preserve">Houston</t>
  </si>
  <si>
    <t xml:space="preserve">escapadas de lujo desde Houston</t>
  </si>
  <si>
    <t xml:space="preserve">(origin-city guide - validate demand first)</t>
  </si>
  <si>
    <t xml:space="preserve">Dallas</t>
  </si>
  <si>
    <t xml:space="preserve">hoteles de lujo cerca de Dallas</t>
  </si>
  <si>
    <t xml:space="preserve">International Markets (Market Dashboard)</t>
  </si>
  <si>
    <t xml:space="preserve">Baseline from GSC (29 Jan - 3 Oct 2026). Enter later months in new columns or copy the tab. CTR, share and growth are formulas. Tier = working decision, see Notes.</t>
  </si>
  <si>
    <t xml:space="preserve">Tier</t>
  </si>
  <si>
    <t xml:space="preserve">Share of impressions</t>
  </si>
  <si>
    <t xml:space="preserve">Share of clicks</t>
  </si>
  <si>
    <t xml:space="preserve">Ranking keywords</t>
  </si>
  <si>
    <t xml:space="preserve">Conversions</t>
  </si>
  <si>
    <t xml:space="preserve">Top destinations</t>
  </si>
  <si>
    <t xml:space="preserve">MoM growth in clicks</t>
  </si>
  <si>
    <t xml:space="preserve">Prior-month clicks</t>
  </si>
  <si>
    <t xml:space="preserve">Decision gate / notes</t>
  </si>
  <si>
    <t xml:space="preserve">Position 24.5: weakest ranking among large markets; Miami, New York, Las Vegas hubs are the priority.</t>
  </si>
  <si>
    <t xml:space="preserve">16.9% of impressions, 11.3% of clicks; Cancún and Los Cabos hubs.</t>
  </si>
  <si>
    <t xml:space="preserve">Largest market: 29.9% of impressions and clicks at position 18.3; Madrid, Barcelona, Europe hubs. Confirm EUR booking path.</t>
  </si>
  <si>
    <t xml:space="preserve">Argentina</t>
  </si>
  <si>
    <t xml:space="preserve">9.1% of impressions at position 11.3 passes the 8-10% gate; promote to Tier 1 once a booking path is confirmed (currency controls).</t>
  </si>
  <si>
    <t xml:space="preserve">Peru</t>
  </si>
  <si>
    <t xml:space="preserve">2.9% of impressions, 4.8% of clicks; high click share. Reuse hubs, add Machu Picchu / Sacred Valley hotel content.</t>
  </si>
  <si>
    <t xml:space="preserve">Colombia</t>
  </si>
  <si>
    <t xml:space="preserve">3.0% of impressions at position 11.7.</t>
  </si>
  <si>
    <t xml:space="preserve">Chile</t>
  </si>
  <si>
    <t xml:space="preserve">2.4% of impressions at position 11.7.</t>
  </si>
  <si>
    <t xml:space="preserve">Costa Rica</t>
  </si>
  <si>
    <t xml:space="preserve">1.8% of impressions; 3.2% of clicks. Monitor.</t>
  </si>
  <si>
    <t xml:space="preserve">Ecuador</t>
  </si>
  <si>
    <t xml:space="preserve">1.0% of impressions; 3.2% of clicks. Monitor.</t>
  </si>
  <si>
    <t xml:space="preserve">Puerto Rico</t>
  </si>
  <si>
    <t xml:space="preserve">0.5% of impressions; track within U.S. Spanish.</t>
  </si>
  <si>
    <t xml:space="preserve">All other countries</t>
  </si>
  <si>
    <t xml:space="preserve">Total from the Performance export minus listed markets (166 countries in export).</t>
  </si>
  <si>
    <t xml:space="preserve">Total</t>
  </si>
  <si>
    <t xml:space="preserve">Rule: dedicated pages, currency display or hreflang for a country only when it produces ~8-10% of Spanish organic impressions AND has a working booking/inquiry path.</t>
  </si>
  <si>
    <t xml:space="preserve">Question coverage: one owning page per question; answers 40-60 words with source and date.</t>
  </si>
  <si>
    <t xml:space="preserve">Question (Spanish)</t>
  </si>
  <si>
    <t xml:space="preserve">Owning page</t>
  </si>
  <si>
    <t xml:space="preserve">Answer written (Y/N)</t>
  </si>
  <si>
    <t xml:space="preserve">Words</t>
  </si>
  <si>
    <t xml:space="preserve">Source cited</t>
  </si>
  <si>
    <t xml:space="preserve">Verified date</t>
  </si>
  <si>
    <t xml:space="preserve">FAQ schema matches visible text</t>
  </si>
  <si>
    <t xml:space="preserve">Featured snippet / PAA</t>
  </si>
  <si>
    <t xml:space="preserve">¿Cuál es el mejor hotel de lujo en Madrid?</t>
  </si>
  <si>
    <t xml:space="preserve">N</t>
  </si>
  <si>
    <t xml:space="preserve">¿Cuál es el mejor Four Seasons en México?</t>
  </si>
  <si>
    <t xml:space="preserve">Four Seasons chain + México</t>
  </si>
  <si>
    <t xml:space="preserve">¿Qué hoteles incluyen desayuno gratis?</t>
  </si>
  <si>
    <t xml:space="preserve">Benefits hub</t>
  </si>
  <si>
    <t xml:space="preserve">Four Seasons chain</t>
  </si>
  <si>
    <t xml:space="preserve">¿Qué hotel es mejor para una luna de miel en Cancún?</t>
  </si>
  <si>
    <t xml:space="preserve">¿Dónde alojarse en Miami para unas vacaciones de lujo?</t>
  </si>
  <si>
    <t xml:space="preserve">¿Vale la pena reservar mediante una agencia de viajes de lujo?</t>
  </si>
  <si>
    <t xml:space="preserve">/company.cfm + FAQ</t>
  </si>
  <si>
    <t xml:space="preserve">GEO - AI Visibility</t>
  </si>
  <si>
    <t xml:space="preserve">Monthly prompt log. One row per prompt x AI system x month.</t>
  </si>
  <si>
    <t xml:space="preserve">Month</t>
  </si>
  <si>
    <t xml:space="preserve">Prompt (Spanish)</t>
  </si>
  <si>
    <t xml:space="preserve">Market phrasing</t>
  </si>
  <si>
    <t xml:space="preserve">AI system</t>
  </si>
  <si>
    <t xml:space="preserve">Solo5Estrellas appears (Y/N)</t>
  </si>
  <si>
    <t xml:space="preserve">Cited URL</t>
  </si>
  <si>
    <t xml:space="preserve">Position / order</t>
  </si>
  <si>
    <t xml:space="preserve">Competitors cited</t>
  </si>
  <si>
    <t xml:space="preserve">Claim accurate (Y/N)</t>
  </si>
  <si>
    <t xml:space="preserve">Citation rate (tracked prompts)</t>
  </si>
  <si>
    <t xml:space="preserve">¿Cuáles son los mejores hoteles de lujo en Miami?</t>
  </si>
  <si>
    <t xml:space="preserve">U.S.</t>
  </si>
  <si>
    <t xml:space="preserve">Google AI Overviews</t>
  </si>
  <si>
    <t xml:space="preserve">¿Cuál es el mejor hotel en Madrid para una luna de miel?</t>
  </si>
  <si>
    <t xml:space="preserve">ChatGPT Search</t>
  </si>
  <si>
    <t xml:space="preserve">¿Dónde puedo reservar Four Seasons con beneficios VIP?</t>
  </si>
  <si>
    <t xml:space="preserve">Perplexity</t>
  </si>
  <si>
    <t xml:space="preserve">¿Cuáles son los mejores hoteles cinco estrellas en Nueva York?</t>
  </si>
  <si>
    <t xml:space="preserve">Gemini</t>
  </si>
  <si>
    <t xml:space="preserve">Structured-data status by template. Markup must match visible content.</t>
  </si>
  <si>
    <t xml:space="preserve">Template / URL</t>
  </si>
  <si>
    <t xml:space="preserve">Schema type</t>
  </si>
  <si>
    <t xml:space="preserve">Present today</t>
  </si>
  <si>
    <t xml:space="preserve">Issue</t>
  </si>
  <si>
    <t xml:space="preserve">Recommendation</t>
  </si>
  <si>
    <t xml:space="preserve">Validation tool</t>
  </si>
  <si>
    <t xml:space="preserve">Errors</t>
  </si>
  <si>
    <t xml:space="preserve">Warnings</t>
  </si>
  <si>
    <t xml:space="preserve">All pages</t>
  </si>
  <si>
    <t xml:space="preserve">Organization</t>
  </si>
  <si>
    <t xml:space="preserve">Yes</t>
  </si>
  <si>
    <t xml:space="preserve">sameAs points to WhataHotel profiles; no parent/address</t>
  </si>
  <si>
    <t xml:space="preserve">Rebuild with Lorraine Travel parentOrganization</t>
  </si>
  <si>
    <t xml:space="preserve">WebSite</t>
  </si>
  <si>
    <t xml:space="preserve">No inLanguage</t>
  </si>
  <si>
    <t xml:space="preserve">Add inLanguage es</t>
  </si>
  <si>
    <t xml:space="preserve">FAQPage</t>
  </si>
  <si>
    <t xml:space="preserve">Answers are sales copy</t>
  </si>
  <si>
    <t xml:space="preserve">Rewrite to match visible FAQ</t>
  </si>
  <si>
    <t xml:space="preserve">TravelAgency + Offer</t>
  </si>
  <si>
    <t xml:space="preserve">Zero-price OnlineOnly offers</t>
  </si>
  <si>
    <t xml:space="preserve">Remove; describe perks as text</t>
  </si>
  <si>
    <t xml:space="preserve">Missing</t>
  </si>
  <si>
    <t xml:space="preserve">Add address, geo, image; starRating only with visible source</t>
  </si>
  <si>
    <t xml:space="preserve">Hotel / City</t>
  </si>
  <si>
    <t xml:space="preserve">BreadcrumbList</t>
  </si>
  <si>
    <t xml:space="preserve">No visible breadcrumbs</t>
  </si>
  <si>
    <t xml:space="preserve">Add both</t>
  </si>
  <si>
    <t xml:space="preserve">Guides</t>
  </si>
  <si>
    <t xml:space="preserve">Article</t>
  </si>
  <si>
    <t xml:space="preserve">No guides yet</t>
  </si>
  <si>
    <t xml:space="preserve">Add with Person author and dates</t>
  </si>
  <si>
    <t xml:space="preserve">Link and mention targets. Spanish-language publishers and brand partner pages first.</t>
  </si>
  <si>
    <t xml:space="preserve">Target domain</t>
  </si>
  <si>
    <t xml:space="preserve">Authority (Semrush AS)</t>
  </si>
  <si>
    <t xml:space="preserve">Pitch/angle</t>
  </si>
  <si>
    <t xml:space="preserve">Contact</t>
  </si>
  <si>
    <t xml:space="preserve">Date contacted</t>
  </si>
  <si>
    <t xml:space="preserve">Link URL</t>
  </si>
  <si>
    <t xml:space="preserve">Date won</t>
  </si>
  <si>
    <t xml:space="preserve">Competitors</t>
  </si>
  <si>
    <t xml:space="preserve">Per market. Domains marked 'confirm' were named from general knowledge and must be verified in the SERP.</t>
  </si>
  <si>
    <t xml:space="preserve">Domain</t>
  </si>
  <si>
    <t xml:space="preserve">Group</t>
  </si>
  <si>
    <t xml:space="preserve">Seen in SERP</t>
  </si>
  <si>
    <t xml:space="preserve">Top keywords (count)</t>
  </si>
  <si>
    <t xml:space="preserve">Schema types used</t>
  </si>
  <si>
    <t xml:space="preserve">FAQ coverage</t>
  </si>
  <si>
    <t xml:space="preserve">Strengths</t>
  </si>
  <si>
    <t xml:space="preserve">Gap for Solo5Estrellas</t>
  </si>
  <si>
    <t xml:space="preserve">thehotelguru.com</t>
  </si>
  <si>
    <t xml:space="preserve">Hotel review / editorial</t>
  </si>
  <si>
    <t xml:space="preserve">oyster.com</t>
  </si>
  <si>
    <t xml:space="preserve">btravel.com</t>
  </si>
  <si>
    <t xml:space="preserve">Spanish agency / retail</t>
  </si>
  <si>
    <t xml:space="preserve">viajeselcorteingles.es</t>
  </si>
  <si>
    <t xml:space="preserve">booking.com</t>
  </si>
  <si>
    <t xml:space="preserve">OTA</t>
  </si>
  <si>
    <t xml:space="preserve">Confirm</t>
  </si>
  <si>
    <t xml:space="preserve">expedia.com</t>
  </si>
  <si>
    <t xml:space="preserve">hotels.com</t>
  </si>
  <si>
    <t xml:space="preserve">despegar.com</t>
  </si>
  <si>
    <t xml:space="preserve">fourseasons.com (Spanish pages)</t>
  </si>
  <si>
    <t xml:space="preserve">Hotel brand</t>
  </si>
  <si>
    <t xml:space="preserve">forbes.es</t>
  </si>
  <si>
    <t xml:space="preserve">Spanish travel publisher</t>
  </si>
  <si>
    <t xml:space="preserve">Completed Work</t>
  </si>
  <si>
    <t xml:space="preserve">Archive with before/after. Change is a formula.</t>
  </si>
  <si>
    <t xml:space="preserve">Task</t>
  </si>
  <si>
    <t xml:space="preserve">URL / template</t>
  </si>
  <si>
    <t xml:space="preserve">Change</t>
  </si>
  <si>
    <t xml:space="preserve">GSC Baseline (Search Console exports, 6 Oct 2026)</t>
  </si>
  <si>
    <t xml:space="preserve">Property solo5estrellas.com. Performance data covers 29 Jan - 3 Oct 2026 (248 days; web search). Query and page exports are capped at 1,000 rows, so they cover only part of total impressions.</t>
  </si>
  <si>
    <t xml:space="preserve">1. Totals (29 Jan - 3 Oct 2026)</t>
  </si>
  <si>
    <t xml:space="preserve">Metric</t>
  </si>
  <si>
    <t xml:space="preserve">Value</t>
  </si>
  <si>
    <t xml:space="preserve">Note</t>
  </si>
  <si>
    <t xml:space="preserve">Sum of daily chart</t>
  </si>
  <si>
    <t xml:space="preserve">Average position (impression-weighted)</t>
  </si>
  <si>
    <t xml:space="preserve">Weighted by daily impressions</t>
  </si>
  <si>
    <t xml:space="preserve">Brand-query clicks (top-1,000 queries only)</t>
  </si>
  <si>
    <t xml:space="preserve">Regex: solo 5/solo5, whatahotel, lorraine</t>
  </si>
  <si>
    <t xml:space="preserve">Brand-query impressions</t>
  </si>
  <si>
    <t xml:space="preserve">Non-brand clicks (approx.)</t>
  </si>
  <si>
    <t xml:space="preserve">Total minus brand; anonymized queries counted as non-brand</t>
  </si>
  <si>
    <t xml:space="preserve">Indexed pages (19 Sep 2026)</t>
  </si>
  <si>
    <t xml:space="preserve">Page indexing chart, latest point</t>
  </si>
  <si>
    <t xml:space="preserve">Not indexed pages (19 Sep 2026)</t>
  </si>
  <si>
    <t xml:space="preserve">Generative AI feature impressions (18 May - 3 Oct)</t>
  </si>
  <si>
    <t xml:space="preserve">Impressions of links shown in Google AI features, not citations counted by prompt</t>
  </si>
  <si>
    <t xml:space="preserve">2. Monthly trend</t>
  </si>
  <si>
    <t xml:space="preserve">Avg position</t>
  </si>
  <si>
    <t xml:space="preserve">2026-01</t>
  </si>
  <si>
    <t xml:space="preserve">2026-02</t>
  </si>
  <si>
    <t xml:space="preserve">2026-03</t>
  </si>
  <si>
    <t xml:space="preserve">2026-04</t>
  </si>
  <si>
    <t xml:space="preserve">2026-05</t>
  </si>
  <si>
    <t xml:space="preserve">2026-06</t>
  </si>
  <si>
    <t xml:space="preserve">2026-07</t>
  </si>
  <si>
    <t xml:space="preserve">2026-08</t>
  </si>
  <si>
    <t xml:space="preserve">2026-09</t>
  </si>
  <si>
    <t xml:space="preserve">2026-10</t>
  </si>
  <si>
    <t xml:space="preserve">Note: 2026-01 and 2026-10 are partial months (3 days each). Impressions rose about 5x from June to July 2026.</t>
  </si>
  <si>
    <t xml:space="preserve">3. Countries (all rows in export)</t>
  </si>
  <si>
    <t xml:space="preserve">United Kingdom</t>
  </si>
  <si>
    <t xml:space="preserve">Italy</t>
  </si>
  <si>
    <t xml:space="preserve">Panama</t>
  </si>
  <si>
    <t xml:space="preserve">Uruguay</t>
  </si>
  <si>
    <t xml:space="preserve">Guatemala</t>
  </si>
  <si>
    <t xml:space="preserve">Venezuela</t>
  </si>
  <si>
    <t xml:space="preserve">France</t>
  </si>
  <si>
    <t xml:space="preserve">Philippines</t>
  </si>
  <si>
    <t xml:space="preserve">Thailand</t>
  </si>
  <si>
    <t xml:space="preserve">Bolivia</t>
  </si>
  <si>
    <t xml:space="preserve">4. Page types (top 1,000 pages)</t>
  </si>
  <si>
    <t xml:space="preserve">Pages in export</t>
  </si>
  <si>
    <t xml:space="preserve">Legacy browse_*.cfm?id (parameter URL)</t>
  </si>
  <si>
    <t xml:space="preserve">Home</t>
  </si>
  <si>
    <t xml:space="preserve">Chain pages /chains/</t>
  </si>
  <si>
    <t xml:space="preserve">Other</t>
  </si>
  <si>
    <t xml:space="preserve">Region pages /regions/</t>
  </si>
  <si>
    <t xml:space="preserve">Hotel pages /hotels/</t>
  </si>
  <si>
    <t xml:space="preserve">Collection pages /collection/</t>
  </si>
  <si>
    <t xml:space="preserve">Country pages /countries/</t>
  </si>
  <si>
    <t xml:space="preserve">City pages /cities/</t>
  </si>
  <si>
    <t xml:space="preserve">Destination /destination/</t>
  </si>
  <si>
    <t xml:space="preserve">Villas /homes/</t>
  </si>
  <si>
    <t xml:space="preserve">Specials</t>
  </si>
  <si>
    <t xml:space="preserve">5. Devices</t>
  </si>
  <si>
    <t xml:space="preserve">Device</t>
  </si>
  <si>
    <t xml:space="preserve">Mobile</t>
  </si>
  <si>
    <t xml:space="preserve">Desktop</t>
  </si>
  <si>
    <t xml:space="preserve">Tablet</t>
  </si>
  <si>
    <t xml:space="preserve">6. Page indexing (Coverage export, latest issue counts)</t>
  </si>
  <si>
    <t xml:space="preserve">Reason</t>
  </si>
  <si>
    <t xml:space="preserve">Validation</t>
  </si>
  <si>
    <t xml:space="preserve">Pages</t>
  </si>
  <si>
    <t xml:space="preserve">Blocked by robots.txt</t>
  </si>
  <si>
    <t xml:space="preserve">Website</t>
  </si>
  <si>
    <t xml:space="preserve">Not Started</t>
  </si>
  <si>
    <t xml:space="preserve">Duplicate without user-selected canonical</t>
  </si>
  <si>
    <t xml:space="preserve">Not found (404)</t>
  </si>
  <si>
    <t xml:space="preserve">Page with redirect</t>
  </si>
  <si>
    <t xml:space="preserve">Server error (5xx)</t>
  </si>
  <si>
    <t xml:space="preserve">Blocked due to access forbidden (403)</t>
  </si>
  <si>
    <t xml:space="preserve">Discovered – currently not indexed</t>
  </si>
  <si>
    <t xml:space="preserve">Google systems</t>
  </si>
  <si>
    <t xml:space="preserve">Crawled - currently not indexed</t>
  </si>
  <si>
    <t xml:space="preserve">Indexed, though blocked by robots.txt</t>
  </si>
  <si>
    <t xml:space="preserve">7. Generative AI features: impressions by country</t>
  </si>
  <si>
    <t xml:space="preserve">AI-feature impressions</t>
  </si>
  <si>
    <t xml:space="preserve">Share</t>
  </si>
  <si>
    <t xml:space="preserve">GSC Queries</t>
  </si>
  <si>
    <t xml:space="preserve">Source: Search Console export, 6 Oct 2026 (top 1,000 rows).</t>
  </si>
  <si>
    <t xml:space="preserve">Query</t>
  </si>
  <si>
    <t xml:space="preserve">Flag</t>
  </si>
  <si>
    <t xml:space="preserve">mejores hoteles en turks and caicos</t>
  </si>
  <si>
    <t xml:space="preserve">whatahotel</t>
  </si>
  <si>
    <t xml:space="preserve">hoteles aman en el mundo</t>
  </si>
  <si>
    <t xml:space="preserve">hoteles en turks and caicos</t>
  </si>
  <si>
    <t xml:space="preserve">turks and caicos hoteles</t>
  </si>
  <si>
    <t xml:space="preserve">aman hotel</t>
  </si>
  <si>
    <t xml:space="preserve">rosewood amaala</t>
  </si>
  <si>
    <t xml:space="preserve">jw marriott hotel tashkent</t>
  </si>
  <si>
    <t xml:space="preserve">the sukhothai shanghai hotel</t>
  </si>
  <si>
    <t xml:space="preserve">hoteles en islas turcas y caicos</t>
  </si>
  <si>
    <t xml:space="preserve">islas turcas y caicos hoteles</t>
  </si>
  <si>
    <t xml:space="preserve">hoteles islas turcas y caicos</t>
  </si>
  <si>
    <t xml:space="preserve">hoteles turks and caicos</t>
  </si>
  <si>
    <t xml:space="preserve">hoteles en turcos y caicos</t>
  </si>
  <si>
    <t xml:space="preserve">hoteles turk and caicos</t>
  </si>
  <si>
    <t xml:space="preserve">condo hoteles en turks and caicos</t>
  </si>
  <si>
    <t xml:space="preserve">aman hotels</t>
  </si>
  <si>
    <t xml:space="preserve">turk and caicos hoteles</t>
  </si>
  <si>
    <t xml:space="preserve">hoteles en turk and caicos</t>
  </si>
  <si>
    <t xml:space="preserve">hoteles en islas turks y caicos</t>
  </si>
  <si>
    <t xml:space="preserve">fairmont hotels</t>
  </si>
  <si>
    <t xml:space="preserve">hoteles de 5 estrellas en parís</t>
  </si>
  <si>
    <t xml:space="preserve">best hoteles en turks and caicos</t>
  </si>
  <si>
    <t xml:space="preserve">habitaciones en the chesterfield mayfair</t>
  </si>
  <si>
    <t xml:space="preserve">hoteles de 5 estrellas en londres</t>
  </si>
  <si>
    <t xml:space="preserve">kimpton hotels</t>
  </si>
  <si>
    <t xml:space="preserve">dorchester collection</t>
  </si>
  <si>
    <t xml:space="preserve">renaissance hotels</t>
  </si>
  <si>
    <t xml:space="preserve">hoteles todo incluido en islas turcas y caicos</t>
  </si>
  <si>
    <t xml:space="preserve">w atlanta downtown</t>
  </si>
  <si>
    <t xml:space="preserve">taj hotels</t>
  </si>
  <si>
    <t xml:space="preserve">jw marriott guanacaste resort &amp; spa</t>
  </si>
  <si>
    <t xml:space="preserve">le meridien hoteles</t>
  </si>
  <si>
    <t xml:space="preserve">paradisus playa del carmen la esmeralda</t>
  </si>
  <si>
    <t xml:space="preserve">best hotels in maine</t>
  </si>
  <si>
    <t xml:space="preserve">peninsula hotels</t>
  </si>
  <si>
    <t xml:space="preserve">lorraine travel</t>
  </si>
  <si>
    <t xml:space="preserve">hoteles para luna de miel en islas turcas y caicos</t>
  </si>
  <si>
    <t xml:space="preserve">aman resorts</t>
  </si>
  <si>
    <t xml:space="preserve">rosewoodhotels</t>
  </si>
  <si>
    <t xml:space="preserve">san ysidro ranch</t>
  </si>
  <si>
    <t xml:space="preserve">necker island</t>
  </si>
  <si>
    <t xml:space="preserve">فنادق 5 نجوم في لندن</t>
  </si>
  <si>
    <t xml:space="preserve">hoteles aman</t>
  </si>
  <si>
    <t xml:space="preserve">hotel islas turcas y caicos</t>
  </si>
  <si>
    <t xml:space="preserve">luxury hotels in pearl cays</t>
  </si>
  <si>
    <t xml:space="preserve">hoteles para luna de miel en turks and caicos</t>
  </si>
  <si>
    <t xml:space="preserve">piscina en paradisus playa del carmen la esmeralda</t>
  </si>
  <si>
    <t xml:space="preserve">hotel 5 estrellas londres</t>
  </si>
  <si>
    <t xml:space="preserve">st barts hoteles</t>
  </si>
  <si>
    <t xml:space="preserve">waterline marina resort beach club</t>
  </si>
  <si>
    <t xml:space="preserve">rocco forte hotels</t>
  </si>
  <si>
    <t xml:space="preserve">hoteles en turcas y caicos</t>
  </si>
  <si>
    <t xml:space="preserve">hotel xcaret arte</t>
  </si>
  <si>
    <t xml:space="preserve">5 sterren hotels in europa</t>
  </si>
  <si>
    <t xml:space="preserve">hoteles kimpton</t>
  </si>
  <si>
    <t xml:space="preserve">the peninsula hotels</t>
  </si>
  <si>
    <t xml:space="preserve">bulgari hotels</t>
  </si>
  <si>
    <t xml:space="preserve">resorts todo incluido en islas turcas y caicos</t>
  </si>
  <si>
    <t xml:space="preserve">peninsula hotel locations</t>
  </si>
  <si>
    <t xml:space="preserve">middle caicos hoteles</t>
  </si>
  <si>
    <t xml:space="preserve">hoteles bulgari</t>
  </si>
  <si>
    <t xml:space="preserve">jw marriott hotels</t>
  </si>
  <si>
    <t xml:space="preserve">isla necker hoteles</t>
  </si>
  <si>
    <t xml:space="preserve">vdara hotel &amp; spa</t>
  </si>
  <si>
    <t xml:space="preserve">hoteles le perouse</t>
  </si>
  <si>
    <t xml:space="preserve">dorchester collection hotels</t>
  </si>
  <si>
    <t xml:space="preserve">5 star hotels in west virginia</t>
  </si>
  <si>
    <t xml:space="preserve">hoteles necker island</t>
  </si>
  <si>
    <t xml:space="preserve">peninsula hotel</t>
  </si>
  <si>
    <t xml:space="preserve">hoteles en australia 5 estrellas</t>
  </si>
  <si>
    <t xml:space="preserve">mgm grand hotel and casino</t>
  </si>
  <si>
    <t xml:space="preserve">que hotel tiene en el lobby una escultura arco del triunfo</t>
  </si>
  <si>
    <t xml:space="preserve">hotel bintang 5 di london</t>
  </si>
  <si>
    <t xml:space="preserve">dorchester hotels</t>
  </si>
  <si>
    <t xml:space="preserve">autograph collection hotel</t>
  </si>
  <si>
    <t xml:space="preserve">turks and caicos luxury hoteles</t>
  </si>
  <si>
    <t xml:space="preserve">ladera resort</t>
  </si>
  <si>
    <t xml:space="preserve">necker island hoteles</t>
  </si>
  <si>
    <t xml:space="preserve">four seasons madrid</t>
  </si>
  <si>
    <t xml:space="preserve">renaissance hotels changsha</t>
  </si>
  <si>
    <t xml:space="preserve">four seasons puxi</t>
  </si>
  <si>
    <t xml:space="preserve">isla necker</t>
  </si>
  <si>
    <t xml:space="preserve">bulgari hotel</t>
  </si>
  <si>
    <t xml:space="preserve">san isidro ranch</t>
  </si>
  <si>
    <t xml:space="preserve">turcos y caicos hoteles</t>
  </si>
  <si>
    <t xml:space="preserve">the homestead hotel</t>
  </si>
  <si>
    <t xml:space="preserve">hotel ritz paris</t>
  </si>
  <si>
    <t xml:space="preserve">carmel valley ranch</t>
  </si>
  <si>
    <t xml:space="preserve">bvlgari hotels</t>
  </si>
  <si>
    <t xml:space="preserve">four seasons</t>
  </si>
  <si>
    <t xml:space="preserve">hoteles islas turcas y caicos:</t>
  </si>
  <si>
    <t xml:space="preserve">bulgary hoteles</t>
  </si>
  <si>
    <t xml:space="preserve">list of kimpton hotels</t>
  </si>
  <si>
    <t xml:space="preserve">peninsula pen club</t>
  </si>
  <si>
    <t xml:space="preserve">فنادق لندن خمس نجوم</t>
  </si>
  <si>
    <t xml:space="preserve">best hotels in minnesota</t>
  </si>
  <si>
    <t xml:space="preserve">resort necker island</t>
  </si>
  <si>
    <t xml:space="preserve">hotel en paracas 5 estrellas</t>
  </si>
  <si>
    <t xml:space="preserve">fairmont hotels &amp; resorts</t>
  </si>
  <si>
    <t xml:space="preserve">kimpton hotels usa</t>
  </si>
  <si>
    <t xml:space="preserve">autograph collection</t>
  </si>
  <si>
    <t xml:space="preserve">aman hoteles</t>
  </si>
  <si>
    <t xml:space="preserve">sacher luxushotel wien;brand &amp; property;;de,brand,general,p1</t>
  </si>
  <si>
    <t xml:space="preserve">fouquet's mykonos</t>
  </si>
  <si>
    <t xml:space="preserve">royal park hotel lima</t>
  </si>
  <si>
    <t xml:space="preserve">hotel sacher official website;brand &amp; property;;en,brand,general,p1</t>
  </si>
  <si>
    <t xml:space="preserve">hoteles turcos y caicos</t>
  </si>
  <si>
    <t xml:space="preserve">hotel turk and caicos</t>
  </si>
  <si>
    <t xml:space="preserve">grand velas riviera maya</t>
  </si>
  <si>
    <t xml:space="preserve">viceroy hotel</t>
  </si>
  <si>
    <t xml:space="preserve">preferred hotels &amp; resorts</t>
  </si>
  <si>
    <t xml:space="preserve">kimpton hotels locations</t>
  </si>
  <si>
    <t xml:space="preserve">fairmont hotels and resorts</t>
  </si>
  <si>
    <t xml:space="preserve">whatahotel by lorraine travel</t>
  </si>
  <si>
    <t xml:space="preserve">turcas y caicos hoteles</t>
  </si>
  <si>
    <t xml:space="preserve">resort miraval</t>
  </si>
  <si>
    <t xml:space="preserve">five star hotels in turks and caicos</t>
  </si>
  <si>
    <t xml:space="preserve">hyatt prive</t>
  </si>
  <si>
    <t xml:space="preserve">wellnesshotel golf panorama</t>
  </si>
  <si>
    <t xml:space="preserve">rocco forte house milan</t>
  </si>
  <si>
    <t xml:space="preserve">hotel bulgari</t>
  </si>
  <si>
    <t xml:space="preserve">sacher familie wien;brand &amp; property;;de,brand,general,p1</t>
  </si>
  <si>
    <t xml:space="preserve">hotel renaissance</t>
  </si>
  <si>
    <t xml:space="preserve">w hotels</t>
  </si>
  <si>
    <t xml:space="preserve">westin hotels</t>
  </si>
  <si>
    <t xml:space="preserve">hoteles st barts</t>
  </si>
  <si>
    <t xml:space="preserve">original hotel sacher wien;brand &amp; property;;de,brand,general,p1</t>
  </si>
  <si>
    <t xml:space="preserve">preferred hotels</t>
  </si>
  <si>
    <t xml:space="preserve">four seasons mykonos</t>
  </si>
  <si>
    <t xml:space="preserve">casa delfino hotel</t>
  </si>
  <si>
    <t xml:space="preserve">hoteles peninsula</t>
  </si>
  <si>
    <t xml:space="preserve">best hotels in delaware</t>
  </si>
  <si>
    <t xml:space="preserve">canyon ranch</t>
  </si>
  <si>
    <t xml:space="preserve">taj hotel</t>
  </si>
  <si>
    <t xml:space="preserve">kimpton hotel locations</t>
  </si>
  <si>
    <t xml:space="preserve">sacher luxury hotel salzburg;brand &amp; property;;en,brand,general,p1</t>
  </si>
  <si>
    <t xml:space="preserve">intercontinental hotels usa</t>
  </si>
  <si>
    <t xml:space="preserve">son bunyola</t>
  </si>
  <si>
    <t xml:space="preserve">kimpton locations</t>
  </si>
  <si>
    <t xml:space="preserve">hoteles londres 5 estrellas</t>
  </si>
  <si>
    <t xml:space="preserve">hotel san regis paris</t>
  </si>
  <si>
    <t xml:space="preserve">فنادق 5 نجوم في باريس</t>
  </si>
  <si>
    <t xml:space="preserve">original sacher hotel vienna;brand &amp; property;;en,brand,general,p1</t>
  </si>
  <si>
    <t xml:space="preserve">best hotels in kentucky</t>
  </si>
  <si>
    <t xml:space="preserve">belmond hotel rio sagrado</t>
  </si>
  <si>
    <t xml:space="preserve">resorts 5 estrellas en londres</t>
  </si>
  <si>
    <t xml:space="preserve">hoteles kipton</t>
  </si>
  <si>
    <t xml:space="preserve">the london edition</t>
  </si>
  <si>
    <t xml:space="preserve">casa cipriani</t>
  </si>
  <si>
    <t xml:space="preserve">yours truly dc</t>
  </si>
  <si>
    <t xml:space="preserve">montage hotels</t>
  </si>
  <si>
    <t xml:space="preserve">four seasons puerto rico</t>
  </si>
  <si>
    <t xml:space="preserve">viceroy hotels</t>
  </si>
  <si>
    <t xml:space="preserve">hotel peninsula</t>
  </si>
  <si>
    <t xml:space="preserve">preferred hotels and resorts</t>
  </si>
  <si>
    <t xml:space="preserve">montage hotel</t>
  </si>
  <si>
    <t xml:space="preserve">best hotels in ohio</t>
  </si>
  <si>
    <t xml:space="preserve">lorraine viena</t>
  </si>
  <si>
    <t xml:space="preserve">hotel en turks y caicos</t>
  </si>
  <si>
    <t xml:space="preserve">regent hotels</t>
  </si>
  <si>
    <t xml:space="preserve">rancho santana nicaragua</t>
  </si>
  <si>
    <t xml:space="preserve">best hotels in alberta</t>
  </si>
  <si>
    <t xml:space="preserve">miraval austin</t>
  </si>
  <si>
    <t xml:space="preserve">habitaciones en paradisus playa del carmen la esmeralda</t>
  </si>
  <si>
    <t xml:space="preserve">sofitel baru</t>
  </si>
  <si>
    <t xml:space="preserve">sacher luxushotel salzburg;brand &amp; property;;de,brand,general,p1</t>
  </si>
  <si>
    <t xml:space="preserve">hotel sacher österreich luxussuiten;brand &amp; property;;de,brand,general,p1</t>
  </si>
  <si>
    <t xml:space="preserve">best hotels rhode island</t>
  </si>
  <si>
    <t xml:space="preserve">autograph collection hotels</t>
  </si>
  <si>
    <t xml:space="preserve">savoy palace</t>
  </si>
  <si>
    <t xml:space="preserve">park hyatt busan</t>
  </si>
  <si>
    <t xml:space="preserve">resorts all inclusive en islas turcas y caicos</t>
  </si>
  <si>
    <t xml:space="preserve">dorchester diamond club</t>
  </si>
  <si>
    <t xml:space="preserve">5 star hotels in minneapolis</t>
  </si>
  <si>
    <t xml:space="preserve">hoteles bulgari en el mundo</t>
  </si>
  <si>
    <t xml:space="preserve">horseshoe bay resort</t>
  </si>
  <si>
    <t xml:space="preserve">nujuma a ritz-carlton reserve</t>
  </si>
  <si>
    <t xml:space="preserve">intercontinental hotels locations</t>
  </si>
  <si>
    <t xml:space="preserve">waldorf astoria costa rica</t>
  </si>
  <si>
    <t xml:space="preserve">"park tower" -site:reddit.com -site:twitter.com -site:x.com -site:wykop.pl 
-site:tripadvisor.com -site:youtube.com -site:yelp.com -site:booking.com 
-site:facebook.com -site:instagram.com -site:tiktok.com</t>
  </si>
  <si>
    <t xml:space="preserve">hoteles taj</t>
  </si>
  <si>
    <t xml:space="preserve">cadena de hoteles aman</t>
  </si>
  <si>
    <t xml:space="preserve">hotel bvlgari</t>
  </si>
  <si>
    <t xml:space="preserve">amangani</t>
  </si>
  <si>
    <t xml:space="preserve">hoteles de mayakoba</t>
  </si>
  <si>
    <t xml:space="preserve">hoteles 5 estrellas en paris</t>
  </si>
  <si>
    <t xml:space="preserve">bohemian hotel celebration</t>
  </si>
  <si>
    <t xml:space="preserve">cavalta boutique hotel</t>
  </si>
  <si>
    <t xml:space="preserve">verdura resort</t>
  </si>
  <si>
    <t xml:space="preserve">mandarin oriental vs ritz carlton munich</t>
  </si>
  <si>
    <t xml:space="preserve">pulitzer amsterdam</t>
  </si>
  <si>
    <t xml:space="preserve">the dylan amsterdam</t>
  </si>
  <si>
    <t xml:space="preserve">peninsula hotels locations</t>
  </si>
  <si>
    <t xml:space="preserve">5 star hotels in minnesota</t>
  </si>
  <si>
    <t xml:space="preserve">best hotels in new hampshire</t>
  </si>
  <si>
    <t xml:space="preserve">maine hotels</t>
  </si>
  <si>
    <t xml:space="preserve">mejores hoteles en islas turcas y caicos</t>
  </si>
  <si>
    <t xml:space="preserve">brush creek ranch</t>
  </si>
  <si>
    <t xml:space="preserve">amanpuri</t>
  </si>
  <si>
    <t xml:space="preserve">best hotel in turks and caicos</t>
  </si>
  <si>
    <t xml:space="preserve">hotel ercilla</t>
  </si>
  <si>
    <t xml:space="preserve">hotel brunelleschi florencia</t>
  </si>
  <si>
    <t xml:space="preserve">yoga personalizado en formentera</t>
  </si>
  <si>
    <t xml:space="preserve">ca sagrado hoteles</t>
  </si>
  <si>
    <t xml:space="preserve">best resorts en turks and caicos</t>
  </si>
  <si>
    <t xml:space="preserve">orient express hotels</t>
  </si>
  <si>
    <t xml:space="preserve">oberoi hotel</t>
  </si>
  <si>
    <t xml:space="preserve">xcaret arte</t>
  </si>
  <si>
    <t xml:space="preserve">masseria torre maizza</t>
  </si>
  <si>
    <t xml:space="preserve">kimpton hotels and resorts</t>
  </si>
  <si>
    <t xml:space="preserve">maine best hotels</t>
  </si>
  <si>
    <t xml:space="preserve">hoteles four seasons en el mundo</t>
  </si>
  <si>
    <t xml:space="preserve">s hotels</t>
  </si>
  <si>
    <t xml:space="preserve">anantara vilamoura algarve resort</t>
  </si>
  <si>
    <t xml:space="preserve">fairmont windsor park</t>
  </si>
  <si>
    <t xml:space="preserve">perth crown hoteles</t>
  </si>
  <si>
    <t xml:space="preserve">kilarney park hotel</t>
  </si>
  <si>
    <t xml:space="preserve">mandarin oriental vs ritz carlton athens</t>
  </si>
  <si>
    <t xml:space="preserve">four seasons seattle</t>
  </si>
  <si>
    <t xml:space="preserve">waldorf astoria</t>
  </si>
  <si>
    <t xml:space="preserve">turks and caicos hotels</t>
  </si>
  <si>
    <t xml:space="preserve">sacher family;brand &amp; property;;en,brand,general,p1</t>
  </si>
  <si>
    <t xml:space="preserve">hotel sacher deals;brand &amp; property;;en,brand,general,p1</t>
  </si>
  <si>
    <t xml:space="preserve">hotel the miami beach</t>
  </si>
  <si>
    <t xml:space="preserve">hotel en islas turcas y caicos</t>
  </si>
  <si>
    <t xml:space="preserve">hotels en el caribe</t>
  </si>
  <si>
    <t xml:space="preserve">necker island resort</t>
  </si>
  <si>
    <t xml:space="preserve">aman hotels and resorts</t>
  </si>
  <si>
    <t xml:space="preserve">best hotels in turks and caicos</t>
  </si>
  <si>
    <t xml:space="preserve">la peschiera</t>
  </si>
  <si>
    <t xml:space="preserve">tour privado parque nacional yala desde shangri la hambantota</t>
  </si>
  <si>
    <t xml:space="preserve">montage hotels &amp; resorts</t>
  </si>
  <si>
    <t xml:space="preserve">hotel turks and caicos</t>
  </si>
  <si>
    <t xml:space="preserve">riggs hotel dc</t>
  </si>
  <si>
    <t xml:space="preserve">hotel pulitzer amsterdam</t>
  </si>
  <si>
    <t xml:space="preserve">hotel sacher wellness;brand &amp; property;;en,brand,general,p1</t>
  </si>
  <si>
    <t xml:space="preserve">four seasons hotel tokyo at marunouchi</t>
  </si>
  <si>
    <t xml:space="preserve">hotel majestic cannes</t>
  </si>
  <si>
    <t xml:space="preserve">fairmont chateau lake louise</t>
  </si>
  <si>
    <t xml:space="preserve">hotel four seasons</t>
  </si>
  <si>
    <t xml:space="preserve">best hotels in west virginia</t>
  </si>
  <si>
    <t xml:space="preserve">four seasons hotel</t>
  </si>
  <si>
    <t xml:space="preserve">hotel arts barcelona</t>
  </si>
  <si>
    <t xml:space="preserve">the beaumont</t>
  </si>
  <si>
    <t xml:space="preserve">koro sun resort</t>
  </si>
  <si>
    <t xml:space="preserve">hoteles 5 estrellas en londres</t>
  </si>
  <si>
    <t xml:space="preserve">grand hyatt tokyo</t>
  </si>
  <si>
    <t xml:space="preserve">rosewood courchevel</t>
  </si>
  <si>
    <t xml:space="preserve">kempinski hotel bahía</t>
  </si>
  <si>
    <t xml:space="preserve">turk et caicos hotel</t>
  </si>
  <si>
    <t xml:space="preserve">imperial hotel</t>
  </si>
  <si>
    <t xml:space="preserve">san regis paris</t>
  </si>
  <si>
    <t xml:space="preserve">tokyo station hotel</t>
  </si>
  <si>
    <t xml:space="preserve">hotel plaza new york</t>
  </si>
  <si>
    <t xml:space="preserve">gaylord rockies resort &amp; convention center</t>
  </si>
  <si>
    <t xml:space="preserve">intercontinental resorts</t>
  </si>
  <si>
    <t xml:space="preserve">four seasons bangkok</t>
  </si>
  <si>
    <t xml:space="preserve">hoteles amán</t>
  </si>
  <si>
    <t xml:space="preserve">intercontinental hotels list</t>
  </si>
  <si>
    <t xml:space="preserve">san domenico palace</t>
  </si>
  <si>
    <t xml:space="preserve">fairmont makati</t>
  </si>
  <si>
    <t xml:space="preserve">four seasons chicago</t>
  </si>
  <si>
    <t xml:space="preserve">dorchester collection hotel</t>
  </si>
  <si>
    <t xml:space="preserve">honor resort yun shu dali</t>
  </si>
  <si>
    <t xml:space="preserve">five star hotels in europe</t>
  </si>
  <si>
    <t xml:space="preserve">4 seasons hotel</t>
  </si>
  <si>
    <t xml:space="preserve">فنادق خمس نجوم في أوروبا</t>
  </si>
  <si>
    <t xml:space="preserve">sacher family offer;brand &amp; property;;en,brand,general,p1</t>
  </si>
  <si>
    <t xml:space="preserve">kimpton resorts</t>
  </si>
  <si>
    <t xml:space="preserve">palacio solecio malaga</t>
  </si>
  <si>
    <t xml:space="preserve">rhode island hotels</t>
  </si>
  <si>
    <t xml:space="preserve">grand pacific sovereign resort and spa</t>
  </si>
  <si>
    <t xml:space="preserve">st regis hoteles</t>
  </si>
  <si>
    <t xml:space="preserve">mayflower hotel</t>
  </si>
  <si>
    <t xml:space="preserve">mgallery</t>
  </si>
  <si>
    <t xml:space="preserve">hotel u14 helsinki</t>
  </si>
  <si>
    <t xml:space="preserve">hoteles en londres 5 estrellas</t>
  </si>
  <si>
    <t xml:space="preserve">imperial hotel kyoto</t>
  </si>
  <si>
    <t xml:space="preserve">nantipa</t>
  </si>
  <si>
    <t xml:space="preserve">reservar fogo island inn</t>
  </si>
  <si>
    <t xml:space="preserve">boutique hotels in pearl cays</t>
  </si>
  <si>
    <t xml:space="preserve">aman new york</t>
  </si>
  <si>
    <t xml:space="preserve">hotel calala island</t>
  </si>
  <si>
    <t xml:space="preserve">caicos hotels</t>
  </si>
  <si>
    <t xml:space="preserve">hotel saint regis paris</t>
  </si>
  <si>
    <t xml:space="preserve">waikoloa beach marriott resort &amp; spa</t>
  </si>
  <si>
    <t xml:space="preserve">cordis hotel auckland</t>
  </si>
  <si>
    <t xml:space="preserve">turks caicos hotels</t>
  </si>
  <si>
    <t xml:space="preserve">calala island</t>
  </si>
  <si>
    <t xml:space="preserve">hyatt regency maui resort and spa</t>
  </si>
  <si>
    <t xml:space="preserve">melia orlando</t>
  </si>
  <si>
    <t xml:space="preserve">hoteles 5 estrellas en parís</t>
  </si>
  <si>
    <t xml:space="preserve">les chalets du mont d'arbois megève a four seasons hotel</t>
  </si>
  <si>
    <t xml:space="preserve">hoteles fairmont</t>
  </si>
  <si>
    <t xml:space="preserve">unplugged edition hotels</t>
  </si>
  <si>
    <t xml:space="preserve">ritz madrid</t>
  </si>
  <si>
    <t xml:space="preserve">5 star hotels in utah</t>
  </si>
  <si>
    <t xml:space="preserve">hoteles turcas y caicos</t>
  </si>
  <si>
    <t xml:space="preserve">hoteles 5 estrellas londres</t>
  </si>
  <si>
    <t xml:space="preserve">turks and caicos hotel</t>
  </si>
  <si>
    <t xml:space="preserve">the peninsula hotel</t>
  </si>
  <si>
    <t xml:space="preserve">four seasons shanghai</t>
  </si>
  <si>
    <t xml:space="preserve">vuelos a isla necker</t>
  </si>
  <si>
    <t xml:space="preserve">killarney park hotel</t>
  </si>
  <si>
    <t xml:space="preserve">hotel cavalta sevilla</t>
  </si>
  <si>
    <t xml:space="preserve">meliá orlando celebration</t>
  </si>
  <si>
    <t xml:space="preserve">hotel caicos</t>
  </si>
  <si>
    <t xml:space="preserve">cashback sofitel</t>
  </si>
  <si>
    <t xml:space="preserve">hotel el mangroove costa rica</t>
  </si>
  <si>
    <t xml:space="preserve">park hyatt sydney</t>
  </si>
  <si>
    <t xml:space="preserve">op oost</t>
  </si>
  <si>
    <t xml:space="preserve">pulitzer hotel amsterdam</t>
  </si>
  <si>
    <t xml:space="preserve">nobis hotel copenhagen</t>
  </si>
  <si>
    <t xml:space="preserve">dromoland castle</t>
  </si>
  <si>
    <t xml:space="preserve">fairmont la hacienda costa del sol</t>
  </si>
  <si>
    <t xml:space="preserve">oberoi hotels</t>
  </si>
  <si>
    <t xml:space="preserve">the silo hotel</t>
  </si>
  <si>
    <t xml:space="preserve">hotel palace barcelona</t>
  </si>
  <si>
    <t xml:space="preserve">best hotels in wyoming</t>
  </si>
  <si>
    <t xml:space="preserve">turks en caicoseilanden hotels</t>
  </si>
  <si>
    <t xml:space="preserve">india best oberoi hotels</t>
  </si>
  <si>
    <t xml:space="preserve">hotel sacher rooms;brand &amp; property;;en,brand,general,p1</t>
  </si>
  <si>
    <t xml:space="preserve">porto cervo hoteles 5 estrellas</t>
  </si>
  <si>
    <t xml:space="preserve">acerca de jw marriott guanacaste resort &amp; spa</t>
  </si>
  <si>
    <t xml:space="preserve">hotel saint barth isle de france st barts</t>
  </si>
  <si>
    <t xml:space="preserve">hoteles de 5 estrellas en berlín</t>
  </si>
  <si>
    <t xml:space="preserve">grand hyatt grand cayman resort &amp; spa</t>
  </si>
  <si>
    <t xml:space="preserve">visita nocturna moscow</t>
  </si>
  <si>
    <t xml:space="preserve">seasons hotel resorts</t>
  </si>
  <si>
    <t xml:space="preserve">jw marriott crete resort &amp; spa</t>
  </si>
  <si>
    <t xml:space="preserve">fouquets mykonos</t>
  </si>
  <si>
    <t xml:space="preserve">hoteles cerca de museo de pérgamo</t>
  </si>
  <si>
    <t xml:space="preserve">aman resort</t>
  </si>
  <si>
    <t xml:space="preserve">hotel st george helsinki</t>
  </si>
  <si>
    <t xml:space="preserve">bvlgari hotel</t>
  </si>
  <si>
    <t xml:space="preserve">hotel turk caicos</t>
  </si>
  <si>
    <t xml:space="preserve">mayakoba hoteles</t>
  </si>
  <si>
    <t xml:space="preserve">hoteles conserje en auckland</t>
  </si>
  <si>
    <t xml:space="preserve">sofitel phnom penh hotel</t>
  </si>
  <si>
    <t xml:space="preserve">ritz carlton hotel chengdu</t>
  </si>
  <si>
    <t xml:space="preserve">grand turk island hoteles</t>
  </si>
  <si>
    <t xml:space="preserve">carcassonne france hotel de la cite</t>
  </si>
  <si>
    <t xml:space="preserve">london edition hotel</t>
  </si>
  <si>
    <t xml:space="preserve">hotel son bunyola</t>
  </si>
  <si>
    <t xml:space="preserve">son bunyola mallorca</t>
  </si>
  <si>
    <t xml:space="preserve">mandarin oriental vs ritz carlton zurich</t>
  </si>
  <si>
    <t xml:space="preserve">beaumont hotel</t>
  </si>
  <si>
    <t xml:space="preserve">so paris hotel</t>
  </si>
  <si>
    <t xml:space="preserve">the lodge and spa at brush creek ranch</t>
  </si>
  <si>
    <t xml:space="preserve">"bluefields bay"</t>
  </si>
  <si>
    <t xml:space="preserve">majestic barriere hotel cannes</t>
  </si>
  <si>
    <t xml:space="preserve">rosewood</t>
  </si>
  <si>
    <t xml:space="preserve">best hotels in oregon</t>
  </si>
  <si>
    <t xml:space="preserve">intercontinental hotels resorts</t>
  </si>
  <si>
    <t xml:space="preserve">grand hotel tremezzo</t>
  </si>
  <si>
    <t xml:space="preserve">intercontinental locations</t>
  </si>
  <si>
    <t xml:space="preserve">mangroove hotel</t>
  </si>
  <si>
    <t xml:space="preserve">rosewood hotels</t>
  </si>
  <si>
    <t xml:space="preserve">hotel con centro de bienestar en sanremo</t>
  </si>
  <si>
    <t xml:space="preserve">the dorchester collection</t>
  </si>
  <si>
    <t xml:space="preserve">five seasons hotel</t>
  </si>
  <si>
    <t xml:space="preserve">marriott luminous</t>
  </si>
  <si>
    <t xml:space="preserve">london city 5 star hotels</t>
  </si>
  <si>
    <t xml:space="preserve">fairmont hotel</t>
  </si>
  <si>
    <t xml:space="preserve">best hotels maine</t>
  </si>
  <si>
    <t xml:space="preserve">מלונות 5 כוכבים בלונדון</t>
  </si>
  <si>
    <t xml:space="preserve">asia hotels</t>
  </si>
  <si>
    <t xml:space="preserve">fairmont hotel locations</t>
  </si>
  <si>
    <t xml:space="preserve">fairmont resorts</t>
  </si>
  <si>
    <t xml:space="preserve">fouquet mykonos</t>
  </si>
  <si>
    <t xml:space="preserve">risorgimento resort</t>
  </si>
  <si>
    <t xml:space="preserve">hotel la peschiera monopoli</t>
  </si>
  <si>
    <t xml:space="preserve">hoteles sofitel en el mundo</t>
  </si>
  <si>
    <t xml:space="preserve">andaz delhi</t>
  </si>
  <si>
    <t xml:space="preserve">andaz hotel india</t>
  </si>
  <si>
    <t xml:space="preserve">barracuda hotel &amp; villas</t>
  </si>
  <si>
    <t xml:space="preserve">belmond grand hotel europe</t>
  </si>
  <si>
    <t xml:space="preserve">fairmont century plaza</t>
  </si>
  <si>
    <t xml:space="preserve">the slaak rotterdam a tribute portfolio hotel</t>
  </si>
  <si>
    <t xml:space="preserve">pendry west hollywood</t>
  </si>
  <si>
    <t xml:space="preserve">hotel casa palmela</t>
  </si>
  <si>
    <t xml:space="preserve">hotel amansara resort siem reap</t>
  </si>
  <si>
    <t xml:space="preserve">necker island habitacion rates</t>
  </si>
  <si>
    <t xml:space="preserve">hoteles grand turk</t>
  </si>
  <si>
    <t xml:space="preserve">resort aman</t>
  </si>
  <si>
    <t xml:space="preserve">prince waikiki</t>
  </si>
  <si>
    <t xml:space="preserve">hoteles 5 estrellas en el caribe</t>
  </si>
  <si>
    <t xml:space="preserve">cordis auckland</t>
  </si>
  <si>
    <t xml:space="preserve">sofitel phnom penh phokeethra</t>
  </si>
  <si>
    <t xml:space="preserve">verdura golf &amp; spa resort</t>
  </si>
  <si>
    <t xml:space="preserve">فنادق خمس نجوم في لندن</t>
  </si>
  <si>
    <t xml:space="preserve">kimpton inn</t>
  </si>
  <si>
    <t xml:space="preserve">trump hotels</t>
  </si>
  <si>
    <t xml:space="preserve">four seasons hotel cairo</t>
  </si>
  <si>
    <t xml:space="preserve">sheraton grand hotel &amp; spa</t>
  </si>
  <si>
    <t xml:space="preserve">majestic barriere cannes</t>
  </si>
  <si>
    <t xml:space="preserve">grand hyatt taipei</t>
  </si>
  <si>
    <t xml:space="preserve">tribute portfolio</t>
  </si>
  <si>
    <t xml:space="preserve">hotel nantipa</t>
  </si>
  <si>
    <t xml:space="preserve">jw marriott hotel frankfurt</t>
  </si>
  <si>
    <t xml:space="preserve">majestic cannes</t>
  </si>
  <si>
    <t xml:space="preserve">rosewood hotel</t>
  </si>
  <si>
    <t xml:space="preserve">hotel san regis</t>
  </si>
  <si>
    <t xml:space="preserve">the lodge &amp; spa at brush creek ranch</t>
  </si>
  <si>
    <t xml:space="preserve">chablé yucatán</t>
  </si>
  <si>
    <t xml:space="preserve">grand hotel du cap ferrat</t>
  </si>
  <si>
    <t xml:space="preserve">chable yucatan</t>
  </si>
  <si>
    <t xml:space="preserve">four seasons costa rica</t>
  </si>
  <si>
    <t xml:space="preserve">best hotels in new jersey</t>
  </si>
  <si>
    <t xml:space="preserve">فنادق خمس نجوم لندن</t>
  </si>
  <si>
    <t xml:space="preserve">intercontinental hotels weltweit</t>
  </si>
  <si>
    <t xml:space="preserve">the kimpton hotel</t>
  </si>
  <si>
    <t xml:space="preserve">top hotels in turks and caicos</t>
  </si>
  <si>
    <t xml:space="preserve">oberoi villas</t>
  </si>
  <si>
    <t xml:space="preserve">best hotels in rhode island</t>
  </si>
  <si>
    <t xml:space="preserve">hotéis amã</t>
  </si>
  <si>
    <t xml:space="preserve">kimpton hotel locations usa</t>
  </si>
  <si>
    <t xml:space="preserve">turks and caicos five star hotels</t>
  </si>
  <si>
    <t xml:space="preserve">four seasons hotel mykonos</t>
  </si>
  <si>
    <t xml:space="preserve">tajhotels</t>
  </si>
  <si>
    <t xml:space="preserve">st regis sarasota</t>
  </si>
  <si>
    <t xml:space="preserve">a mandria di murtoli</t>
  </si>
  <si>
    <t xml:space="preserve">grand hotel royal</t>
  </si>
  <si>
    <t xml:space="preserve">grand hotel continental</t>
  </si>
  <si>
    <t xml:space="preserve">sakura torre de tokio</t>
  </si>
  <si>
    <t xml:space="preserve">jw marriott hotel marina</t>
  </si>
  <si>
    <t xml:space="preserve">waldorf astoria kuwait</t>
  </si>
  <si>
    <t xml:space="preserve">turks and caicos best hoteles</t>
  </si>
  <si>
    <t xml:space="preserve">sina palazzo sant'angelo</t>
  </si>
  <si>
    <t xml:space="preserve">hoteles de 5 estrellas en jamaica</t>
  </si>
  <si>
    <t xml:space="preserve">palmaia the house of aia</t>
  </si>
  <si>
    <t xml:space="preserve">andronis minois</t>
  </si>
  <si>
    <t xml:space="preserve">hotel ca sagredo venecia</t>
  </si>
  <si>
    <t xml:space="preserve">hotel vilamoura anantara</t>
  </si>
  <si>
    <t xml:space="preserve">westin edina galleria</t>
  </si>
  <si>
    <t xml:space="preserve">hoteles trump</t>
  </si>
  <si>
    <t xml:space="preserve">regent hotel</t>
  </si>
  <si>
    <t xml:space="preserve">le sereno st barths</t>
  </si>
  <si>
    <t xml:space="preserve">aman hoteles wyoming</t>
  </si>
  <si>
    <t xml:space="preserve">north caicos hoteles</t>
  </si>
  <si>
    <t xml:space="preserve">fairmont taghazout bay</t>
  </si>
  <si>
    <t xml:space="preserve">st regis hotel astana</t>
  </si>
  <si>
    <t xml:space="preserve">taha a island resort spa polynésie</t>
  </si>
  <si>
    <t xml:space="preserve">vdara</t>
  </si>
  <si>
    <t xml:space="preserve">petit sacher wien;brand &amp; property;;de,brand,general,p1</t>
  </si>
  <si>
    <t xml:space="preserve">casa cipriani milano</t>
  </si>
  <si>
    <t xml:space="preserve">four seasons hotel tokyo</t>
  </si>
  <si>
    <t xml:space="preserve">shangri la chiang mai</t>
  </si>
  <si>
    <t xml:space="preserve">baglioni masseria muzza</t>
  </si>
  <si>
    <t xml:space="preserve">four seasons washington dc</t>
  </si>
  <si>
    <t xml:space="preserve">mandarin oriental vs ritz carlton prague</t>
  </si>
  <si>
    <t xml:space="preserve">resorts aman</t>
  </si>
  <si>
    <t xml:space="preserve">spg hotels colombia</t>
  </si>
  <si>
    <t xml:space="preserve">best hotels turks caicos</t>
  </si>
  <si>
    <t xml:space="preserve">khách sạn 5 sao tại paris</t>
  </si>
  <si>
    <t xml:space="preserve">hotels aman</t>
  </si>
  <si>
    <t xml:space="preserve">four seasons baku hotel</t>
  </si>
  <si>
    <t xml:space="preserve">four seasons baku</t>
  </si>
  <si>
    <t xml:space="preserve">raffles makati</t>
  </si>
  <si>
    <t xml:space="preserve">hotel chable merida</t>
  </si>
  <si>
    <t xml:space="preserve">mandarin oriental vs ritz carlton milan</t>
  </si>
  <si>
    <t xml:space="preserve">four seasons nile plaza</t>
  </si>
  <si>
    <t xml:space="preserve">explora atacama</t>
  </si>
  <si>
    <t xml:space="preserve">casa delfino</t>
  </si>
  <si>
    <t xml:space="preserve">hoteles en paris 5 estrellas</t>
  </si>
  <si>
    <t xml:space="preserve">tabacon thermal resort &amp; spa</t>
  </si>
  <si>
    <t xml:space="preserve">victoria jungfrau grand hotel &amp; spa</t>
  </si>
  <si>
    <t xml:space="preserve">le meridien bali jimbaran</t>
  </si>
  <si>
    <t xml:space="preserve">the beaumont hotel</t>
  </si>
  <si>
    <t xml:space="preserve">four seasons tokyo</t>
  </si>
  <si>
    <t xml:space="preserve">andaz costa rica</t>
  </si>
  <si>
    <t xml:space="preserve">fairmont marrakech</t>
  </si>
  <si>
    <t xml:space="preserve">hotel el palace barcelona</t>
  </si>
  <si>
    <t xml:space="preserve">castillo hotel son vida</t>
  </si>
  <si>
    <t xml:space="preserve">principessa forte dei marmi</t>
  </si>
  <si>
    <t xml:space="preserve">four seasons bora bora</t>
  </si>
  <si>
    <t xml:space="preserve">four seasons taormina</t>
  </si>
  <si>
    <t xml:space="preserve">hotel chable yucatan</t>
  </si>
  <si>
    <t xml:space="preserve">ritz hotel paris</t>
  </si>
  <si>
    <t xml:space="preserve">sls barcelona</t>
  </si>
  <si>
    <t xml:space="preserve">l hotel</t>
  </si>
  <si>
    <t xml:space="preserve">ritz carlton madrid</t>
  </si>
  <si>
    <t xml:space="preserve">villa le blanc gran meliá</t>
  </si>
  <si>
    <t xml:space="preserve">nobu ibiza</t>
  </si>
  <si>
    <t xml:space="preserve">list of intercontinental hotels</t>
  </si>
  <si>
    <t xml:space="preserve">best hotels oregon</t>
  </si>
  <si>
    <t xml:space="preserve">palace barcelona</t>
  </si>
  <si>
    <t xml:space="preserve">dromoland castle hotel</t>
  </si>
  <si>
    <t xml:space="preserve">six senses hotels</t>
  </si>
  <si>
    <t xml:space="preserve">the homestead resort</t>
  </si>
  <si>
    <t xml:space="preserve">homestead resort</t>
  </si>
  <si>
    <t xml:space="preserve">5 star hotels in turks and caicos</t>
  </si>
  <si>
    <t xml:space="preserve">grand hotel du palais royal</t>
  </si>
  <si>
    <t xml:space="preserve">"jw marriott los cabos beach resort"</t>
  </si>
  <si>
    <t xml:space="preserve">fs mykonos</t>
  </si>
  <si>
    <t xml:space="preserve">canyon ranch lenox</t>
  </si>
  <si>
    <t xml:space="preserve">under prive</t>
  </si>
  <si>
    <t xml:space="preserve">andaz lisboa</t>
  </si>
  <si>
    <t xml:space="preserve">jade mountain</t>
  </si>
  <si>
    <t xml:space="preserve">casa delfino hotel &amp; spa</t>
  </si>
  <si>
    <t xml:space="preserve">ararat park hyatt moscow</t>
  </si>
  <si>
    <t xml:space="preserve">hoteles 5 estrellas london</t>
  </si>
  <si>
    <t xml:space="preserve">on the rocks santorini</t>
  </si>
  <si>
    <t xml:space="preserve">la peschiera monopoli</t>
  </si>
  <si>
    <t xml:space="preserve">grand hotel royal sorrento</t>
  </si>
  <si>
    <t xml:space="preserve">miraval austin resort &amp; spa</t>
  </si>
  <si>
    <t xml:space="preserve">sofitel baru todo incluido</t>
  </si>
  <si>
    <t xml:space="preserve">ulusaba</t>
  </si>
  <si>
    <t xml:space="preserve">la quinta resort &amp; club</t>
  </si>
  <si>
    <t xml:space="preserve">the ritz carlton yacht collection</t>
  </si>
  <si>
    <t xml:space="preserve">four seasons hotel shanghai</t>
  </si>
  <si>
    <t xml:space="preserve">hoteles de 5 estrellas en valle sagrado</t>
  </si>
  <si>
    <t xml:space="preserve">w atlanta midtown</t>
  </si>
  <si>
    <t xml:space="preserve">shutters hotel</t>
  </si>
  <si>
    <t xml:space="preserve">hutton hotel</t>
  </si>
  <si>
    <t xml:space="preserve">bairro alto hotel</t>
  </si>
  <si>
    <t xml:space="preserve">alila napa valley</t>
  </si>
  <si>
    <t xml:space="preserve">hoteles la perouse</t>
  </si>
  <si>
    <t xml:space="preserve">jw marriott phoenix desert ridge resort &amp; spa</t>
  </si>
  <si>
    <t xml:space="preserve">islas caicos hotels</t>
  </si>
  <si>
    <t xml:space="preserve">paradisus la esmeralda</t>
  </si>
  <si>
    <t xml:space="preserve">hoteles 5 estrellas caribe</t>
  </si>
  <si>
    <t xml:space="preserve">boscolo hotel budapest</t>
  </si>
  <si>
    <t xml:space="preserve">the alhambra palace hotel</t>
  </si>
  <si>
    <t xml:space="preserve">fairmont tremblant</t>
  </si>
  <si>
    <t xml:space="preserve">sanasaryan han a luxury collection hotel istanbul</t>
  </si>
  <si>
    <t xml:space="preserve">aria hotel budapest</t>
  </si>
  <si>
    <t xml:space="preserve">baru calablanca beach resort</t>
  </si>
  <si>
    <t xml:space="preserve">peninsula tokyo</t>
  </si>
  <si>
    <t xml:space="preserve">nyhavn 71</t>
  </si>
  <si>
    <t xml:space="preserve">aman hotels &amp; resorts</t>
  </si>
  <si>
    <t xml:space="preserve">hyatt centric waikiki</t>
  </si>
  <si>
    <t xml:space="preserve">the plaza</t>
  </si>
  <si>
    <t xml:space="preserve">unico 20°87° hotel riviera maya</t>
  </si>
  <si>
    <t xml:space="preserve">hotel beaux arts miami</t>
  </si>
  <si>
    <t xml:space="preserve">the tokyo edition ginza</t>
  </si>
  <si>
    <t xml:space="preserve">four seasons resort</t>
  </si>
  <si>
    <t xml:space="preserve">the ampersand</t>
  </si>
  <si>
    <t xml:space="preserve">hotel the peninsula</t>
  </si>
  <si>
    <t xml:space="preserve">the peninsula</t>
  </si>
  <si>
    <t xml:space="preserve">the ranch at laguna beach</t>
  </si>
  <si>
    <t xml:space="preserve">four seasons hotel hampshire</t>
  </si>
  <si>
    <t xml:space="preserve">melia orlando celebration</t>
  </si>
  <si>
    <t xml:space="preserve">molitor paris</t>
  </si>
  <si>
    <t xml:space="preserve">grand hotel villa serbelloni</t>
  </si>
  <si>
    <t xml:space="preserve">el corazón del shura</t>
  </si>
  <si>
    <t xml:space="preserve">la peschiera hotel</t>
  </si>
  <si>
    <t xml:space="preserve">ihg kimpton hotels</t>
  </si>
  <si>
    <t xml:space="preserve">montage resorts</t>
  </si>
  <si>
    <t xml:space="preserve">imperial hotel tokyo</t>
  </si>
  <si>
    <t xml:space="preserve">cupón mandarinoriental</t>
  </si>
  <si>
    <t xml:space="preserve">the charles hotel</t>
  </si>
  <si>
    <t xml:space="preserve">hotel aman</t>
  </si>
  <si>
    <t xml:space="preserve">the ampersand hotel</t>
  </si>
  <si>
    <t xml:space="preserve">ac santa paula</t>
  </si>
  <si>
    <t xml:space="preserve">point grace</t>
  </si>
  <si>
    <t xml:space="preserve">hotel barriere le majestic cannes</t>
  </si>
  <si>
    <t xml:space="preserve">perry lane hotel</t>
  </si>
  <si>
    <t xml:space="preserve">four seasons resort bora bora</t>
  </si>
  <si>
    <t xml:space="preserve">hotel san regis paris france</t>
  </si>
  <si>
    <t xml:space="preserve">six senses yao noi</t>
  </si>
  <si>
    <t xml:space="preserve">mangroove costa rica</t>
  </si>
  <si>
    <t xml:space="preserve">el mangroove autograph collection</t>
  </si>
  <si>
    <t xml:space="preserve">the dylan hotel amsterdam</t>
  </si>
  <si>
    <t xml:space="preserve">hotel ritz parís</t>
  </si>
  <si>
    <t xml:space="preserve">viceroy hotels &amp; resorts</t>
  </si>
  <si>
    <t xml:space="preserve">park hyatt zurich</t>
  </si>
  <si>
    <t xml:space="preserve">gaylord national resort &amp; convention center</t>
  </si>
  <si>
    <t xml:space="preserve">edition london</t>
  </si>
  <si>
    <t xml:space="preserve">the artist grand hotel of art</t>
  </si>
  <si>
    <t xml:space="preserve">one and only the palm</t>
  </si>
  <si>
    <t xml:space="preserve">palacio solecio</t>
  </si>
  <si>
    <t xml:space="preserve">tabacon resort</t>
  </si>
  <si>
    <t xml:space="preserve">majestic hotel cannes</t>
  </si>
  <si>
    <t xml:space="preserve">bvlgari hotels &amp; resorts</t>
  </si>
  <si>
    <t xml:space="preserve">nantipa costa rica</t>
  </si>
  <si>
    <t xml:space="preserve">il san pietro di positano</t>
  </si>
  <si>
    <t xml:space="preserve">hotel plaza nueva york</t>
  </si>
  <si>
    <t xml:space="preserve">the dylan</t>
  </si>
  <si>
    <t xml:space="preserve">best hotels in tennessee</t>
  </si>
  <si>
    <t xml:space="preserve">the peninsula locations</t>
  </si>
  <si>
    <t xml:space="preserve">ritz puerto rico</t>
  </si>
  <si>
    <t xml:space="preserve">kimpton</t>
  </si>
  <si>
    <t xml:space="preserve">bulgari marriott</t>
  </si>
  <si>
    <t xml:space="preserve">5 star hotels in new jersey</t>
  </si>
  <si>
    <t xml:space="preserve">hotel el palace</t>
  </si>
  <si>
    <t xml:space="preserve">fairmont hotel luxe</t>
  </si>
  <si>
    <t xml:space="preserve">st regis kanai</t>
  </si>
  <si>
    <t xml:space="preserve">kimpton hotel las vegas</t>
  </si>
  <si>
    <t xml:space="preserve">park hyatt london river thames residences</t>
  </si>
  <si>
    <t xml:space="preserve">new mexico hotels</t>
  </si>
  <si>
    <t xml:space="preserve">hotel four seasons costa rica</t>
  </si>
  <si>
    <t xml:space="preserve">hotels nebraska</t>
  </si>
  <si>
    <t xml:space="preserve">5 star hotels in ohio</t>
  </si>
  <si>
    <t xml:space="preserve">hotel villa padierna</t>
  </si>
  <si>
    <t xml:space="preserve">estoy en méxico. yo soy un viajero de lujo buscando alojamientos premium, 
servicio excepcional, y una experiencia de alta gama, exclusiva. ¿qué 
comodidades ofrece hilton en sus hoteles de estadía prolongada para hacer 
las estadías a largo plazo más cómodas?</t>
  </si>
  <si>
    <t xml:space="preserve">hotel turks</t>
  </si>
  <si>
    <t xml:space="preserve">peninsula penthouse</t>
  </si>
  <si>
    <t xml:space="preserve">list of fairmont hotels</t>
  </si>
  <si>
    <t xml:space="preserve">aman hotel logo png</t>
  </si>
  <si>
    <t xml:space="preserve">four season mykonos</t>
  </si>
  <si>
    <t xml:space="preserve">st regis moscow</t>
  </si>
  <si>
    <t xml:space="preserve">koro sun resort fiji</t>
  </si>
  <si>
    <t xml:space="preserve">park hyatt ningbo</t>
  </si>
  <si>
    <t xml:space="preserve">rocco forte milano hotel</t>
  </si>
  <si>
    <t xml:space="preserve">¿qué servicios exclusivos ofrecen los hoteles mandarin oriental en estas 
ciudades?</t>
  </si>
  <si>
    <t xml:space="preserve">kempinski bali</t>
  </si>
  <si>
    <t xml:space="preserve">cosmopolitan suites</t>
  </si>
  <si>
    <t xml:space="preserve">hotel u14 autograph collection</t>
  </si>
  <si>
    <t xml:space="preserve">alexandria escocia</t>
  </si>
  <si>
    <t xml:space="preserve">piscina en mgm grand hotel and casino</t>
  </si>
  <si>
    <t xml:space="preserve">hotel en turk and caicos</t>
  </si>
  <si>
    <t xml:space="preserve">hotel nacional moscu</t>
  </si>
  <si>
    <t xml:space="preserve">ca sagredo hotel</t>
  </si>
  <si>
    <t xml:space="preserve">the talbott hotel</t>
  </si>
  <si>
    <t xml:space="preserve">hotel four seasons shanghai</t>
  </si>
  <si>
    <t xml:space="preserve">the fish hotel</t>
  </si>
  <si>
    <t xml:space="preserve">hoteis turks and caicos</t>
  </si>
  <si>
    <t xml:space="preserve">wedgewood hotel &amp; spa</t>
  </si>
  <si>
    <t xml:space="preserve">sheraton istanbul levent</t>
  </si>
  <si>
    <t xml:space="preserve">hoteles ashdown</t>
  </si>
  <si>
    <t xml:space="preserve">grand turk hoteles</t>
  </si>
  <si>
    <t xml:space="preserve">hoteles de 5 estrellas en sídney</t>
  </si>
  <si>
    <t xml:space="preserve">the westin lake las vegas resort &amp; spa</t>
  </si>
  <si>
    <t xml:space="preserve">park hotel kenmare</t>
  </si>
  <si>
    <t xml:space="preserve">fairmont san antonio</t>
  </si>
  <si>
    <t xml:space="preserve">hotel four seasons nile plaza</t>
  </si>
  <si>
    <t xml:space="preserve">lodge &amp; spa at brush creek ranch</t>
  </si>
  <si>
    <t xml:space="preserve">park hyatt guangzhou</t>
  </si>
  <si>
    <t xml:space="preserve">فنادق 5 نجوم في روما</t>
  </si>
  <si>
    <t xml:space="preserve">hoteles de 5 estrellas en hong kong</t>
  </si>
  <si>
    <t xml:space="preserve">crown towers perth</t>
  </si>
  <si>
    <t xml:space="preserve">hotel anantara vilamoura</t>
  </si>
  <si>
    <t xml:space="preserve">canaves oia epitome</t>
  </si>
  <si>
    <t xml:space="preserve">casa cipriani new york</t>
  </si>
  <si>
    <t xml:space="preserve">conrad shanghai</t>
  </si>
  <si>
    <t xml:space="preserve">anantara siam bangkok</t>
  </si>
  <si>
    <t xml:space="preserve">the wittmore</t>
  </si>
  <si>
    <t xml:space="preserve">roseworthy hoteles</t>
  </si>
  <si>
    <t xml:space="preserve">castel monastero</t>
  </si>
  <si>
    <t xml:space="preserve">archipelagos hotel mykonos</t>
  </si>
  <si>
    <t xml:space="preserve">bohemian hotel celebration fl</t>
  </si>
  <si>
    <t xml:space="preserve">fourseasons</t>
  </si>
  <si>
    <t xml:space="preserve">paris marriott opera ambassador hotel</t>
  </si>
  <si>
    <t xml:space="preserve">hotel westin playa conchal</t>
  </si>
  <si>
    <t xml:space="preserve">anantara vilamoura</t>
  </si>
  <si>
    <t xml:space="preserve">jw marriott san antonio</t>
  </si>
  <si>
    <t xml:space="preserve">park hyatt istanbul</t>
  </si>
  <si>
    <t xml:space="preserve">fairmont riyadh</t>
  </si>
  <si>
    <t xml:space="preserve">four seasons hotel bangkok</t>
  </si>
  <si>
    <t xml:space="preserve">pendry chicago</t>
  </si>
  <si>
    <t xml:space="preserve">hotel wittmore</t>
  </si>
  <si>
    <t xml:space="preserve">w chicago lakeshore</t>
  </si>
  <si>
    <t xml:space="preserve">precios fogo island inn</t>
  </si>
  <si>
    <t xml:space="preserve">preferred+hotels</t>
  </si>
  <si>
    <t xml:space="preserve">hotel london 5 star</t>
  </si>
  <si>
    <t xml:space="preserve">four seasons hotel houston</t>
  </si>
  <si>
    <t xml:space="preserve">oceana beach club hotel</t>
  </si>
  <si>
    <t xml:space="preserve">the plaza hotel</t>
  </si>
  <si>
    <t xml:space="preserve">5 star hotel solo</t>
  </si>
  <si>
    <t xml:space="preserve">four seasons cap ferrat</t>
  </si>
  <si>
    <t xml:space="preserve">the dorchester collection hotels</t>
  </si>
  <si>
    <t xml:space="preserve">ampersand hotel</t>
  </si>
  <si>
    <t xml:space="preserve">barriere le majestic cannes</t>
  </si>
  <si>
    <t xml:space="preserve">hoteles de 5 estrellas en la magdalena contreras</t>
  </si>
  <si>
    <t xml:space="preserve">peninsula hoteles</t>
  </si>
  <si>
    <t xml:space="preserve">omni homestead resort</t>
  </si>
  <si>
    <t xml:space="preserve">hoteles en turk and caicos all inclusive</t>
  </si>
  <si>
    <t xml:space="preserve">sls baha mar</t>
  </si>
  <si>
    <t xml:space="preserve">four seasons hk</t>
  </si>
  <si>
    <t xml:space="preserve">hotel la perouse</t>
  </si>
  <si>
    <t xml:space="preserve">sofitel hotels</t>
  </si>
  <si>
    <t xml:space="preserve">cannes majestic hotel</t>
  </si>
  <si>
    <t xml:space="preserve">son bunyola hotel</t>
  </si>
  <si>
    <t xml:space="preserve">riggs washington dc</t>
  </si>
  <si>
    <t xml:space="preserve">tambo del inka</t>
  </si>
  <si>
    <t xml:space="preserve">preferred hotels resorts</t>
  </si>
  <si>
    <t xml:space="preserve">cavalta boutique hotel seville</t>
  </si>
  <si>
    <t xml:space="preserve">hotel waldorf astoria costa rica</t>
  </si>
  <si>
    <t xml:space="preserve">villa gallici</t>
  </si>
  <si>
    <t xml:space="preserve">four seasons marunouchi</t>
  </si>
  <si>
    <t xml:space="preserve">gleneagles hotel</t>
  </si>
  <si>
    <t xml:space="preserve">hotel tambo del inka</t>
  </si>
  <si>
    <t xml:space="preserve">fairmont doha</t>
  </si>
  <si>
    <t xml:space="preserve">palladio hotel buenos aires</t>
  </si>
  <si>
    <t xml:space="preserve">six senses</t>
  </si>
  <si>
    <t xml:space="preserve">gran melia</t>
  </si>
  <si>
    <t xml:space="preserve">fairmont hotel vancouver</t>
  </si>
  <si>
    <t xml:space="preserve">hoteles paris 5 estrellas</t>
  </si>
  <si>
    <t xml:space="preserve">fairmont nile city</t>
  </si>
  <si>
    <t xml:space="preserve">westin hotels &amp; resorts</t>
  </si>
  <si>
    <t xml:space="preserve">four seasons rabat</t>
  </si>
  <si>
    <t xml:space="preserve">four seasons florencia</t>
  </si>
  <si>
    <t xml:space="preserve">el palace barcelona</t>
  </si>
  <si>
    <t xml:space="preserve">the peninsula tokyo</t>
  </si>
  <si>
    <t xml:space="preserve">four seasons hong kong</t>
  </si>
  <si>
    <t xml:space="preserve">best hotels in nebraska</t>
  </si>
  <si>
    <t xml:space="preserve">best hotels in alabama</t>
  </si>
  <si>
    <t xml:space="preserve">banyan tree phuket</t>
  </si>
  <si>
    <t xml:space="preserve">torre maizza</t>
  </si>
  <si>
    <t xml:space="preserve">el palace hotel</t>
  </si>
  <si>
    <t xml:space="preserve">the edition miami</t>
  </si>
  <si>
    <t xml:space="preserve">hotel sacher österreich luxus;brand &amp; property;;de,brand,general,p1</t>
  </si>
  <si>
    <t xml:space="preserve">ashford castle</t>
  </si>
  <si>
    <t xml:space="preserve">one and only cape town</t>
  </si>
  <si>
    <t xml:space="preserve">villa le blanc</t>
  </si>
  <si>
    <t xml:space="preserve">5 star hotels turks and caicos</t>
  </si>
  <si>
    <t xml:space="preserve">best hotels in wisconsin</t>
  </si>
  <si>
    <t xml:space="preserve">cap juluca</t>
  </si>
  <si>
    <t xml:space="preserve">oberoi hotels &amp; resorts</t>
  </si>
  <si>
    <t xml:space="preserve">hotel tiara park</t>
  </si>
  <si>
    <t xml:space="preserve">the ritz london</t>
  </si>
  <si>
    <t xml:space="preserve">best hotels in michigan</t>
  </si>
  <si>
    <t xml:space="preserve">san regis</t>
  </si>
  <si>
    <t xml:space="preserve">how many 5 star hotels in london</t>
  </si>
  <si>
    <t xml:space="preserve">andaz</t>
  </si>
  <si>
    <t xml:space="preserve">hotel ritz madrid</t>
  </si>
  <si>
    <t xml:space="preserve">best hotels new mexico</t>
  </si>
  <si>
    <t xml:space="preserve">amangani resorts</t>
  </si>
  <si>
    <t xml:space="preserve">5 star hotels in pennsylvania</t>
  </si>
  <si>
    <t xml:space="preserve">ritz carlton hotels portugal</t>
  </si>
  <si>
    <t xml:space="preserve">top hotels in new mexico</t>
  </si>
  <si>
    <t xml:space="preserve">hotel isole turks e caicos</t>
  </si>
  <si>
    <t xml:space="preserve">estoy en méxico. yo soy un viajero de lujo buscando alojamientos premium, 
servicio excepcional, y una experiencia de alta gama, exclusiva. ¿cuál es 
el proceso para alcanzar estatus élite dentro del programa hilton honors?</t>
  </si>
  <si>
    <t xml:space="preserve">estoy en méxico. estoy viajando solo por placer y quiero un hotel que se 
sienta seguro, cómodo y acogedor para huéspedes que viajan solos. ¿hay 
ofertas o paquetes exclusivos disponibles para los hoteles de lujo de 
hilton?</t>
  </si>
  <si>
    <t xml:space="preserve">four seasons resort mykonos</t>
  </si>
  <si>
    <t xml:space="preserve">khwai river lodge</t>
  </si>
  <si>
    <t xml:space="preserve">peace hotel shanghai porque es famoso</t>
  </si>
  <si>
    <t xml:space="preserve">acerca de delta hotels riviera nayarit, an all-inclusive resort</t>
  </si>
  <si>
    <t xml:space="preserve">hotel renaissance barcelona hotel</t>
  </si>
  <si>
    <t xml:space="preserve">sofitel saigon plaza</t>
  </si>
  <si>
    <t xml:space="preserve">ambiente sedona</t>
  </si>
  <si>
    <t xml:space="preserve">slaak</t>
  </si>
  <si>
    <t xml:space="preserve">hotel alida</t>
  </si>
  <si>
    <t xml:space="preserve">hotel kia ora resort &amp; spa</t>
  </si>
  <si>
    <t xml:space="preserve">kanai collection</t>
  </si>
  <si>
    <t xml:space="preserve">rocco forte house</t>
  </si>
  <si>
    <t xml:space="preserve">st paul hotel</t>
  </si>
  <si>
    <t xml:space="preserve">hoteles en indian wells</t>
  </si>
  <si>
    <t xml:space="preserve">the santa maria hotel &amp; golf resort</t>
  </si>
  <si>
    <t xml:space="preserve">duo milan porta nuova</t>
  </si>
  <si>
    <t xml:space="preserve">gran hotel royal sorrento</t>
  </si>
  <si>
    <t xml:space="preserve">hotel rabat 5 estrellas</t>
  </si>
  <si>
    <t xml:space="preserve">hotel u14</t>
  </si>
  <si>
    <t xml:space="preserve">hotel viceroy</t>
  </si>
  <si>
    <t xml:space="preserve">hoteles en st barts</t>
  </si>
  <si>
    <t xml:space="preserve">cuantos four seasons hay en el mundo</t>
  </si>
  <si>
    <t xml:space="preserve">hoteles fairmont en el mundo</t>
  </si>
  <si>
    <t xml:space="preserve">vestibul palace split</t>
  </si>
  <si>
    <t xml:space="preserve">bellevue palace</t>
  </si>
  <si>
    <t xml:space="preserve">miraval austin resort and spa</t>
  </si>
  <si>
    <t xml:space="preserve">muu bangkok hotel</t>
  </si>
  <si>
    <t xml:space="preserve">palmaia</t>
  </si>
  <si>
    <t xml:space="preserve">sanasaryan han, a luxury collection hotel, istanbul</t>
  </si>
  <si>
    <t xml:space="preserve">krabey island</t>
  </si>
  <si>
    <t xml:space="preserve">etereo kanai</t>
  </si>
  <si>
    <t xml:space="preserve">fairmont château laurier</t>
  </si>
  <si>
    <t xml:space="preserve">hotel savoy palace</t>
  </si>
  <si>
    <t xml:space="preserve">le grand bellevue</t>
  </si>
  <si>
    <t xml:space="preserve">mejores hoteles de europa</t>
  </si>
  <si>
    <t xml:space="preserve">rosewood miyakojima</t>
  </si>
  <si>
    <t xml:space="preserve">chateau hotel &amp; spa grand barrail</t>
  </si>
  <si>
    <t xml:space="preserve">hotel gabrielli venecia</t>
  </si>
  <si>
    <t xml:space="preserve">alila</t>
  </si>
  <si>
    <t xml:space="preserve">hotel londres 5 estrellas</t>
  </si>
  <si>
    <t xml:space="preserve">necker island richard branson</t>
  </si>
  <si>
    <t xml:space="preserve">andaz méxico city condesa</t>
  </si>
  <si>
    <t xml:space="preserve">hotel ca sagredo</t>
  </si>
  <si>
    <t xml:space="preserve">le meridien</t>
  </si>
  <si>
    <t xml:space="preserve">grand hyatt tokyo roppongi</t>
  </si>
  <si>
    <t xml:space="preserve">hotel la reserve geneve</t>
  </si>
  <si>
    <t xml:space="preserve">habitaciones en hyatt regency maui resort and spa</t>
  </si>
  <si>
    <t xml:space="preserve">savoy palace madeira</t>
  </si>
  <si>
    <t xml:space="preserve">hotel savoy madeira</t>
  </si>
  <si>
    <t xml:space="preserve">jw marriott tokyo</t>
  </si>
  <si>
    <t xml:space="preserve">heritage le telfair</t>
  </si>
  <si>
    <t xml:space="preserve">la reserve geneve</t>
  </si>
  <si>
    <t xml:space="preserve">hotel 5 estrellas en guanacaste</t>
  </si>
  <si>
    <t xml:space="preserve">best hoteles en the caribbean</t>
  </si>
  <si>
    <t xml:space="preserve">cape cadogan boutique hotel</t>
  </si>
  <si>
    <t xml:space="preserve">le pavillon de la reine</t>
  </si>
  <si>
    <t xml:space="preserve">one and only dubai</t>
  </si>
  <si>
    <t xml:space="preserve">archipelagos hotel</t>
  </si>
  <si>
    <t xml:space="preserve">hotel de bourgtheroulde autograph collection</t>
  </si>
  <si>
    <t xml:space="preserve">langham hotel</t>
  </si>
  <si>
    <t xml:space="preserve">anantara al jabal al akhdar</t>
  </si>
  <si>
    <t xml:space="preserve">hotel amsterdam pulitzer</t>
  </si>
  <si>
    <t xml:space="preserve">koro sun resort and rainforest spa fiji</t>
  </si>
  <si>
    <t xml:space="preserve">peninsula locations</t>
  </si>
  <si>
    <t xml:space="preserve">renaissance tuscany il ciocco resort &amp; spa</t>
  </si>
  <si>
    <t xml:space="preserve">paris marriott opera ambassador</t>
  </si>
  <si>
    <t xml:space="preserve">alila jabal akhdar</t>
  </si>
  <si>
    <t xml:space="preserve">aurora anguilla resort &amp; golf club</t>
  </si>
  <si>
    <t xml:space="preserve">four seasons tunis</t>
  </si>
  <si>
    <t xml:space="preserve">raffles bali</t>
  </si>
  <si>
    <t xml:space="preserve">enchantment resort</t>
  </si>
  <si>
    <t xml:space="preserve">omni nashville</t>
  </si>
  <si>
    <t xml:space="preserve">fairmont waterfront</t>
  </si>
  <si>
    <t xml:space="preserve">fairmount san antonio</t>
  </si>
  <si>
    <t xml:space="preserve">chateau lake louise hotel</t>
  </si>
  <si>
    <t xml:space="preserve">hotel boscolo budapest</t>
  </si>
  <si>
    <t xml:space="preserve">hotel villa franca</t>
  </si>
  <si>
    <t xml:space="preserve">castello di casole</t>
  </si>
  <si>
    <t xml:space="preserve">ritz dorado residences</t>
  </si>
  <si>
    <t xml:space="preserve">four seasons amman</t>
  </si>
  <si>
    <t xml:space="preserve">mgm hotel</t>
  </si>
  <si>
    <t xml:space="preserve">westin hotels resorts</t>
  </si>
  <si>
    <t xml:space="preserve">grotta giusti hoteles</t>
  </si>
  <si>
    <t xml:space="preserve">1 hotel mayfair</t>
  </si>
  <si>
    <t xml:space="preserve">baglioni resort sardinia</t>
  </si>
  <si>
    <t xml:space="preserve">hoteles de 5 estrellas en shanghái</t>
  </si>
  <si>
    <t xml:space="preserve">park hyatt washington</t>
  </si>
  <si>
    <t xml:space="preserve">bulgari hotels &amp; resorts</t>
  </si>
  <si>
    <t xml:space="preserve">hotel four seasons nile plaza el cairo</t>
  </si>
  <si>
    <t xml:space="preserve">london marriott hotel grosvenor square</t>
  </si>
  <si>
    <t xml:space="preserve">siam kempinski hotel bangkok</t>
  </si>
  <si>
    <t xml:space="preserve">sublime samana hotel &amp; residences</t>
  </si>
  <si>
    <t xml:space="preserve">viceroy at ombria algarve</t>
  </si>
  <si>
    <t xml:space="preserve">four seasons miami</t>
  </si>
  <si>
    <t xml:space="preserve">fairmont royal york</t>
  </si>
  <si>
    <t xml:space="preserve">hotel augustine praga</t>
  </si>
  <si>
    <t xml:space="preserve">hotel st regis paris</t>
  </si>
  <si>
    <t xml:space="preserve">5 estrellas warehouse</t>
  </si>
  <si>
    <t xml:space="preserve">great fosters</t>
  </si>
  <si>
    <t xml:space="preserve">hotel unico 20 87 riviera maya</t>
  </si>
  <si>
    <t xml:space="preserve">sheraton krakow</t>
  </si>
  <si>
    <t xml:space="preserve">fairmont quasar istanbul</t>
  </si>
  <si>
    <t xml:space="preserve">intercontinental hotel &amp; resorts</t>
  </si>
  <si>
    <t xml:space="preserve">melia celebration</t>
  </si>
  <si>
    <t xml:space="preserve">st regis amman</t>
  </si>
  <si>
    <t xml:space="preserve">hotel villa serbelloni</t>
  </si>
  <si>
    <t xml:space="preserve">la cheneviere hotel</t>
  </si>
  <si>
    <t xml:space="preserve">mandarin oriental canouan</t>
  </si>
  <si>
    <t xml:space="preserve">mandarin oriental shenzhen</t>
  </si>
  <si>
    <t xml:space="preserve">byblos st tropez</t>
  </si>
  <si>
    <t xml:space="preserve">majestic cannes hotel</t>
  </si>
  <si>
    <t xml:space="preserve">anantara bazaruto</t>
  </si>
  <si>
    <t xml:space="preserve">viceroy boutique hotel</t>
  </si>
  <si>
    <t xml:space="preserve">four seasons orlando</t>
  </si>
  <si>
    <t xml:space="preserve">hotel st barts</t>
  </si>
  <si>
    <t xml:space="preserve">four season españa</t>
  </si>
  <si>
    <t xml:space="preserve">amanyara</t>
  </si>
  <si>
    <t xml:space="preserve">four seasons estambul</t>
  </si>
  <si>
    <t xml:space="preserve">four seasons napa</t>
  </si>
  <si>
    <t xml:space="preserve">ritz paris hotel</t>
  </si>
  <si>
    <t xml:space="preserve">renaissance bali uluwatu resort &amp; spa</t>
  </si>
  <si>
    <t xml:space="preserve">marriott paris opera</t>
  </si>
  <si>
    <t xml:space="preserve">cap ferrat four seasons</t>
  </si>
  <si>
    <t xml:space="preserve">the lodge mallorca</t>
  </si>
  <si>
    <t xml:space="preserve">tabacon resort costa rica</t>
  </si>
  <si>
    <t xml:space="preserve">camby.es</t>
  </si>
  <si>
    <t xml:space="preserve">la reserve paris</t>
  </si>
  <si>
    <t xml:space="preserve">sun gardens dubrovnik</t>
  </si>
  <si>
    <t xml:space="preserve">palace hotel barcelona</t>
  </si>
  <si>
    <t xml:space="preserve">hotel byblos saint tropez</t>
  </si>
  <si>
    <t xml:space="preserve">six senses southern dunes</t>
  </si>
  <si>
    <t xml:space="preserve">chable resort</t>
  </si>
  <si>
    <t xml:space="preserve">estancias de lujo en fairmont la hacienda costa del sol</t>
  </si>
  <si>
    <t xml:space="preserve">miami beach edition</t>
  </si>
  <si>
    <t xml:space="preserve">radisson collection seville</t>
  </si>
  <si>
    <t xml:space="preserve">the langham hong kong</t>
  </si>
  <si>
    <t xml:space="preserve">explora valle sagrado</t>
  </si>
  <si>
    <t xml:space="preserve">preferred resorts</t>
  </si>
  <si>
    <t xml:space="preserve">فنادق مركزية في أوروبا</t>
  </si>
  <si>
    <t xml:space="preserve">homestead resort omni</t>
  </si>
  <si>
    <t xml:space="preserve">four seasons hotel tokyo at otemachi</t>
  </si>
  <si>
    <t xml:space="preserve">hotel arts</t>
  </si>
  <si>
    <t xml:space="preserve">queridosecreto.com</t>
  </si>
  <si>
    <t xml:space="preserve">hotel en portals nous mallorca</t>
  </si>
  <si>
    <t xml:space="preserve">hotel palacio de santa paula</t>
  </si>
  <si>
    <t xml:space="preserve">kimpton hotel</t>
  </si>
  <si>
    <t xml:space="preserve">four seasons houston</t>
  </si>
  <si>
    <t xml:space="preserve">selman marrakech</t>
  </si>
  <si>
    <t xml:space="preserve">nantipa santa teresa</t>
  </si>
  <si>
    <t xml:space="preserve">almanac x alcron prague</t>
  </si>
  <si>
    <t xml:space="preserve">verdura resort sicily</t>
  </si>
  <si>
    <t xml:space="preserve">ladera hotel</t>
  </si>
  <si>
    <t xml:space="preserve">hotel saint regis</t>
  </si>
  <si>
    <t xml:space="preserve">fogo island inn</t>
  </si>
  <si>
    <t xml:space="preserve">villa le blanc minorca</t>
  </si>
  <si>
    <t xml:space="preserve">viceroy resorts</t>
  </si>
  <si>
    <t xml:space="preserve">fairmont la hacienda</t>
  </si>
  <si>
    <t xml:space="preserve">intercontinental hotel locations</t>
  </si>
  <si>
    <t xml:space="preserve">fairmont marbella</t>
  </si>
  <si>
    <t xml:space="preserve">jw marriott cannes</t>
  </si>
  <si>
    <t xml:space="preserve">the westin marbella</t>
  </si>
  <si>
    <t xml:space="preserve">el.palace hotel</t>
  </si>
  <si>
    <t xml:space="preserve">nobu ibiza bay</t>
  </si>
  <si>
    <t xml:space="preserve">bulgari hotels marriott</t>
  </si>
  <si>
    <t xml:space="preserve">edition hotel locations</t>
  </si>
  <si>
    <t xml:space="preserve">kimpton hotels las vegas</t>
  </si>
  <si>
    <t xml:space="preserve">the lodge and spa at brush creek ranch wyoming</t>
  </si>
  <si>
    <t xml:space="preserve">أفضل فنادق خمس نجوم في أوروبا</t>
  </si>
  <si>
    <t xml:space="preserve">byblos hotel</t>
  </si>
  <si>
    <t xml:space="preserve">6 senses resort</t>
  </si>
  <si>
    <t xml:space="preserve">montage hotels locations</t>
  </si>
  <si>
    <t xml:space="preserve">cape town one and only</t>
  </si>
  <si>
    <t xml:space="preserve">ritz parís</t>
  </si>
  <si>
    <t xml:space="preserve">فنادق ذات تقييم عالي في أوروبا</t>
  </si>
  <si>
    <t xml:space="preserve">hotel fairmont</t>
  </si>
  <si>
    <t xml:space="preserve">kimpton properties</t>
  </si>
  <si>
    <t xml:space="preserve">four seasons in costa rica</t>
  </si>
  <si>
    <t xml:space="preserve">hotel sacher offers;brand &amp; property;;en,brand,general,p1</t>
  </si>
  <si>
    <t xml:space="preserve">hotel westin lima</t>
  </si>
  <si>
    <t xml:space="preserve">saint regis</t>
  </si>
  <si>
    <t xml:space="preserve">trump hotel</t>
  </si>
  <si>
    <t xml:space="preserve">best hotels in new mexico</t>
  </si>
  <si>
    <t xml:space="preserve">taj hotel locations</t>
  </si>
  <si>
    <t xml:space="preserve">fairmont</t>
  </si>
  <si>
    <t xml:space="preserve">castille paris</t>
  </si>
  <si>
    <t xml:space="preserve">fairmont hotels resorts</t>
  </si>
  <si>
    <t xml:space="preserve">sanctuary cap cana by alsol</t>
  </si>
  <si>
    <t xml:space="preserve">5 star hotels in caribbean</t>
  </si>
  <si>
    <t xml:space="preserve">the westin carlsbad resort &amp; spa</t>
  </si>
  <si>
    <t xml:space="preserve">arts hotel</t>
  </si>
  <si>
    <t xml:space="preserve">fairmont hotels and resorts locations</t>
  </si>
  <si>
    <t xml:space="preserve">hotels asia</t>
  </si>
  <si>
    <t xml:space="preserve">hotels in maine</t>
  </si>
  <si>
    <t xml:space="preserve">turks and caicos top hotels</t>
  </si>
  <si>
    <t xml:space="preserve">trump international hotel and tower</t>
  </si>
  <si>
    <t xml:space="preserve">hoteles rocco forte</t>
  </si>
  <si>
    <t xml:space="preserve">mykonos four seasons</t>
  </si>
  <si>
    <t xml:space="preserve">union house lukang</t>
  </si>
  <si>
    <t xml:space="preserve">accor hera</t>
  </si>
  <si>
    <t xml:space="preserve">hotel fouquet's mykonos</t>
  </si>
  <si>
    <t xml:space="preserve">pendry west hollywood hotel</t>
  </si>
  <si>
    <t xml:space="preserve">st regis houston</t>
  </si>
  <si>
    <t xml:space="preserve">rancho san ysidro</t>
  </si>
  <si>
    <t xml:space="preserve">wildflower farms</t>
  </si>
  <si>
    <t xml:space="preserve">hoteles en jamaica 5 estrellas</t>
  </si>
  <si>
    <t xml:space="preserve">hoteles nicaragua 5 estrellas</t>
  </si>
  <si>
    <t xml:space="preserve">itzana</t>
  </si>
  <si>
    <t xml:space="preserve">izmir marriot hotel</t>
  </si>
  <si>
    <t xml:space="preserve">andaz lisbon</t>
  </si>
  <si>
    <t xml:space="preserve">como hotel turk and caicos</t>
  </si>
  <si>
    <t xml:space="preserve">hoteles de 5 estrellas en dubái</t>
  </si>
  <si>
    <t xml:space="preserve">st barts</t>
  </si>
  <si>
    <t xml:space="preserve">hotel villa carlotta</t>
  </si>
  <si>
    <t xml:space="preserve">talbott hotel</t>
  </si>
  <si>
    <t xml:space="preserve">ulusaba private game reserve</t>
  </si>
  <si>
    <t xml:space="preserve">hotel rocco forte milano</t>
  </si>
  <si>
    <t xml:space="preserve">six senses amaala</t>
  </si>
  <si>
    <t xml:space="preserve">sonnenalp hotel</t>
  </si>
  <si>
    <t xml:space="preserve">muu hotel</t>
  </si>
  <si>
    <t xml:space="preserve">myconian ambassador</t>
  </si>
  <si>
    <t xml:space="preserve">andaz xintiandi</t>
  </si>
  <si>
    <t xml:space="preserve">hotel reisen</t>
  </si>
  <si>
    <t xml:space="preserve">quinta da casa branca</t>
  </si>
  <si>
    <t xml:space="preserve">espacio waikiki</t>
  </si>
  <si>
    <t xml:space="preserve">hotel st barths</t>
  </si>
  <si>
    <t xml:space="preserve">jw marriott hotel nara</t>
  </si>
  <si>
    <t xml:space="preserve">andaz india</t>
  </si>
  <si>
    <t xml:space="preserve">hotel 5 stelle roma centro</t>
  </si>
  <si>
    <t xml:space="preserve">koro sun resort &amp; rainforest spa</t>
  </si>
  <si>
    <t xml:space="preserve">luminary hotel</t>
  </si>
  <si>
    <t xml:space="preserve">park hyatt jeddah</t>
  </si>
  <si>
    <t xml:space="preserve">sensei lanai</t>
  </si>
  <si>
    <t xml:space="preserve">rocco forte milan</t>
  </si>
  <si>
    <t xml:space="preserve">aman</t>
  </si>
  <si>
    <t xml:space="preserve">hotels st barts</t>
  </si>
  <si>
    <t xml:space="preserve">ritz bachelor gulch</t>
  </si>
  <si>
    <t xml:space="preserve">s hotel jamaica</t>
  </si>
  <si>
    <t xml:space="preserve">st barths hotels</t>
  </si>
  <si>
    <t xml:space="preserve">calala island hotel</t>
  </si>
  <si>
    <t xml:space="preserve">hoteles en kauai hawaii</t>
  </si>
  <si>
    <t xml:space="preserve">risorgimento resort lecce</t>
  </si>
  <si>
    <t xml:space="preserve">jw marriott hotel tokyo</t>
  </si>
  <si>
    <t xml:space="preserve">nujuma, a ritz-carlton reserve</t>
  </si>
  <si>
    <t xml:space="preserve">the artist grand hotel of art bilbao</t>
  </si>
  <si>
    <t xml:space="preserve">espacio the jewel of waikiki</t>
  </si>
  <si>
    <t xml:space="preserve">nujuma</t>
  </si>
  <si>
    <t xml:space="preserve">turks and caicos best hotels</t>
  </si>
  <si>
    <t xml:space="preserve">so/ paris</t>
  </si>
  <si>
    <t xml:space="preserve">aman hotel and resorts</t>
  </si>
  <si>
    <t xml:space="preserve">hoteles guanacaste 5 estrellas</t>
  </si>
  <si>
    <t xml:space="preserve">lefay resort</t>
  </si>
  <si>
    <t xml:space="preserve">hotel shangri la putrajaya</t>
  </si>
  <si>
    <t xml:space="preserve">jw marriott disney</t>
  </si>
  <si>
    <t xml:space="preserve">sonnenalp</t>
  </si>
  <si>
    <t xml:space="preserve">the camby</t>
  </si>
  <si>
    <t xml:space="preserve">turk and caicos hotel</t>
  </si>
  <si>
    <t xml:space="preserve">hotel st. george helsinki</t>
  </si>
  <si>
    <t xml:space="preserve">sheraton bratislava hotel</t>
  </si>
  <si>
    <t xml:space="preserve">aria hotel praga</t>
  </si>
  <si>
    <t xml:space="preserve">boscolo hotel budapest new york palace</t>
  </si>
  <si>
    <t xml:space="preserve">dorado ritz carlton residences</t>
  </si>
  <si>
    <t xml:space="preserve">four seasons punta mita</t>
  </si>
  <si>
    <t xml:space="preserve">hesperia madrid</t>
  </si>
  <si>
    <t xml:space="preserve">hoteles st barth</t>
  </si>
  <si>
    <t xml:space="preserve">rimondi boutique hotel</t>
  </si>
  <si>
    <t xml:space="preserve">saint barth hoteles</t>
  </si>
  <si>
    <t xml:space="preserve">san ysidro ranch hotel</t>
  </si>
  <si>
    <t xml:space="preserve">westin reserva conchal</t>
  </si>
  <si>
    <t xml:space="preserve">astoria</t>
  </si>
  <si>
    <t xml:space="preserve">crown towers</t>
  </si>
  <si>
    <t xml:space="preserve">anantara stanley &amp; livingstone victoria falls hotel</t>
  </si>
  <si>
    <t xml:space="preserve">hotel ritz carlton osaka</t>
  </si>
  <si>
    <t xml:space="preserve">cosmopolitan las vegas</t>
  </si>
  <si>
    <t xml:space="preserve">hapuku lodge</t>
  </si>
  <si>
    <t xml:space="preserve">GSC Pages</t>
  </si>
  <si>
    <t xml:space="preserve">Page</t>
  </si>
  <si>
    <t xml:space="preserve">https://solo5estrellas.com/browse_country.cfm?countryid=64</t>
  </si>
  <si>
    <t xml:space="preserve">https://solo5estrellas.com/</t>
  </si>
  <si>
    <t xml:space="preserve">https://solo5estrellas.com/chains/21/Aman_Resorts.html</t>
  </si>
  <si>
    <t xml:space="preserve">https://solo5estrellas.com/faq.cfm</t>
  </si>
  <si>
    <t xml:space="preserve">https://solo5estrellas.com/regions/8/europe.html</t>
  </si>
  <si>
    <t xml:space="preserve">https://solo5estrellas.com/hotels/6697/Rocco-Forte-House-Milan.html</t>
  </si>
  <si>
    <t xml:space="preserve">https://solo5estrellas.com/hotels/4103/Fontainebleau-Miami-Beach.html</t>
  </si>
  <si>
    <t xml:space="preserve">https://solo5estrellas.com/collection/21/Aman_Hotels_&amp;_Resorts.html</t>
  </si>
  <si>
    <t xml:space="preserve">https://solo5estrellas.com/countries/131/St-Barts.html</t>
  </si>
  <si>
    <t xml:space="preserve">https://solo5estrellas.com/hotels/962/Hotel-Ritz-Paris.html</t>
  </si>
  <si>
    <t xml:space="preserve">https://solo5estrellas.com/hotels/964/Necker-Island.html</t>
  </si>
  <si>
    <t xml:space="preserve">https://solo5estrellas.com/collection/10/rosewood-hotels-resorts.html</t>
  </si>
  <si>
    <t xml:space="preserve">https://solo5estrellas.com/hotels/964/necker-island.html</t>
  </si>
  <si>
    <t xml:space="preserve">https://solo5estrellas.com/hotels/1920/The-Plaza-Hotel-New-York.html</t>
  </si>
  <si>
    <t xml:space="preserve">https://solo5estrellas.com/hotels/4296/calala-island.html</t>
  </si>
  <si>
    <t xml:space="preserve">https://solo5estrellas.com/hotels/3616/el-mangroove-autograph-collection.html</t>
  </si>
  <si>
    <t xml:space="preserve">https://solo5estrellas.com/collection/79/the-signature-collection.html</t>
  </si>
  <si>
    <t xml:space="preserve">https://solo5estrellas.com/hotels/3547/Miraval-Austin-Resort-Spa.html</t>
  </si>
  <si>
    <t xml:space="preserve">https://solo5estrellas.com/hotels/1410/four-seasons-hotel-cairo-at-nile-plaza.html</t>
  </si>
  <si>
    <t xml:space="preserve">https://solo5estrellas.com/hotels/6215/Cordis-Hotel-Auckland.html</t>
  </si>
  <si>
    <t xml:space="preserve">https://solo5estrellas.com/collection/31/w-hotels-under-the-marriott-luminous-program.html</t>
  </si>
  <si>
    <t xml:space="preserve">https://solo5estrellas.com/luxury_hotels/</t>
  </si>
  <si>
    <t xml:space="preserve">https://solo5estrellas.com/hotels/1125/Casa-de-Campo-Resort-Villas-.html</t>
  </si>
  <si>
    <t xml:space="preserve">https://solo5estrellas.com/hotels/4085/nantipa-beach-resort.html</t>
  </si>
  <si>
    <t xml:space="preserve">https://solo5estrellas.com/collection/21/Aman-Hotels-Resorts.html</t>
  </si>
  <si>
    <t xml:space="preserve">https://solo5estrellas.com/hotels/1412/the-ritz-carlton-berlin.html</t>
  </si>
  <si>
    <t xml:space="preserve">https://solo5estrellas.com/hotels/6869/four-seasons-puerto-rico.html</t>
  </si>
  <si>
    <t xml:space="preserve">https://solo5estrellas.com/hotels/6985/jw-marriott-quito.html</t>
  </si>
  <si>
    <t xml:space="preserve">https://solo5estrellas.com/hotels/1887/the-peninsula-tokyo.html</t>
  </si>
  <si>
    <t xml:space="preserve">https://solo5estrellas.com/collection/7/Orient-Express-Hotels.html</t>
  </si>
  <si>
    <t xml:space="preserve">https://solo5estrellas.com/hotels/2944/amanoi.html</t>
  </si>
  <si>
    <t xml:space="preserve">https://solo5estrellas.com/hotels/1425/the-pierre-new-york.html</t>
  </si>
  <si>
    <t xml:space="preserve">https://solo5estrellas.com/hotels/6781/Nekajui-A-Ritz-Carlton-Reserve.html</t>
  </si>
  <si>
    <t xml:space="preserve">https://solo5estrellas.com/hotels/3028/hotel-brunelleschi.html</t>
  </si>
  <si>
    <t xml:space="preserve">https://solo5estrellas.com/hotels/2476/the-palazzo-at-the-venetian.html</t>
  </si>
  <si>
    <t xml:space="preserve">https://solo5estrellas.com/hotels/2291/verdura-golf-spa-resort.html</t>
  </si>
  <si>
    <t xml:space="preserve">https://solo5estrellas.com/hotels/4215/sonnenalp-hotel.html</t>
  </si>
  <si>
    <t xml:space="preserve">https://solo5estrellas.com/hotels/4641/sheraton-grand-london-park-lane.html</t>
  </si>
  <si>
    <t xml:space="preserve">https://solo5estrellas.com/browse_country.cfm?countryid=138</t>
  </si>
  <si>
    <t xml:space="preserve">https://solo5estrellas.com/hotels/6219/Baglioni-Masseria-Muzza.html</t>
  </si>
  <si>
    <t xml:space="preserve">https://solo5estrellas.com/collection/69/marriott-hotels-resorts-under-marriott-s-luminous-program.html</t>
  </si>
  <si>
    <t xml:space="preserve">https://solo5estrellas.com/hotels/2960/aman-tokyo.html</t>
  </si>
  <si>
    <t xml:space="preserve">https://solo5estrellas.com/hotels/7022/jw-marriott-hotel-tashkent.html</t>
  </si>
  <si>
    <t xml:space="preserve">https://solo5estrellas.com/hotels/7023/sheraton-bratislava-hotel.html</t>
  </si>
  <si>
    <t xml:space="preserve">https://solo5estrellas.com/collection/30/langham-hotels-under-langham-s-couture-program.html</t>
  </si>
  <si>
    <t xml:space="preserve">https://solo5estrellas.com/hotels/7114/Rosewood-AMAALA.html</t>
  </si>
  <si>
    <t xml:space="preserve">https://solo5estrellas.com/hotels/7108/Sheraton-Istanbul-Levent.html</t>
  </si>
  <si>
    <t xml:space="preserve">https://solo5estrellas.com/hotels/6955/Rosewood-Courchevel-Le-Jardin-Alpin.html</t>
  </si>
  <si>
    <t xml:space="preserve">https://solo5estrellas.com/hotels/6998/Thompson_Shanghai_Expo.html</t>
  </si>
  <si>
    <t xml:space="preserve">https://solo5estrellas.com/hotels/3053/hotel-kia-ora-resort-spa.html</t>
  </si>
  <si>
    <t xml:space="preserve">https://solo5estrellas.com/hotels/996/four-seasons-resort-bali-at-sayan.html</t>
  </si>
  <si>
    <t xml:space="preserve">https://solo5estrellas.com/hotels/6748/Six-Senses-Krabey-Island.html</t>
  </si>
  <si>
    <t xml:space="preserve">https://solo5estrellas.com/hotels/6914/dorothea-hotel-budapest-autograph-collection.html</t>
  </si>
  <si>
    <t xml:space="preserve">https://solo5estrellas.com/hotels/4612/hotel-villa-soligo.html</t>
  </si>
  <si>
    <t xml:space="preserve">https://solo5estrellas.com/regions/4/Asia-y-El-Pac-fico.html</t>
  </si>
  <si>
    <t xml:space="preserve">https://solo5estrellas.com/hotels/3094/shangri-la-hotel-doha.html</t>
  </si>
  <si>
    <t xml:space="preserve">https://solo5estrellas.com/countries/35/Jap-n.html</t>
  </si>
  <si>
    <t xml:space="preserve">https://solo5estrellas.com/hotels/7069/Hacienda_Son_Antem_Golf_Resort.html</t>
  </si>
  <si>
    <t xml:space="preserve">https://solo5estrellas.com/hotels/6464/athens-capital-center-hotel.html</t>
  </si>
  <si>
    <t xml:space="preserve">https://solo5estrellas.com/hotels/6308/casa-baglioni-milan.html</t>
  </si>
  <si>
    <t xml:space="preserve">https://solo5estrellas.com/hotels/2096/Omni-La-Costa-Resort.html</t>
  </si>
  <si>
    <t xml:space="preserve">https://solo5estrellas.com/hotels/6300/Kimpton_St_Honore_Paris.html</t>
  </si>
  <si>
    <t xml:space="preserve">https://solo5estrellas.com/hotels/6757/lake-house-on-canandaigua.html</t>
  </si>
  <si>
    <t xml:space="preserve">https://solo5estrellas.com/hotels/2807/Castillo_Hotel_Son_Vida.html</t>
  </si>
  <si>
    <t xml:space="preserve">https://solo5estrellas.com/hotels/2379/makati-shangri-la-manila-.html</t>
  </si>
  <si>
    <t xml:space="preserve">https://solo5estrellas.com/hotels/3276/Rosewood_Sanya.html</t>
  </si>
  <si>
    <t xml:space="preserve">https://solo5estrellas.com/hotels/4585/Hotel_Diplomat_Stockholm.html</t>
  </si>
  <si>
    <t xml:space="preserve">https://solo5estrellas.com/hotels/6547/The-Riviera-Maya-EDITION-at-Kanai.html</t>
  </si>
  <si>
    <t xml:space="preserve">https://solo5estrellas.com/hotels/1073/Belmond_La_Residencia.html</t>
  </si>
  <si>
    <t xml:space="preserve">https://solo5estrellas.com/hotels/1622/The_Ritz-Carlton,_Wolfsburg.html</t>
  </si>
  <si>
    <t xml:space="preserve">https://solo5estrellas.com/hotels/1449/rancho-valencia.html</t>
  </si>
  <si>
    <t xml:space="preserve">https://solo5estrellas.com/hotels/2375/fairmont-the-norfolk-.html</t>
  </si>
  <si>
    <t xml:space="preserve">https://solo5estrellas.com/hotels/1133/xv-beacon-hotel.html</t>
  </si>
  <si>
    <t xml:space="preserve">https://solo5estrellas.com/hotels/1629/the-ritz-carlton-doha.html</t>
  </si>
  <si>
    <t xml:space="preserve">https://solo5estrellas.com/hotels/4376/the-sukhothai-shanghai.html</t>
  </si>
  <si>
    <t xml:space="preserve">https://solo5estrellas.com/regions/8/Europe.html</t>
  </si>
  <si>
    <t xml:space="preserve">https://solo5estrellas.com/cities/150/London.html</t>
  </si>
  <si>
    <t xml:space="preserve">https://solo5estrellas.com/collection/71/Bvlgari_under_The_Marriott_STARS_Program.html</t>
  </si>
  <si>
    <t xml:space="preserve">https://solo5estrellas.com/collection/9/Peninsula_Hotels.html</t>
  </si>
  <si>
    <t xml:space="preserve">https://solo5estrellas.com/collection/87/Kimpton_Hotels_under_IHG's_Destined_Program.html</t>
  </si>
  <si>
    <t xml:space="preserve">https://solo5estrellas.com/cities/207/Paris.html</t>
  </si>
  <si>
    <t xml:space="preserve">https://solo5estrellas.com/collection/37/The_Dorchester_Collection.html</t>
  </si>
  <si>
    <t xml:space="preserve">https://solo5estrellas.com/regions/4/Asia_Pacific.html</t>
  </si>
  <si>
    <t xml:space="preserve">https://solo5estrellas.com/collection/1/Fairmont_Hotels_under_Accor's_HERA_Program.html</t>
  </si>
  <si>
    <t xml:space="preserve">https://solo5estrellas.com/collection/26/Taj_Hotels.html</t>
  </si>
  <si>
    <t xml:space="preserve">https://solo5estrellas.com/collection/15/InterContinental-Hotels-Resorts-under-The-IHG-Destined-Program.html</t>
  </si>
  <si>
    <t xml:space="preserve">https://solo5estrellas.com/hotels/1093/hotel-sacher-wien.html</t>
  </si>
  <si>
    <t xml:space="preserve">https://solo5estrellas.com/collection/87/Kimpton-Hotels-under-IHG-s-Destined-Program.html</t>
  </si>
  <si>
    <t xml:space="preserve">https://solo5estrellas.com/collection/9/Peninsula-Hotels-under-the-Peninsula-Pen-Club-Program.html</t>
  </si>
  <si>
    <t xml:space="preserve">https://solo5estrellas.com/hotels/2648/paradisus-playa-del-carmen-la-esmeralda.html</t>
  </si>
  <si>
    <t xml:space="preserve">https://solo5estrellas.com/hotels/1950/the-chesterfield-mayfair-hotel.html</t>
  </si>
  <si>
    <t xml:space="preserve">https://solo5estrellas.com/company.cfm</t>
  </si>
  <si>
    <t xml:space="preserve">https://solo5estrellas.com/collection/2/Four-Seasons-.html</t>
  </si>
  <si>
    <t xml:space="preserve">https://solo5estrellas.com/hotels/3897/four-seasons-hotel-madrid-.html</t>
  </si>
  <si>
    <t xml:space="preserve">https://solo5estrellas.com/states/92/Maine.html</t>
  </si>
  <si>
    <t xml:space="preserve">https://solo5estrellas.com/hotels/1726/san-ysidro-ranch.html</t>
  </si>
  <si>
    <t xml:space="preserve">https://solo5estrellas.com/collection/70/renaissance-hotels-under-the-marriott-luminous-program.html</t>
  </si>
  <si>
    <t xml:space="preserve">https://solo5estrellas.com/collection/25/Preferred_Hotels_&amp;_Resorts_under_The_Preferred_Platinum_Program.html</t>
  </si>
  <si>
    <t xml:space="preserve">https://solo5estrellas.com/hotels/2616/jw-marriott-guanacaste-resort-spa.html</t>
  </si>
  <si>
    <t xml:space="preserve">https://solo5estrellas.com/hotels/2797/tambo-del-inka-a-luxury-collection-resort-spa-valle-sagrado.html</t>
  </si>
  <si>
    <t xml:space="preserve">https://solo5estrellas.com/regions/6/Caribbean.html</t>
  </si>
  <si>
    <t xml:space="preserve">https://solo5estrellas.com/collection/68/autograph-collection-under-the-marriott-luminous-program.html</t>
  </si>
  <si>
    <t xml:space="preserve">https://solo5estrellas.com/hotels/6608/Sofitel-Baru-Calablanca-Beach-Resort.html</t>
  </si>
  <si>
    <t xml:space="preserve">https://solo5estrellas.com/hotels/6614/savoy-palace.html</t>
  </si>
  <si>
    <t xml:space="preserve">https://solo5estrellas.com/hotels/2528/hotel-barriere-le-majestic-cannes.html</t>
  </si>
  <si>
    <t xml:space="preserve">https://solo5estrellas.com/hotels/2429/el-palace-hotel.html</t>
  </si>
  <si>
    <t xml:space="preserve">https://solo5estrellas.com/collection/32/le-meridien.html</t>
  </si>
  <si>
    <t xml:space="preserve">https://solo5estrellas.com/hotels/2101/MGM-Grand-Hotel-Casino.html</t>
  </si>
  <si>
    <t xml:space="preserve">https://solo5estrellas.com/hotels/2841/W-Atlanta-Downtown.html</t>
  </si>
  <si>
    <t xml:space="preserve">https://solo5estrellas.com/states/94/Minnesota.html</t>
  </si>
  <si>
    <t xml:space="preserve">https://solo5estrellas.com/collection/74/EDITION_Hotels_under_The_Marriott_STARS_Program.html</t>
  </si>
  <si>
    <t xml:space="preserve">https://solo5estrellas.com/collection/93/Montage-Hotels-Resorts.html</t>
  </si>
  <si>
    <t xml:space="preserve">https://solo5estrellas.com/hotels/964/necker_island.html</t>
  </si>
  <si>
    <t xml:space="preserve">https://solo5estrellas.com/hotels/1553/four-seasons-hotel-shanghai-at-puxi.html</t>
  </si>
  <si>
    <t xml:space="preserve">https://solo5estrellas.com/collection/1/Fairmont-Hotels-under-Accor-s-HERA-Program.html</t>
  </si>
  <si>
    <t xml:space="preserve">https://solo5estrellas.com/hotels/6852/Four-Seasons-Resort-Mykonos.html</t>
  </si>
  <si>
    <t xml:space="preserve">https://solo5estrellas.com/collection/6/Oberoi-Hotels-Resorts-.html</t>
  </si>
  <si>
    <t xml:space="preserve">https://solo5estrellas.com/hotels/7102/Andronis-Arcadia.html</t>
  </si>
  <si>
    <t xml:space="preserve">https://solo5estrellas.com/collection/14/Rocco-Forte-Hotels.html</t>
  </si>
  <si>
    <t xml:space="preserve">https://solo5estrellas.com/collection/41/Viceroy-Hotels-.html</t>
  </si>
  <si>
    <t xml:space="preserve">https://solo5estrellas.com/collection/95/Six-Senses-Hotels-Resorts-under-IHG-s-Destined-Program.html</t>
  </si>
  <si>
    <t xml:space="preserve">https://solo5estrellas.com/hotels/6652/Ritz-Carlton-Yacht-Collection.html</t>
  </si>
  <si>
    <t xml:space="preserve">https://solo5estrellas.com/destinations/</t>
  </si>
  <si>
    <t xml:space="preserve">https://solo5estrellas.com/hotels/6288/hotel-xcaret-arte.html</t>
  </si>
  <si>
    <t xml:space="preserve">https://solo5estrellas.com/regions/5/Australia-y-Nueva-Zeland-a.html</t>
  </si>
  <si>
    <t xml:space="preserve">https://solo5estrellas.com/hotels/4224/Son-Bunyola.html</t>
  </si>
  <si>
    <t xml:space="preserve">https://solo5estrellas.com/collection/67/jw-marriott-hotel-under-marriott-s-luminous-progam.html</t>
  </si>
  <si>
    <t xml:space="preserve">https://solo5estrellas.com/collection/42/Trump-Hotels-Resorts-under-the-Trump-Elite-Program.html</t>
  </si>
  <si>
    <t xml:space="preserve">https://solo5estrellas.com/hotels/1074/Mandarin-Oriental-Ritz-Madrid.html</t>
  </si>
  <si>
    <t xml:space="preserve">https://solo5estrellas.com/hotels/4329/royal-park-hotel-lima.html</t>
  </si>
  <si>
    <t xml:space="preserve">https://solo5estrellas.com/hotels/6657/vdara-hotel-spa-.html</t>
  </si>
  <si>
    <t xml:space="preserve">https://solo5estrellas.com/hotels/1126/hotel-pulitzer-amsterdam.html</t>
  </si>
  <si>
    <t xml:space="preserve">https://solo5estrellas.com/hotels/2534/The-Westin-Reserva-Conchal.html</t>
  </si>
  <si>
    <t xml:space="preserve">https://solo5estrellas.com/hotels/6797/anantara-vilamoura-algarve-resort.html</t>
  </si>
  <si>
    <t xml:space="preserve">https://solo5estrellas.com/hotels/2072/hotel-san-regis-paris.html</t>
  </si>
  <si>
    <t xml:space="preserve">https://solo5estrellas.com/hotels/2276/tabacon-thermal-resort-spa.html</t>
  </si>
  <si>
    <t xml:space="preserve">https://solo5estrellas.com/cities/1310/Pearl-Cays.html</t>
  </si>
  <si>
    <t xml:space="preserve">https://solo5estrellas.com/hotels/6065/casa-cipriani-new-york.html</t>
  </si>
  <si>
    <t xml:space="preserve">https://solo5estrellas.com/hotels/6788/Fairmont-La-Hacienda-Costa-Del-Sol.html</t>
  </si>
  <si>
    <t xml:space="preserve">https://solo5estrellas.com/collection/16/St-Regis-Hotels-Resorts-under-The-Marriott-STARS-Program.html</t>
  </si>
  <si>
    <t xml:space="preserve">https://solo5estrellas.com/hotels/6669/nujuma-a-ritz-carlton-reserve.html</t>
  </si>
  <si>
    <t xml:space="preserve">https://solo5estrellas.com/hotels/4262/melia-orlando-celebration.html</t>
  </si>
  <si>
    <t xml:space="preserve">https://solo5estrellas.com/hotels/1463/ladera-resort.html</t>
  </si>
  <si>
    <t xml:space="preserve">https://solo5estrellas.com/hotels/3005/grand-hotel-central-barcelona.html</t>
  </si>
  <si>
    <t xml:space="preserve">https://solo5estrellas.com/hotels/3696/The-Lodge-Spa-at-Brush-Creek-Ranch.html</t>
  </si>
  <si>
    <t xml:space="preserve">https://solo5estrellas.com/collection/36/Sofitel-Hotels-under-The-Accor-HERA-Program.html</t>
  </si>
  <si>
    <t xml:space="preserve">https://solo5estrellas.com/collection/45/waldorf-astoria-hotels-under-the-hilton-for-luxury-program.html</t>
  </si>
  <si>
    <t xml:space="preserve">https://solo5estrellas.com/hotels/4184/chable-yucatan.html</t>
  </si>
  <si>
    <t xml:space="preserve">https://solo5estrellas.com/states/129/West-Virginia.html</t>
  </si>
  <si>
    <t xml:space="preserve">https://solo5estrellas.com/hotels/1079/grand-hotel-du-cap-ferrat-a-four-seasons-hotel.html</t>
  </si>
  <si>
    <t xml:space="preserve">https://solo5estrellas.com/hotels/4135/Waldorf-Astoria-Panama.html</t>
  </si>
  <si>
    <t xml:space="preserve">https://solo5estrellas.com/hotels/6850/Waldorf-Astoria-Costa-Rica-Punta-Cacique.html</t>
  </si>
  <si>
    <t xml:space="preserve">https://solo5estrellas.com/states/117/Rhode-Island.html</t>
  </si>
  <si>
    <t xml:space="preserve">https://solo5estrellas.com/hotels/3834/waterline-marina-resort-beach-club-autograph-collection.html</t>
  </si>
  <si>
    <t xml:space="preserve">https://solo5estrellas.com/collection/70/Renaissance-Hotels-under-The-Marriott-Luminous-Program.html</t>
  </si>
  <si>
    <t xml:space="preserve">https://solo5estrellas.com/hotels/6502/paris-marriott-opera-ambassador-hotel.html</t>
  </si>
  <si>
    <t xml:space="preserve">https://solo5estrellas.com/hotels/4477/hotel-la-peschiera.html</t>
  </si>
  <si>
    <t xml:space="preserve">https://solo5estrellas.com/hotels/2963/the-london-edition.html</t>
  </si>
  <si>
    <t xml:space="preserve">https://solo5estrellas.com/hotels/3129/Hotel_du_Collectionneur_Arc_de_Triomphe_Paris.html</t>
  </si>
  <si>
    <t xml:space="preserve">https://solo5estrellas.com/collection/2/four-seasons.html</t>
  </si>
  <si>
    <t xml:space="preserve">https://solo5estrellas.com/collection/17/Westin_Hotels_&amp;_Resorts_under_the_Marriott_Luminous_Program.html</t>
  </si>
  <si>
    <t xml:space="preserve">https://solo5estrellas.com/hotels/1816/omni-homestead-.html</t>
  </si>
  <si>
    <t xml:space="preserve">https://solo5estrellas.com/hotels/6438/aman-new-york.html</t>
  </si>
  <si>
    <t xml:space="preserve">https://solo5estrellas.com/hotels/3359/san-domenico-palace-taormina-a-four-seasons-.html</t>
  </si>
  <si>
    <t xml:space="preserve">https://solo5estrellas.com/hotels/7009/four-seasons-yacht.html</t>
  </si>
  <si>
    <t xml:space="preserve">https://solo5estrellas.com/hotels/1816/Omni-Homestead-.html</t>
  </si>
  <si>
    <t xml:space="preserve">https://solo5estrellas.com/hotels/2193/trump-international-tower-las-vegas.html</t>
  </si>
  <si>
    <t xml:space="preserve">https://solo5estrellas.com/hotels/7011/grand-hyatt-cayman-resort.html</t>
  </si>
  <si>
    <t xml:space="preserve">https://solo5estrellas.com/cities/1118/Mayakoba.html</t>
  </si>
  <si>
    <t xml:space="preserve">https://solo5estrellas.com/hotels/3257/jw-marriott-phoenix-desert-ridge-resort-and-spa.html</t>
  </si>
  <si>
    <t xml:space="preserve">https://solo5estrellas.com/collection/93/Montage_Hotels_&amp;_Resorts.html</t>
  </si>
  <si>
    <t xml:space="preserve">https://solo5estrellas.com/hotels/1271/four-seasons-resort-costa-rica-.html</t>
  </si>
  <si>
    <t xml:space="preserve">https://solo5estrellas.com/hotels/3378/andaz-delhi.html</t>
  </si>
  <si>
    <t xml:space="preserve">https://solo5estrellas.com/hotels/2885/lotte-new-york-palace.html</t>
  </si>
  <si>
    <t xml:space="preserve">https://solo5estrellas.com/collection/17/Westin-Hotels-Resorts-under-the-Marriott-Luminous-Program.html</t>
  </si>
  <si>
    <t xml:space="preserve">https://solo5estrellas.com/hotels/2962/the-miami-beach-edition.html</t>
  </si>
  <si>
    <t xml:space="preserve">https://solo5estrellas.com/hotels/1202/the-fairmont-chateau-lake-louise.html</t>
  </si>
  <si>
    <t xml:space="preserve">https://solo5estrellas.com/collection/13/ritz-carlton-hotels-resorts-under-marriott-s-stars-program.html</t>
  </si>
  <si>
    <t xml:space="preserve">https://solo5estrellas.com/hotels/2066/Hotel-La-Perouse.html</t>
  </si>
  <si>
    <t xml:space="preserve">https://solo5estrellas.com/hotels/2556/Carmel-Valley-Ranch.html</t>
  </si>
  <si>
    <t xml:space="preserve">https://solo5estrellas.com/hotels/2297/grand-velas-riviera-maya.html</t>
  </si>
  <si>
    <t xml:space="preserve">https://solo5estrellas.com/hotels/6169/casa-delfino-hotel-spa.html</t>
  </si>
  <si>
    <t xml:space="preserve">https://solo5estrellas.com/hotels/2312/the-dylan-amsterdam-.html</t>
  </si>
  <si>
    <t xml:space="preserve">https://solo5estrellas.com/states/99/North-Carolina.html</t>
  </si>
  <si>
    <t xml:space="preserve">https://solo5estrellas.com/hotels/6433/villa-le-blanc-gran-melia.html</t>
  </si>
  <si>
    <t xml:space="preserve">https://solo5estrellas.com/collection/29/hyatt-regency-hotels-under-the-hyatt-prive-program.html</t>
  </si>
  <si>
    <t xml:space="preserve">https://solo5estrellas.com/hotels/1030/hotel-de-la-cite-carcassonne.html</t>
  </si>
  <si>
    <t xml:space="preserve">https://solo5estrellas.com/hotels/2072/Hotel_San_Regis_Paris.html</t>
  </si>
  <si>
    <t xml:space="preserve">https://solo5estrellas.com/hotels/4428/ca-sagredo-hotel.html</t>
  </si>
  <si>
    <t xml:space="preserve">https://solo5estrellas.com/hotels/6943/delta-hotels-riviera-nayarit-an-all-inclusive-resort.html</t>
  </si>
  <si>
    <t xml:space="preserve">https://solo5estrellas.com/hotels/1094/hotel-sacher-salzburg.html</t>
  </si>
  <si>
    <t xml:space="preserve">https://solo5estrellas.com/cities/241/Rome.html</t>
  </si>
  <si>
    <t xml:space="preserve">https://solo5estrellas.com/collection/9/peninsula-hotels-under-the-peninsula-pen-club-program.html</t>
  </si>
  <si>
    <t xml:space="preserve">https://solo5estrellas.com/hotels/6111/la-reserve-geneve-hotel-spa-villa.html</t>
  </si>
  <si>
    <t xml:space="preserve">https://solo5estrellas.com/hotels/3579/imperial-hotel-tokyo.html</t>
  </si>
  <si>
    <t xml:space="preserve">https://solo5estrellas.com/hotels/991/victoria-jungfrau-grand-hotel-spa.html</t>
  </si>
  <si>
    <t xml:space="preserve">https://solo5estrellas.com/states/105/New-Mexico.html</t>
  </si>
  <si>
    <t xml:space="preserve">https://solo5estrellas.com/hotels/4934/Palmaia-The-House-of-AiA.html</t>
  </si>
  <si>
    <t xml:space="preserve">https://solo5estrellas.com/hotels/6995/Hotel-La-Compa-a-de-Valle.html</t>
  </si>
  <si>
    <t xml:space="preserve">https://solo5estrellas.com/hotels/1401/amangani.html</t>
  </si>
  <si>
    <t xml:space="preserve">https://solo5estrellas.com/hotels/2055/hotel-palacio-de-santa-paula-.html</t>
  </si>
  <si>
    <t xml:space="preserve">https://solo5estrellas.com/states/113/Oregon.html</t>
  </si>
  <si>
    <t xml:space="preserve">https://solo5estrellas.com/hotels/6072/Itz-ana-Resort.html</t>
  </si>
  <si>
    <t xml:space="preserve">https://solo5estrellas.com/hotels/2639/fairmont-peace-hotel.html</t>
  </si>
  <si>
    <t xml:space="preserve">https://solo5estrellas.com/hotels/2108/pavillon-de-la-reine.html</t>
  </si>
  <si>
    <t xml:space="preserve">https://solo5estrellas.com/hotels/6389/rancho-santana.html</t>
  </si>
  <si>
    <t xml:space="preserve">https://solo5estrellas.com/hotels/3114/the-beaumont.html</t>
  </si>
  <si>
    <t xml:space="preserve">https://solo5estrellas.com/hotels/2084/hyatt-regency-maui-resort-and-spa.html</t>
  </si>
  <si>
    <t xml:space="preserve">https://solo5estrellas.com/hotels/2798/hotel-paracas.html</t>
  </si>
  <si>
    <t xml:space="preserve">https://solo5estrellas.com/states/110/Ohio.html</t>
  </si>
  <si>
    <t xml:space="preserve">https://solo5estrellas.com/hotels/2376/fairmont-mount-kenya-safari-club-.html</t>
  </si>
  <si>
    <t xml:space="preserve">https://solo5estrellas.com/hotels/958/canyon-ranch-lenox-.html</t>
  </si>
  <si>
    <t xml:space="preserve">https://solo5estrellas.com/hotels/6659/The-St-Regis-Longboat-Key-Resort.html</t>
  </si>
  <si>
    <t xml:space="preserve">https://solo5estrellas.com/hotels/6379/Barracuda-Hotel-and-Villas.html</t>
  </si>
  <si>
    <t xml:space="preserve">https://solo5estrellas.com/hotels/4097/unico-20-87-hotel-riviera-maya.html</t>
  </si>
  <si>
    <t xml:space="preserve">https://solo5estrellas.com/hotels/6634/bless-hotel-madrid.html</t>
  </si>
  <si>
    <t xml:space="preserve">https://solo5estrellas.com/hotels/3937/four-seasons-bangkok-at-chao-phraya-river.html</t>
  </si>
  <si>
    <t xml:space="preserve">https://solo5estrellas.com/hotels/952/hotel-arts-barcelona.html</t>
  </si>
  <si>
    <t xml:space="preserve">https://solo5estrellas.com/hotels/6920/Hotel-U14-Autograph-Collection.html</t>
  </si>
  <si>
    <t xml:space="preserve">https://solo5estrellas.com/hotels/4077/four-seasons-hotel-tokyo-at-otemachi.html</t>
  </si>
  <si>
    <t xml:space="preserve">https://solo5estrellas.com/hotels/1835/four-seasons-hotel-chicago-.html</t>
  </si>
  <si>
    <t xml:space="preserve">https://solo5estrellas.com/hotels/6871/cavalta-boutique-hotel.html</t>
  </si>
  <si>
    <t xml:space="preserve">https://solo5estrellas.com/hotels/2291/Verdura-Golf-Spa-Resort.html</t>
  </si>
  <si>
    <t xml:space="preserve">https://solo5estrellas.com/hotels/1112/the-langham-hotel-hong-kong-.html</t>
  </si>
  <si>
    <t xml:space="preserve">https://solo5estrellas.com/regions/6/El_Caribe.html</t>
  </si>
  <si>
    <t xml:space="preserve">https://solo5estrellas.com/hotels/6343/so-paris.html</t>
  </si>
  <si>
    <t xml:space="preserve">https://solo5estrellas.com/hotels/2104/anantara-new-york-palace-budapest-hotel.html</t>
  </si>
  <si>
    <t xml:space="preserve">https://solo5estrellas.com/hotels/1033/byblos-saint-tropez.html</t>
  </si>
  <si>
    <t xml:space="preserve">https://solo5estrellas.com/hotels/4448/wellnesshotel-golf-panorama.html</t>
  </si>
  <si>
    <t xml:space="preserve">https://solo5estrellas.com/hotels/6518/teranka-formentera.html</t>
  </si>
  <si>
    <t xml:space="preserve">https://solo5estrellas.com/hotels/3727/jw-marriott-san-antonio-hill-country-resort-spa.html</t>
  </si>
  <si>
    <t xml:space="preserve">https://solo5estrellas.com/hotels/6931/le-m-ridien-bali-jimbaran.html</t>
  </si>
  <si>
    <t xml:space="preserve">https://solo5estrellas.com/cities/1430/Seychelles.html</t>
  </si>
  <si>
    <t xml:space="preserve">https://solo5estrellas.com/hotels/7075/Fouquet-s-Mykonos.html</t>
  </si>
  <si>
    <t xml:space="preserve">https://solo5estrellas.com/hotels/1533/amanpuri.html</t>
  </si>
  <si>
    <t xml:space="preserve">https://solo5estrellas.com/collection/38/leading-hotels-of-the-world.html</t>
  </si>
  <si>
    <t xml:space="preserve">https://solo5estrellas.com/hotels/1234/fairmont-chateau-laurier.html</t>
  </si>
  <si>
    <t xml:space="preserve">https://solo5estrellas.com/hotels/6656/The-Tokyo-EDITION-Ginza.html</t>
  </si>
  <si>
    <t xml:space="preserve">https://solo5estrellas.com/hotels/1700/Dromoland-Castle.html</t>
  </si>
  <si>
    <t xml:space="preserve">https://solo5estrellas.com/hotels/1093/Hotel-Sacher-Wien.html</t>
  </si>
  <si>
    <t xml:space="preserve">https://solo5estrellas.com/hotels/4387/the-tokyo-station-hotel.html</t>
  </si>
  <si>
    <t xml:space="preserve">https://solo5estrellas.com/hotels/3255/jw-marriott-scottsdale-camelback-inn-resort-and-spa.html</t>
  </si>
  <si>
    <t xml:space="preserve">https://solo5estrellas.com/hotels/5058/Radisson-Collection-Hotel-Magdalena-Plaza-Sevilla.html</t>
  </si>
  <si>
    <t xml:space="preserve">https://solo5estrellas.com/hotels/2510/gran-melia-colon.html</t>
  </si>
  <si>
    <t xml:space="preserve">https://solo5estrellas.com/hotels/2461/belmond-hotel-rio-sagrado.html</t>
  </si>
  <si>
    <t xml:space="preserve">https://solo5estrellas.com/hotels/6623/koro-sun-resort-and-rainforest-spa.html</t>
  </si>
  <si>
    <t xml:space="preserve">https://solo5estrellas.com/collection/15/InterContinental_Hotels_&amp;_Resorts_under_The_IHG_Destined_Program.html</t>
  </si>
  <si>
    <t xml:space="preserve">https://solo5estrellas.com/hotels/3789/bohemian-hotel-celebration-autograph-collection.html</t>
  </si>
  <si>
    <t xml:space="preserve">https://solo5estrellas.com/hotels/3228/hotel-molitor-paris.html</t>
  </si>
  <si>
    <t xml:space="preserve">https://solo5estrellas.com/hotels/1552/four-seasons-hotel-des-bergues.html</t>
  </si>
  <si>
    <t xml:space="preserve">https://solo5estrellas.com/hotels/2614/the-artist-grand-hotel-of-art-bilbao.html</t>
  </si>
  <si>
    <t xml:space="preserve">https://solo5estrellas.com/states/104/New-Jersey.html</t>
  </si>
  <si>
    <t xml:space="preserve">https://solo5estrellas.com/states/103/New-Hampshire.html</t>
  </si>
  <si>
    <t xml:space="preserve">https://solo5estrellas.com/cities/426/Necker-Island.html</t>
  </si>
  <si>
    <t xml:space="preserve">https://solo5estrellas.com/hotels/6955/rosewood-courchevel-le-jardin-alpin.html</t>
  </si>
  <si>
    <t xml:space="preserve">https://solo5estrellas.com/hotels/7028/horseshoe-bay-resort.html</t>
  </si>
  <si>
    <t xml:space="preserve">https://solo5estrellas.com/hotels/6798/SLS-Barcelona.html</t>
  </si>
  <si>
    <t xml:space="preserve">https://solo5estrellas.com/hotels/1789/four-seasons-hotel-tokyo-at-marunouchi.html</t>
  </si>
  <si>
    <t xml:space="preserve">https://solo5estrellas.com/guarantee.cfm</t>
  </si>
  <si>
    <t xml:space="preserve">https://solo5estrellas.com/hotels/2437/Bristol-Panama-.html</t>
  </si>
  <si>
    <t xml:space="preserve">https://solo5estrellas.com/hotels/2428/grand-hyatt-tokyo-.html</t>
  </si>
  <si>
    <t xml:space="preserve">https://solo5estrellas.com/hotels/1424/four-seasons-santa-barbara-the-biltmore.html</t>
  </si>
  <si>
    <t xml:space="preserve">https://solo5estrellas.com/hotels/3615/majestic-hotel-spa-barcelona.html</t>
  </si>
  <si>
    <t xml:space="preserve">https://solo5estrellas.com/states/69/Alberta.html</t>
  </si>
  <si>
    <t xml:space="preserve">https://solo5estrellas.com/countries/97/Islandia.html</t>
  </si>
  <si>
    <t xml:space="preserve">https://solo5estrellas.com/collection/29/Hyatt_Regency_Hotels_under_The_Hyatt_Prive'_Program.html</t>
  </si>
  <si>
    <t xml:space="preserve">https://solo5estrellas.com/hotels/4687/JW-Marriott-Panama.html</t>
  </si>
  <si>
    <t xml:space="preserve">https://solo5estrellas.com/hotels/6622/yours-truly-dc-vignette-collection.html</t>
  </si>
  <si>
    <t xml:space="preserve">https://solo5estrellas.com/hotels/3791/waikoloa-beach-marriott-resort-spa.html</t>
  </si>
  <si>
    <t xml:space="preserve">https://solo5estrellas.com/hotels/6242/the-ampersand-hotel.html</t>
  </si>
  <si>
    <t xml:space="preserve">https://solo5estrellas.com/collection/69/Marriott-Hotels-Resorts-Under-Marriott-s-Luminous-Program.html</t>
  </si>
  <si>
    <t xml:space="preserve">https://solo5estrellas.com/states/78/Delaware.html</t>
  </si>
  <si>
    <t xml:space="preserve">https://solo5estrellas.com/hotels/3526/the-santa-maria-hotel-golf-resort.html</t>
  </si>
  <si>
    <t xml:space="preserve">https://solo5estrellas.com/collection/94/Regent-Hotels.html</t>
  </si>
  <si>
    <t xml:space="preserve">https://solo5estrellas.com/hotels/5049/sofitel-legend-casco-viejo.html</t>
  </si>
  <si>
    <t xml:space="preserve">https://solo5estrellas.com/collection/74/edition-hotels-under-the-marriott-stars-program.html</t>
  </si>
  <si>
    <t xml:space="preserve">https://solo5estrellas.com/hotels/6663/one-only-the-palm-dubai.html</t>
  </si>
  <si>
    <t xml:space="preserve">https://solo5estrellas.com/hotels/4509/pendry-west-hollywood-.html</t>
  </si>
  <si>
    <t xml:space="preserve">https://solo5estrellas.com/cities/743/Masai-Mara.html</t>
  </si>
  <si>
    <t xml:space="preserve">https://solo5estrellas.com/testimonials.cfm</t>
  </si>
  <si>
    <t xml:space="preserve">https://solo5estrellas.com/hotels/3389/ararat-park-hyatt-moscow-.html</t>
  </si>
  <si>
    <t xml:space="preserve">https://solo5estrellas.com/hotels/2161/grand-hotel-royal.html</t>
  </si>
  <si>
    <t xml:space="preserve">https://solo5estrellas.com/hotels/2810/hotel-national.html</t>
  </si>
  <si>
    <t xml:space="preserve">https://solo5estrellas.com/hotels/6809/jw-marriott-crete-resort-spa.html</t>
  </si>
  <si>
    <t xml:space="preserve">https://solo5estrellas.com/hotels/1418/sensei-lanai-a-four-seasons-resort.html</t>
  </si>
  <si>
    <t xml:space="preserve">https://solo5estrellas.com/hotels/4280/sublime-samana-hotel-residences.html</t>
  </si>
  <si>
    <t xml:space="preserve">https://solo5estrellas.com/collection/6/oberoi-hotels-resorts-.html</t>
  </si>
  <si>
    <t xml:space="preserve">https://solo5estrellas.com/hotels/4361/chateau-hotel-spa-grand-barrail.html</t>
  </si>
  <si>
    <t xml:space="preserve">https://solo5estrellas.com/hotels/4094/hotel-vila-vita-parc.html</t>
  </si>
  <si>
    <t xml:space="preserve">https://solo5estrellas.com/hotels/2243/the-dolder-grand-.html</t>
  </si>
  <si>
    <t xml:space="preserve">https://solo5estrellas.com/hotels/1178/sheraton-grand-hotel-and-spa.html</t>
  </si>
  <si>
    <t xml:space="preserve">https://solo5estrellas.com/hotels/5034/Fogo-Island-Inn.html</t>
  </si>
  <si>
    <t xml:space="preserve">https://solo5estrellas.com/hotels/1373/grand-hotel-villa-serbelloni.html</t>
  </si>
  <si>
    <t xml:space="preserve">https://solo5estrellas.com/hotels/1927/four-seasons-hotel-florence.html</t>
  </si>
  <si>
    <t xml:space="preserve">https://solo5estrellas.com/hotels/2250/four-seasons-hotel-seattle.html</t>
  </si>
  <si>
    <t xml:space="preserve">https://solo5estrellas.com/collection/90/auberge-collection.html</t>
  </si>
  <si>
    <t xml:space="preserve">https://solo5estrellas.com/hotels/7075/fouquet-s-mykonos.html</t>
  </si>
  <si>
    <t xml:space="preserve">https://solo5estrellas.com/hotels/6621/fontainebleau-las-vegas.html</t>
  </si>
  <si>
    <t xml:space="preserve">https://solo5estrellas.com/collection/5/mandarin-oriental.html</t>
  </si>
  <si>
    <t xml:space="preserve">https://solo5estrellas.com/hotels/5063/crown-towers-sydney.html</t>
  </si>
  <si>
    <t xml:space="preserve">https://solo5estrellas.com/hotels/1505/Kempinski-Hotel-Bahia-Estepona.html</t>
  </si>
  <si>
    <t xml:space="preserve">https://solo5estrellas.com/hotels/1847/four-seasons-hotel-riyadh.html</t>
  </si>
  <si>
    <t xml:space="preserve">https://solo5estrellas.com/hotels/1315/four-seasons-hotel-hampshire.html</t>
  </si>
  <si>
    <t xml:space="preserve">https://solo5estrellas.com/states/101/Nebraska.html</t>
  </si>
  <si>
    <t xml:space="preserve">https://solo5estrellas.com/hotels/1626/anantara-villa-padierna-palace.html</t>
  </si>
  <si>
    <t xml:space="preserve">https://solo5estrellas.com/hotels/4333/s-hotel-jamaica.html</t>
  </si>
  <si>
    <t xml:space="preserve">https://solo5estrellas.com/hotels/7042/Imperial-Hotel-Kyoto.html</t>
  </si>
  <si>
    <t xml:space="preserve">https://solo5estrellas.com/collection/85/mgallery-hotels-under-accor-s-hera-program.html</t>
  </si>
  <si>
    <t xml:space="preserve">https://solo5estrellas.com/hotels/962/hotel-ritz-paris.html</t>
  </si>
  <si>
    <t xml:space="preserve">https://solo5estrellas.com/hotels/6079/Crown-Towers-Perth.html</t>
  </si>
  <si>
    <t xml:space="preserve">https://solo5estrellas.com/hotels/2988/aria-hotel-budapest.html</t>
  </si>
  <si>
    <t xml:space="preserve">https://solo5estrellas.com/hotels/4287/heritage-le-telfair-golf-wellness-resort.html</t>
  </si>
  <si>
    <t xml:space="preserve">https://solo5estrellas.com/collection/15/intercontinental-hotels-resorts-under-the-ihg-destined-program.html</t>
  </si>
  <si>
    <t xml:space="preserve">https://solo5estrellas.com/hotels/6856/me-cabo-by-melia-.html</t>
  </si>
  <si>
    <t xml:space="preserve">https://solo5estrellas.com/hotels/1844/Four_Seasons_Hotel_Hong_Kong.html</t>
  </si>
  <si>
    <t xml:space="preserve">https://solo5estrellas.com/hotels/6484/gaylord-rockies-resort-convention-center.html</t>
  </si>
  <si>
    <t xml:space="preserve">https://solo5estrellas.com/hotels/1546/four-seasons-hotel-houston.html</t>
  </si>
  <si>
    <t xml:space="preserve">https://solo5estrellas.com/hotels/6644/hilton-cancun-an-all-inclusive-resort.html</t>
  </si>
  <si>
    <t xml:space="preserve">https://solo5estrellas.com/hotels/4082/rocco-forte-masseria-torre-maizza.html</t>
  </si>
  <si>
    <t xml:space="preserve">https://solo5estrellas.com/hotels/6940/the-mayflower-hotel.html</t>
  </si>
  <si>
    <t xml:space="preserve">https://solo5estrellas.com/hotels/5008/the-prince-sakura-tower.html</t>
  </si>
  <si>
    <t xml:space="preserve">https://solo5estrellas.com/hotels/2970/the-st-regis-moscow-nikolskaya.html</t>
  </si>
  <si>
    <t xml:space="preserve">https://solo5estrellas.com/hotels/2218/w-atlanta-midtown.html</t>
  </si>
  <si>
    <t xml:space="preserve">https://solo5estrellas.com/hotels/1350/Killarney_Park_Hotel.html</t>
  </si>
  <si>
    <t xml:space="preserve">https://solo5estrellas.com/hotels/1430/the-connaught-.html</t>
  </si>
  <si>
    <t xml:space="preserve">https://solo5estrellas.com/hotels/4581/Riggs-Hotel-Washington-DC.html</t>
  </si>
  <si>
    <t xml:space="preserve">https://solo5estrellas.com/hotels/2142/trump-international-hotel-tower-new-york.html</t>
  </si>
  <si>
    <t xml:space="preserve">https://solo5estrellas.com/collection/77/Hyatt-Centric-Hotels-under-The-Hyatt-Prive-Prorgram.html</t>
  </si>
  <si>
    <t xml:space="preserve">https://solo5estrellas.com/hotels/4427/byblos-art-hotel-villa-amista.html</t>
  </si>
  <si>
    <t xml:space="preserve">https://solo5estrellas.com/hotels/2280/four-seasons-resort-bora-bora.html</t>
  </si>
  <si>
    <t xml:space="preserve">https://solo5estrellas.com/hotels/1720/Il_San_Pietro_di_Positano_.html</t>
  </si>
  <si>
    <t xml:space="preserve">https://solo5estrellas.com/hotels/6546/the-westin-la-quinta-golf-resort-spa.html</t>
  </si>
  <si>
    <t xml:space="preserve">https://solo5estrellas.com/hotels/2419/the-waldorf-astoria-new-york.html</t>
  </si>
  <si>
    <t xml:space="preserve">https://solo5estrellas.com/hotels/7028/Horseshoe-Bay-Resort.html</t>
  </si>
  <si>
    <t xml:space="preserve">https://solo5estrellas.com/hotels/1229/fairmont-royal-york.html</t>
  </si>
  <si>
    <t xml:space="preserve">https://solo5estrellas.com/hotels/4599/archipelagos-hotel.html</t>
  </si>
  <si>
    <t xml:space="preserve">https://solo5estrellas.com/hotels/2279/augustine-a-luxury-collection-hotel-prague.html</t>
  </si>
  <si>
    <t xml:space="preserve">https://solo5estrellas.com/hotels/4216/lesante-blu-exclusive-beach-resort.html</t>
  </si>
  <si>
    <t xml:space="preserve">https://solo5estrellas.com/hotels/6885/The-Fairmount-San-Antonio.html</t>
  </si>
  <si>
    <t xml:space="preserve">https://solo5estrellas.com/hotels/3210/the-silo-cape-town.html</t>
  </si>
  <si>
    <t xml:space="preserve">https://solo5estrellas.com/states/97/Montana.html</t>
  </si>
  <si>
    <t xml:space="preserve">https://solo5estrellas.com/hotels/2431/castel-monastero.html</t>
  </si>
  <si>
    <t xml:space="preserve">https://solo5estrellas.com/hotels/3858/the-westin-edina-galleria.html</t>
  </si>
  <si>
    <t xml:space="preserve">https://solo5estrellas.com/hotels/3459/park-hyatt-busan.html</t>
  </si>
  <si>
    <t xml:space="preserve">https://solo5estrellas.com/chains/12/Relais_Chateaux.html</t>
  </si>
  <si>
    <t xml:space="preserve">https://solo5estrellas.com/hotels/4902/fairmont-windsor-park.html</t>
  </si>
  <si>
    <t xml:space="preserve">https://solo5estrellas.com/hotels/7043/hotel-gabrielli-venezia-starhotels-.html</t>
  </si>
  <si>
    <t xml:space="preserve">https://solo5estrellas.com/hotels/3040/four-seasons-hotel-casablanca.html</t>
  </si>
  <si>
    <t xml:space="preserve">https://solo5estrellas.com/hotels/6547/the-riviera-maya-edition-at-kanai.html</t>
  </si>
  <si>
    <t xml:space="preserve">https://solo5estrellas.com/hotels/1026/the-fairmont-chateau-whistler.html</t>
  </si>
  <si>
    <t xml:space="preserve">https://solo5estrellas.com/hotels/3303/alhambra-palace-hotel.html</t>
  </si>
  <si>
    <t xml:space="preserve">https://solo5estrellas.com/hotels/986/park-hyatt-sydney.html</t>
  </si>
  <si>
    <t xml:space="preserve">https://solo5estrellas.com/hotels/1486/four-seasons-hotel-washington-dc.html</t>
  </si>
  <si>
    <t xml:space="preserve">https://solo5estrellas.com/hotels/6798/sls-barcelona.html</t>
  </si>
  <si>
    <t xml:space="preserve">https://solo5estrellas.com/states/87/Kentucky.html</t>
  </si>
  <si>
    <t xml:space="preserve">https://solo5estrellas.com/hotels/4418/palacio-solecio.html</t>
  </si>
  <si>
    <t xml:space="preserve">https://solo5estrellas.com/hotels/2849/nizuc-resort-spa-.html</t>
  </si>
  <si>
    <t xml:space="preserve">https://solo5estrellas.com/hotels/1968/hotel-icon-autograph-collection.html</t>
  </si>
  <si>
    <t xml:space="preserve">https://solo5estrellas.com/hotels/6575/Sanasaryan-Han-a-Luxury-Collection-Hotel-Istanbul.html</t>
  </si>
  <si>
    <t xml:space="preserve">https://solo5estrellas.com/hotels/1919/grand-hotel-continental-.html</t>
  </si>
  <si>
    <t xml:space="preserve">https://solo5estrellas.com/hotels/6661/imperial-riding-school-vienna.html</t>
  </si>
  <si>
    <t xml:space="preserve">https://solo5estrellas.com/hotels/2066/hotel-la-perouse.html</t>
  </si>
  <si>
    <t xml:space="preserve">https://solo5estrellas.com/hotels/6896/lefay-resort-spa-dolomiti.html</t>
  </si>
  <si>
    <t xml:space="preserve">https://solo5estrellas.com/collection/26/taj-hotels.html</t>
  </si>
  <si>
    <t xml:space="preserve">https://solo5estrellas.com/hotels/2212/The-St-Regis-Punta-Mita-Resort.html</t>
  </si>
  <si>
    <t xml:space="preserve">https://solo5estrellas.com/hotels/6871/Cavalta-Boutique-Hotel.html</t>
  </si>
  <si>
    <t xml:space="preserve">https://solo5estrellas.com/hotels/3953/the-ranch-at-laguna-beach.html</t>
  </si>
  <si>
    <t xml:space="preserve">https://solo5estrellas.com/hotels/4082/Rocco-Forte-Masseria-Torre-Maizza.html</t>
  </si>
  <si>
    <t xml:space="preserve">https://solo5estrellas.com/hotels/6298/sun-gardens-dubrovnik.html</t>
  </si>
  <si>
    <t xml:space="preserve">https://solo5estrellas.com/hotels/3246/jw-marriott-cannes.html</t>
  </si>
  <si>
    <t xml:space="preserve">https://solo5estrellas.com/hotels/3547/miraval-austin-resort-spa.html</t>
  </si>
  <si>
    <t xml:space="preserve">https://solo5estrellas.com/hotels/2760/andaz-costa-rica-resort-at-peninsula-papagayo.html</t>
  </si>
  <si>
    <t xml:space="preserve">https://solo5estrellas.com/hotels/2290/One-Only-Cape-Town-.html</t>
  </si>
  <si>
    <t xml:space="preserve">https://solo5estrellas.com/browse_country.cfm?countryid=50</t>
  </si>
  <si>
    <t xml:space="preserve">https://solo5estrellas.com/hotels/4050/the-ritz-carlton-mexico-city.html</t>
  </si>
  <si>
    <t xml:space="preserve">https://solo5estrellas.com/hotels/3619/hotel-st-george-helsinki.html</t>
  </si>
  <si>
    <t xml:space="preserve">https://solo5estrellas.com/hotels/6506/sheraton-rhodes-resort.html</t>
  </si>
  <si>
    <t xml:space="preserve">https://solo5estrellas.com/hotels/6293/wedgewood-hotel-and-spa.html</t>
  </si>
  <si>
    <t xml:space="preserve">https://solo5estrellas.com/hotels/3892/w-dubai-the-palm.html</t>
  </si>
  <si>
    <t xml:space="preserve">https://solo5estrellas.com/hotels/7007/Ritz-Carlton,_Masai_Mara_Safari_Camp.html</t>
  </si>
  <si>
    <t xml:space="preserve">https://solo5estrellas.com/hotels/4090/71-nyhavn-hotel.html</t>
  </si>
  <si>
    <t xml:space="preserve">https://solo5estrellas.com/hotels/2878/four-seasons-orlando-at-walt-disney-world-.html</t>
  </si>
  <si>
    <t xml:space="preserve">https://solo5estrellas.com/collection/2/Four_Seasons.html</t>
  </si>
  <si>
    <t xml:space="preserve">https://solo5estrellas.com/hotels/4916/fairmont-quasar-istanbul.html</t>
  </si>
  <si>
    <t xml:space="preserve">https://solo5estrellas.com/hotels/4417/the-wittmore.html</t>
  </si>
  <si>
    <t xml:space="preserve">https://solo5estrellas.com/collection/10/Rosewood-Hotels-Resorts.html</t>
  </si>
  <si>
    <t xml:space="preserve">https://solo5estrellas.com/hotels/4079/Hotel_Ercilla_de_Bilbao,_Autograph_Collection.html</t>
  </si>
  <si>
    <t xml:space="preserve">https://solo5estrellas.com/hotels/6473/gran-melia-palacio-de-isora.html</t>
  </si>
  <si>
    <t xml:space="preserve">https://solo5estrellas.com/collection/70/Renaissance_Hotels_under_The_Marriott_Luminous_Program.html</t>
  </si>
  <si>
    <t xml:space="preserve">https://solo5estrellas.com/hotels/4310/muu-bangkok-hotel.html</t>
  </si>
  <si>
    <t xml:space="preserve">https://solo5estrellas.com/hotels/3540/the-alexander-a-luxury-collection-hotel-.html</t>
  </si>
  <si>
    <t xml:space="preserve">https://solo5estrellas.com/hotels/6349/le-sereno-hotel-st-barths.html</t>
  </si>
  <si>
    <t xml:space="preserve">https://solo5estrellas.com/hotels/5034/fogo-island-inn.html</t>
  </si>
  <si>
    <t xml:space="preserve">https://solo5estrellas.com/collection/36/sofitel-hotels-under-the-accor-hera-program.html</t>
  </si>
  <si>
    <t xml:space="preserve">https://solo5estrellas.com/hotels/1346/le-taha-a-island-resort-spa.html</t>
  </si>
  <si>
    <t xml:space="preserve">https://solo5estrellas.com/hotels/4965/Sofitel_Phnom_Penh_Phokeethra.html</t>
  </si>
  <si>
    <t xml:space="preserve">https://solo5estrellas.com/hotels/2032/david-intercontinental-tel-aviv.html</t>
  </si>
  <si>
    <t xml:space="preserve">https://solo5estrellas.com/collection/73/Tribute-Portfolio-Hotels-under-the-Marriott-Luminous-Program.html</t>
  </si>
  <si>
    <t xml:space="preserve">https://solo5estrellas.com/hotels/3793/london-marriott-hotel-grosvenor-square.html</t>
  </si>
  <si>
    <t xml:space="preserve">https://solo5estrellas.com/hotels/2596/four-seasons-hotel-baku.html</t>
  </si>
  <si>
    <t xml:space="preserve">https://solo5estrellas.com/hotels/1208/the-fairmont-hotel-vancouver.html</t>
  </si>
  <si>
    <t xml:space="preserve">https://solo5estrellas.com/hotels/6610/fairmont-tazi-palace-tangier.html</t>
  </si>
  <si>
    <t xml:space="preserve">https://solo5estrellas.com/states/128/Wisconsin.html</t>
  </si>
  <si>
    <t xml:space="preserve">https://solo5estrellas.com/cities/910/Porto-Cervo.html</t>
  </si>
  <si>
    <t xml:space="preserve">https://solo5estrellas.com/hotels/6544/duo-milan-porta-nuova-a-tribute-portfolio-hotel.html</t>
  </si>
  <si>
    <t xml:space="preserve">https://solo5estrellas.com/hotels/4423/on-the-rocks-santorini.html</t>
  </si>
  <si>
    <t xml:space="preserve">https://solo5estrellas.com/collection/37/the-dorchester-collection-hotels-under-the-diamond-club-program.html</t>
  </si>
  <si>
    <t xml:space="preserve">https://solo5estrellas.com/hotels/4079/hotel-ercilla-de-bilbao-autograph-collection.html</t>
  </si>
  <si>
    <t xml:space="preserve">https://solo5estrellas.com/hotels/6922/renaissance-cairo-mirage-city-hotel.html</t>
  </si>
  <si>
    <t xml:space="preserve">https://solo5estrellas.com/hotels/6074/hotel-casa-palmela.html</t>
  </si>
  <si>
    <t xml:space="preserve">https://solo5estrellas.com/hotels/2930/the-ritz-carlton-chengdu.html</t>
  </si>
  <si>
    <t xml:space="preserve">https://solo5estrellas.com/hotels/3848/the-westin-lake-las-vegas-resort-spa.html</t>
  </si>
  <si>
    <t xml:space="preserve">https://solo5estrellas.com/hotels/3068/hotel-zeppelin.html</t>
  </si>
  <si>
    <t xml:space="preserve">https://solo5estrellas.com/hotels/2616/JW-Marriott-Guanacaste-Resort-Spa.html</t>
  </si>
  <si>
    <t xml:space="preserve">https://solo5estrellas.com/hotels/3348/shangri-la-hambantota-resort.html</t>
  </si>
  <si>
    <t xml:space="preserve">https://solo5estrellas.com/hotels/3288/four-seasons-hotel-megeve.html</t>
  </si>
  <si>
    <t xml:space="preserve">https://solo5estrellas.com/hotels/1166/four-seasons-hotel-sydney.html</t>
  </si>
  <si>
    <t xml:space="preserve">https://solo5estrellas.com/hotels/1083/grand-hotel-zermatterhof.html</t>
  </si>
  <si>
    <t xml:space="preserve">https://solo5estrellas.com/hotels/2807/castillo-hotel-son-vida.html</t>
  </si>
  <si>
    <t xml:space="preserve">https://solo5estrellas.com/hotels/3879/the-ritz-carlton-residences-at-dorado-beach.html</t>
  </si>
  <si>
    <t xml:space="preserve">https://solo5estrellas.com/hotels/3259/renaissance-esmeralda-resort-spa-at-indian-wells.html</t>
  </si>
  <si>
    <t xml:space="preserve">https://solo5estrellas.com/hotels/6587/sheraton-grand-krakow.html</t>
  </si>
  <si>
    <t xml:space="preserve">https://solo5estrellas.com/hotels/1044/the-ritz-london.html</t>
  </si>
  <si>
    <t xml:space="preserve">https://solo5estrellas.com/hotels/4174/waldorf-versailles-trianon-palace.html</t>
  </si>
  <si>
    <t xml:space="preserve">https://solo5estrellas.com/hotels/6567/Sanctuary-Cap-Cana-Adult-All-Inclusive-Resort.html</t>
  </si>
  <si>
    <t xml:space="preserve">https://solo5estrellas.com/hotels/6290/The-St-Regis-Kanai-Resort-Riviera-Maya.html</t>
  </si>
  <si>
    <t xml:space="preserve">https://solo5estrellas.com/hotels/3898/the-westin-carlsbad-resort-spa.html</t>
  </si>
  <si>
    <t xml:space="preserve">https://solo5estrellas.com/hotels/4435/nobu-hotel-ibiza-bay.html</t>
  </si>
  <si>
    <t xml:space="preserve">https://solo5estrellas.com/states/130/Wyoming.html</t>
  </si>
  <si>
    <t xml:space="preserve">https://solo5estrellas.com/countries/15/Canada.html</t>
  </si>
  <si>
    <t xml:space="preserve">https://solo5estrellas.com/hotels/6323/waldorf-astoria-kuwait.html</t>
  </si>
  <si>
    <t xml:space="preserve">https://solo5estrellas.com/hotels/4389/cosmopolitan-suites.html</t>
  </si>
  <si>
    <t xml:space="preserve">https://solo5estrellas.com/hotels/6910/jw-marriott-hotel-tokyo.html</t>
  </si>
  <si>
    <t xml:space="preserve">https://solo5estrellas.com/collection/88/Banyan-Tree-.html</t>
  </si>
  <si>
    <t xml:space="preserve">https://solo5estrellas.com/hotels/2001/the-charles-hotel.html</t>
  </si>
  <si>
    <t xml:space="preserve">https://solo5estrellas.com/countries/120/Colombia.html</t>
  </si>
  <si>
    <t xml:space="preserve">https://solo5estrellas.com/hotels/2473/the-cosmopolitan-of-las-vegas.html</t>
  </si>
  <si>
    <t xml:space="preserve">https://solo5estrellas.com/hotels/6689/four-seasons-hotel-hangzhou-at-hangzhou-centre.html</t>
  </si>
  <si>
    <t xml:space="preserve">https://solo5estrellas.com/hotels/3100/shangri-la-hotel-chiang-mai.html</t>
  </si>
  <si>
    <t xml:space="preserve">https://solo5estrellas.com/hotels/1326/four-seasons-hotel-miami-.html</t>
  </si>
  <si>
    <t xml:space="preserve">https://solo5estrellas.com/hotels/3213/Siam-Kempinski-Hotel-Bangkok.html</t>
  </si>
  <si>
    <t xml:space="preserve">https://solo5estrellas.com/hotels/2434/the-savoy.html</t>
  </si>
  <si>
    <t xml:space="preserve">https://solo5estrellas.com/hotels/6580/omni-pga-frisco-resort.html</t>
  </si>
  <si>
    <t xml:space="preserve">https://solo5estrellas.com/collection/94/regent-hotels.html</t>
  </si>
  <si>
    <t xml:space="preserve">https://solo5estrellas.com/hotels/6090/op-oost-boutique-hotel-restaurant.html</t>
  </si>
  <si>
    <t xml:space="preserve">https://solo5estrellas.com/hotels/3355/chateau-la-cheneviere.html</t>
  </si>
  <si>
    <t xml:space="preserve">https://solo5estrellas.com/hotels/1784/belmond-grand-hotel-timeo-.html</t>
  </si>
  <si>
    <t xml:space="preserve">https://solo5estrellas.com/browse_hotel.cfm?hotelID=6745</t>
  </si>
  <si>
    <t xml:space="preserve">https://solo5estrellas.com/hotels/6283/velaa-private-island.html</t>
  </si>
  <si>
    <t xml:space="preserve">https://solo5estrellas.com/hotels/4967/fairmont-makati.html</t>
  </si>
  <si>
    <t xml:space="preserve">https://solo5estrellas.com/hotels/1523/Amanyara.html</t>
  </si>
  <si>
    <t xml:space="preserve">https://solo5estrellas.com/hotels/2368/wynn-las-vegas-and-encore.html</t>
  </si>
  <si>
    <t xml:space="preserve">https://solo5estrellas.com/hotels/2173/four-seasons-hotel-istanbul-bosphorus-.html</t>
  </si>
  <si>
    <t xml:space="preserve">https://solo5estrellas.com/hotels/3001/hotel-unico-madrid.html</t>
  </si>
  <si>
    <t xml:space="preserve">https://solo5estrellas.com/cities/744/Nairobi.html</t>
  </si>
  <si>
    <t xml:space="preserve">https://solo5estrellas.com/hotels/6100/etereo-kanai-auberge-collection.html</t>
  </si>
  <si>
    <t xml:space="preserve">https://solo5estrellas.com/hotels/1158/luna-hotel-baglioni-.html</t>
  </si>
  <si>
    <t xml:space="preserve">https://solo5estrellas.com/hotels/1961/caesars-palace.html</t>
  </si>
  <si>
    <t xml:space="preserve">https://solo5estrellas.com/hotels/6419/andronis-minois.html</t>
  </si>
  <si>
    <t xml:space="preserve">https://solo5estrellas.com/hotels/6973/bairro-alto-hotel.html</t>
  </si>
  <si>
    <t xml:space="preserve">https://solo5estrellas.com/hotels/5030/rand-tower-minneapolis-a-tribute-portfolio-hotel.html</t>
  </si>
  <si>
    <t xml:space="preserve">https://solo5estrellas.com/hotels/1832/bellevue-palace-.html</t>
  </si>
  <si>
    <t xml:space="preserve">https://solo5estrellas.com/hotels/3854/the-westin-kierland-resort-spa.html</t>
  </si>
  <si>
    <t xml:space="preserve">https://solo5estrellas.com/hotels/7100/Andronis-Luxury-Suites.html</t>
  </si>
  <si>
    <t xml:space="preserve">https://solo5estrellas.com/hotels/2524/grand-hotel-stockholm-.html</t>
  </si>
  <si>
    <t xml:space="preserve">https://solo5estrellas.com/hotels/3576/anantara-siam-bangkok-hotel.html</t>
  </si>
  <si>
    <t xml:space="preserve">https://solo5estrellas.com/hotels/6813/four-seasons-naples-beach-club.html</t>
  </si>
  <si>
    <t xml:space="preserve">https://solo5estrellas.com/hotels/2882/trump-national-doral-miami-.html</t>
  </si>
  <si>
    <t xml:space="preserve">https://solo5estrellas.com/hotels/4467/hospes-infante-sagres-porto.html</t>
  </si>
  <si>
    <t xml:space="preserve">https://solo5estrellas.com/hotels/4241/royal-hotel-sanremo.html</t>
  </si>
  <si>
    <t xml:space="preserve">https://solo5estrellas.com/hotels/2737/westin-lima-hotel-convention-center.html</t>
  </si>
  <si>
    <t xml:space="preserve">https://solo5estrellas.com/hotels/4033/equinox-hotel-hudson-yard.html</t>
  </si>
  <si>
    <t xml:space="preserve">https://solo5estrellas.com/collection/25/preferred-hotels-resorts-under-the-preferred-platinum-program.html</t>
  </si>
  <si>
    <t xml:space="preserve">https://solo5estrellas.com/hotels/3311/karen-blixen-camp.html</t>
  </si>
  <si>
    <t xml:space="preserve">https://solo5estrellas.com/hotels/4238/solage-auberge-collection.html</t>
  </si>
  <si>
    <t xml:space="preserve">https://solo5estrellas.com/hotels/7088/conrad-athens-the-ilisian.html</t>
  </si>
  <si>
    <t xml:space="preserve">https://solo5estrellas.com/hotels/3720/jw-marriott-hotel-mexico-city.html</t>
  </si>
  <si>
    <t xml:space="preserve">https://solo5estrellas.com/hotels/1120/ulusaba-private-game-reserve.html</t>
  </si>
  <si>
    <t xml:space="preserve">https://solo5estrellas.com/hotels/4168/waldorf-astoria-beijing.html</t>
  </si>
  <si>
    <t xml:space="preserve">https://solo5estrellas.com/hotels/4670/ritz-carlton-turks-caicos-.html</t>
  </si>
  <si>
    <t xml:space="preserve">https://solo5estrellas.com/hotels/6848/ESPACIO-The-Jewel-of-Waikiki.html</t>
  </si>
  <si>
    <t xml:space="preserve">https://solo5estrellas.com/hotels/3307/la-cantera-resort-spa.html</t>
  </si>
  <si>
    <t xml:space="preserve">https://solo5estrellas.com/hotels/3696/the-lodge-spa-at-brush-creek-ranch.html</t>
  </si>
  <si>
    <t xml:space="preserve">https://solo5estrellas.com/hotels/4674/jw-marriott-hotel-nara.html</t>
  </si>
  <si>
    <t xml:space="preserve">https://solo5estrellas.com/hotels/1209/fairmont-the-queen-elizabeth-hotel.html</t>
  </si>
  <si>
    <t xml:space="preserve">https://solo5estrellas.com/hotels/4962/sofitel-bangkok-sukhumvit.html</t>
  </si>
  <si>
    <t xml:space="preserve">https://solo5estrellas.com/hotels/6728/jw-marriott-hotel-berlin.html</t>
  </si>
  <si>
    <t xml:space="preserve">https://solo5estrellas.com/hotels/1352/the-gritti-palace.html</t>
  </si>
  <si>
    <t xml:space="preserve">https://solo5estrellas.com/hotels/6239/the-tampa-edition.html</t>
  </si>
  <si>
    <t xml:space="preserve">https://solo5estrellas.com/hotels/4193/Anantara-Al-Jabal-Al-Akhdar-Resort.html</t>
  </si>
  <si>
    <t xml:space="preserve">https://solo5estrellas.com/hotels/3479/rosewood-san-miguel-allende.html</t>
  </si>
  <si>
    <t xml:space="preserve">https://solo5estrellas.com/hotels/1359/intercontinental-paris-le-grand-hotel-.html</t>
  </si>
  <si>
    <t xml:space="preserve">https://solo5estrellas.com/hotels/6675/lindner-hotel-mallorca-portals-nous.html</t>
  </si>
  <si>
    <t xml:space="preserve">https://solo5estrellas.com/hotels/7019/the-shilla-seoul.html</t>
  </si>
  <si>
    <t xml:space="preserve">https://solo5estrellas.com/hotels/3316/nobis-hotel-copenhagen.html</t>
  </si>
  <si>
    <t xml:space="preserve">https://solo5estrellas.com/hotels/2329/park-hyatt-istanbul-macka-palas.html</t>
  </si>
  <si>
    <t xml:space="preserve">https://solo5estrellas.com/hotels/1446/the-gleneagles-hotel.html</t>
  </si>
  <si>
    <t xml:space="preserve">https://solo5estrellas.com/hotels/2781/st-pancras-london.html</t>
  </si>
  <si>
    <t xml:space="preserve">https://solo5estrellas.com/hotels/4691/renaissance-bali-uluwatu-resort-spa.html</t>
  </si>
  <si>
    <t xml:space="preserve">https://solo5estrellas.com/hotels/4367/l-hotel.html</t>
  </si>
  <si>
    <t xml:space="preserve">https://solo5estrellas.com/hotels/6274/gaylord-national-resort-convention-center.html</t>
  </si>
  <si>
    <t xml:space="preserve">https://solo5estrellas.com/hotels/4886/fairmont-royal-palm-marrakech-.html</t>
  </si>
  <si>
    <t xml:space="preserve">https://solo5estrellas.com/hotels/6479/banyan-tree-phuket.html</t>
  </si>
  <si>
    <t xml:space="preserve">https://solo5estrellas.com/hotels/1195/belmond-grand-hotel-europe.html</t>
  </si>
  <si>
    <t xml:space="preserve">https://solo5estrellas.com/hotels/7016/jw-marriott-hotel-marina-.html</t>
  </si>
  <si>
    <t xml:space="preserve">https://solo5estrellas.com/hotels/3293/the-diplomat-beach-resort-.html</t>
  </si>
  <si>
    <t xml:space="preserve">https://solo5estrellas.com/collection/42/trump-hotels-resorts-under-the-trump-elite-program.html</t>
  </si>
  <si>
    <t xml:space="preserve">https://solo5estrellas.com/hotels/6442/Rissai_Valley,_a_Ritz-Carlton_Reserve.html</t>
  </si>
  <si>
    <t xml:space="preserve">https://solo5estrellas.com/hotels/4349/hotel-vestibul-palace.html</t>
  </si>
  <si>
    <t xml:space="preserve">https://solo5estrellas.com/hotels/7057/the-fish-hotel.html</t>
  </si>
  <si>
    <t xml:space="preserve">https://solo5estrellas.com/hotels/3505/the-ritz-carlton-reynolds-lake-oconee.html</t>
  </si>
  <si>
    <t xml:space="preserve">https://solo5estrellas.com/hotels/3384/grand-hyatt-taipei.html</t>
  </si>
  <si>
    <t xml:space="preserve">https://solo5estrellas.com/hotels/4721/sheraton-kauai-coconut-beach-resort-.html</t>
  </si>
  <si>
    <t xml:space="preserve">https://solo5estrellas.com/hotels/3476/perry-lane-hotel-savannah.html</t>
  </si>
  <si>
    <t xml:space="preserve">https://solo5estrellas.com/hotels/2324/belmond-hotel-das-cataratas-.html</t>
  </si>
  <si>
    <t xml:space="preserve">https://solo5estrellas.com/hotels/6131/fairmont-nile-city-hotel.html</t>
  </si>
  <si>
    <t xml:space="preserve">https://solo5estrellas.com/collection/33/shangri-la-hotels-under-the-luxury-circle-program.html</t>
  </si>
  <si>
    <t xml:space="preserve">https://solo5estrellas.com/hotels/3491/the-ritz-carlton-jeddah.html</t>
  </si>
  <si>
    <t xml:space="preserve">https://solo5estrellas.com/hotels/6941/clearwater-beach-marriott-resort-on-sand-key.html</t>
  </si>
  <si>
    <t xml:space="preserve">https://solo5estrellas.com/hotels/6553/four-seasons-rabat-at-kasr-al-bahr.html</t>
  </si>
  <si>
    <t xml:space="preserve">https://solo5estrellas.com/hotels/1122/grand-hotel-tremezzo-lake-como-.html</t>
  </si>
  <si>
    <t xml:space="preserve">https://solo5estrellas.com/hotels/5047/anantara-bazaruto-island-resort.html</t>
  </si>
  <si>
    <t xml:space="preserve">https://solo5estrellas.com/hotels/1838/four-seasons-hotel-new-york.html</t>
  </si>
  <si>
    <t xml:space="preserve">https://solo5estrellas.com/hotels/1182/Baglioni-Hotel-Regina.html</t>
  </si>
  <si>
    <t xml:space="preserve">https://solo5estrellas.com/browse_hotel.cfm?hotelID=6245</t>
  </si>
  <si>
    <t xml:space="preserve">https://solo5estrellas.com/states/112/Ontario.html</t>
  </si>
  <si>
    <t xml:space="preserve">https://solo5estrellas.com/states/124/Utah.html</t>
  </si>
  <si>
    <t xml:space="preserve">https://solo5estrellas.com/hotels/7114/rosewood-amaala.html</t>
  </si>
  <si>
    <t xml:space="preserve">https://solo5estrellas.com/cities/446/Doha.html</t>
  </si>
  <si>
    <t xml:space="preserve">https://solo5estrellas.com/hotels/4635/nobu-las-vegas-at-caesars-palace.html</t>
  </si>
  <si>
    <t xml:space="preserve">https://solo5estrellas.com/browse_city.cfm?cityid=1450</t>
  </si>
  <si>
    <t xml:space="preserve">https://solo5estrellas.com/hotels/5043/risorgimento-resort.html</t>
  </si>
  <si>
    <t xml:space="preserve">https://solo5estrellas.com/hotels/7095/hotel-reisen.html</t>
  </si>
  <si>
    <t xml:space="preserve">https://solo5estrellas.com/hotels/2080/fairmont-century-plaza.html</t>
  </si>
  <si>
    <t xml:space="preserve">https://solo5estrellas.com/hotels/3332/Intercontinental-Los-Angeles-Downtown.html</t>
  </si>
  <si>
    <t xml:space="preserve">https://solo5estrellas.com/cities/649/Copenhagen.html</t>
  </si>
  <si>
    <t xml:space="preserve">https://solo5estrellas.com/hotels/4481/la-villa-del-re-hotel.html</t>
  </si>
  <si>
    <t xml:space="preserve">https://solo5estrellas.com/hotels/1471/la-quinta-resort-club.html</t>
  </si>
  <si>
    <t xml:space="preserve">https://solo5estrellas.com/hotels/2929/the-ritz-carlton-almaty.html</t>
  </si>
  <si>
    <t xml:space="preserve">https://solo5estrellas.com/hotels/4261/omni-amelia-island-resort.html</t>
  </si>
  <si>
    <t xml:space="preserve">https://solo5estrellas.com/hotels/1070/miraval-arizona-resort-spa.html</t>
  </si>
  <si>
    <t xml:space="preserve">https://solo5estrellas.com/hotels/6575/sanasaryan-han-a-luxury-collection-hotel-istanbul.html</t>
  </si>
  <si>
    <t xml:space="preserve">https://solo5estrellas.com/hotels/6741/Six_Senses_Southern_Dunes.html</t>
  </si>
  <si>
    <t xml:space="preserve">https://solo5estrellas.com/hotels/1017/le-sirenuse.html</t>
  </si>
  <si>
    <t xml:space="preserve">https://solo5estrellas.com/hotels/4845/fairmont-tremblant.html</t>
  </si>
  <si>
    <t xml:space="preserve">https://solo5estrellas.com/hotels/5031/the-chase-park-plaza-royal-sonesta-st-louis.html</t>
  </si>
  <si>
    <t xml:space="preserve">https://solo5estrellas.com/hotels/1271/Four-Seasons-Resort-Costa-Rica-.html</t>
  </si>
  <si>
    <t xml:space="preserve">https://solo5estrellas.com/hotels/3913/grand-hyatt-barcelona.html</t>
  </si>
  <si>
    <t xml:space="preserve">https://solo5estrellas.com/cities/17/Avignon.html</t>
  </si>
  <si>
    <t xml:space="preserve">https://solo5estrellas.com/collection/1/fairmont-hotels-under-accor-s-hera-program.html</t>
  </si>
  <si>
    <t xml:space="preserve">https://solo5estrellas.com/hotels/1305/laplaya-beach-and-golf-resort.html</t>
  </si>
  <si>
    <t xml:space="preserve">https://solo5estrellas.com/hotels/6481/the-artisan-istanbul-mgallery.html</t>
  </si>
  <si>
    <t xml:space="preserve">https://solo5estrellas.com/hotels/7044/conrad-shanghai.html</t>
  </si>
  <si>
    <t xml:space="preserve">https://solo5estrellas.com/hotels/1433/eau-palm-beach-resort-spa.html</t>
  </si>
  <si>
    <t xml:space="preserve">https://solo5estrellas.com/hotels/1337/the-breakers-palm-beach.html</t>
  </si>
  <si>
    <t xml:space="preserve">https://solo5estrellas.com/hotels/6590/jw-marriott-hotel-frankfurt.html</t>
  </si>
  <si>
    <t xml:space="preserve">https://solo5estrellas.com/collection/54/andaz-hotels-under-the-hyatt-prive-program.html</t>
  </si>
  <si>
    <t xml:space="preserve">https://solo5estrellas.com/hotels/1500/park-hyatt-zurich.html</t>
  </si>
  <si>
    <t xml:space="preserve">https://solo5estrellas.com/hotels/1364/one-only-royal-mirage-dubai.html</t>
  </si>
  <si>
    <t xml:space="preserve">https://solo5estrellas.com/hotels/1888/the-peninsula-manila.html</t>
  </si>
  <si>
    <t xml:space="preserve">https://solo5estrellas.com/hotels/2776/selman-marrakech.html</t>
  </si>
  <si>
    <t xml:space="preserve">https://solo5estrellas.com/hotels/3289/four-seasons-resort-seychelles-at-desroches-island.html</t>
  </si>
  <si>
    <t xml:space="preserve">https://solo5estrellas.com/hotels/6534/epic-sana-marques.html</t>
  </si>
  <si>
    <t xml:space="preserve">https://solo5estrellas.com/hotels/4667/hotel-le-fontanelle.html</t>
  </si>
  <si>
    <t xml:space="preserve">https://solo5estrellas.com/hotels/6770/thompson-miami-beach.html</t>
  </si>
  <si>
    <t xml:space="preserve">https://solo5estrellas.com/hotels/6934/andaz-lisbon.html</t>
  </si>
  <si>
    <t xml:space="preserve">https://solo5estrellas.com/hotels/4678/the-slaak-rotterdam-a-tribute-portfolio-hotel.html</t>
  </si>
  <si>
    <t xml:space="preserve">https://solo5estrellas.com/cities/2533/Coimbra.html</t>
  </si>
  <si>
    <t xml:space="preserve">https://solo5estrellas.com/cities/221/Portofino.html</t>
  </si>
  <si>
    <t xml:space="preserve">https://solo5estrellas.com/hotels/4501/sina-palazzo-sant-angelo.html</t>
  </si>
  <si>
    <t xml:space="preserve">https://solo5estrellas.com/hotels/1717/fairmont-mayakoba.html</t>
  </si>
  <si>
    <t xml:space="preserve">https://solo5estrellas.com/hotels/3838/the-blackstone-autograph-collection.html</t>
  </si>
  <si>
    <t xml:space="preserve">https://solo5estrellas.com/hotels/2590/the-singular-patagonia-.html</t>
  </si>
  <si>
    <t xml:space="preserve">https://solo5estrellas.com/hotels/4974/prince-waikiki.html</t>
  </si>
  <si>
    <t xml:space="preserve">https://solo5estrellas.com/hotels/4503/hotel-villa-carlotta.html</t>
  </si>
  <si>
    <t xml:space="preserve">https://solo5estrellas.com/hotels/4140/conrad-london-st-james.html</t>
  </si>
  <si>
    <t xml:space="preserve">https://solo5estrellas.com/hotels/6375/wildflower-farms-hotel-auberge-collection.html</t>
  </si>
  <si>
    <t xml:space="preserve">https://solo5estrellas.com/hotels/2710/canaves-oia-epitome.html</t>
  </si>
  <si>
    <t xml:space="preserve">https://solo5estrellas.com/hotels/3263/jw-marriott-marco-island-beach-resort.html</t>
  </si>
  <si>
    <t xml:space="preserve">https://solo5estrellas.com/hotels/6979/-grace-la-margna-st-moritz.html</t>
  </si>
  <si>
    <t xml:space="preserve">https://solo5estrellas.com/hotels/3015/The-Westin-Punta-Cana-Resort-Club-.html</t>
  </si>
  <si>
    <t xml:space="preserve">https://solo5estrellas.com/hotels/2389/la-reserve-paris.html</t>
  </si>
  <si>
    <t xml:space="preserve">https://solo5estrellas.com/hotels/3613/hotel-splendide-royal-lugano.html</t>
  </si>
  <si>
    <t xml:space="preserve">https://solo5estrellas.com/hotels/6976/viceroy-at-ombria-algarve.html</t>
  </si>
  <si>
    <t xml:space="preserve">https://solo5estrellas.com/hotels/7034/Tommy-Bahama-Miramonte-Resort-Spa.html</t>
  </si>
  <si>
    <t xml:space="preserve">https://solo5estrellas.com/hotels/1205/park-hyatt-washington-d-c-.html</t>
  </si>
  <si>
    <t xml:space="preserve">https://solo5estrellas.com/hotels/3449/park-hyatt-maldives-hadahaa.html</t>
  </si>
  <si>
    <t xml:space="preserve">https://solo5estrellas.com/hotels/5044/Baglioni-Resort-Sardinia.html</t>
  </si>
  <si>
    <t xml:space="preserve">https://solo5estrellas.com/hotels/5068/pendry-chicago.html</t>
  </si>
  <si>
    <t xml:space="preserve">https://solo5estrellas.com/hotels/4436/hacienda-zorita-wine-hotel-organic-farm.html</t>
  </si>
  <si>
    <t xml:space="preserve">https://solo5estrellas.com/hotels/6309/casa-cipriani-milano.html</t>
  </si>
  <si>
    <t xml:space="preserve">https://solo5estrellas.com/hotels/3682/-four-seasons-les-chalets-du-mont-d-arbois-megeve-.html</t>
  </si>
  <si>
    <t xml:space="preserve">https://solo5estrellas.com/hotels/1879/ashford-castle-.html</t>
  </si>
  <si>
    <t xml:space="preserve">https://solo5estrellas.com/hotels/4492/hotel-ai-reali-de-venezia-venice.html</t>
  </si>
  <si>
    <t xml:space="preserve">https://solo5estrellas.com/states/114/Pennsylvania.html</t>
  </si>
  <si>
    <t xml:space="preserve">https://solo5estrellas.com/hotels/1676/belmond-khwai-river-lodge.html</t>
  </si>
  <si>
    <t xml:space="preserve">https://solo5estrellas.com/hotels/957/canyon-ranch-tucson-br-all-inclusive-.html</t>
  </si>
  <si>
    <t xml:space="preserve">https://solo5estrellas.com/hotels/1096/four-seasons-paris-george-v.html</t>
  </si>
  <si>
    <t xml:space="preserve">https://solo5estrellas.com/hotels/7075/Fouquet's_Mykonos.html</t>
  </si>
  <si>
    <t xml:space="preserve">https://solo5estrellas.com/hotels/5043/Risorgimento-Resort.html</t>
  </si>
  <si>
    <t xml:space="preserve">https://solo5estrellas.com/hotels/2894/Sonora-Resort-br-All-Inclusive.html</t>
  </si>
  <si>
    <t xml:space="preserve">https://solo5estrellas.com/hotels/6857/paradero-todos-santos.html</t>
  </si>
  <si>
    <t xml:space="preserve">https://solo5estrellas.com/hotels/4449/amani-boutique-hotel.html</t>
  </si>
  <si>
    <t xml:space="preserve">https://solo5estrellas.com/collection/28/grand-hyatt-under-the-hyatt-prive-prorgam.html</t>
  </si>
  <si>
    <t xml:space="preserve">https://solo5estrellas.com/hotels/3264/casa-monica-resort-spa-autograph-collection.html</t>
  </si>
  <si>
    <t xml:space="preserve">https://solo5estrellas.com/hotels/4333/S-Hotel-Jamaica.html</t>
  </si>
  <si>
    <t xml:space="preserve">https://solo5estrellas.com/hotels/6465/buahan-a-banyan-tree-escape.html</t>
  </si>
  <si>
    <t xml:space="preserve">https://solo5estrellas.com/hotels/1532/amanpulo.html</t>
  </si>
  <si>
    <t xml:space="preserve">https://solo5estrellas.com/hotels/7087/A_Mandria_di_Murtoli.html</t>
  </si>
  <si>
    <t xml:space="preserve">https://solo5estrellas.com/collection/8/Park-Hyatt-Hotels-under-The-Hyatt-PRIVE-Program.html</t>
  </si>
  <si>
    <t xml:space="preserve">https://solo5estrellas.com/hotels/4106/hotel-luc-.html</t>
  </si>
  <si>
    <t xml:space="preserve">https://solo5estrellas.com/hotels/1048/the-peninsula-new-york-.html</t>
  </si>
  <si>
    <t xml:space="preserve">https://solo5estrellas.com/hotels/6576/domes-zeen-chania.html</t>
  </si>
  <si>
    <t xml:space="preserve">https://solo5estrellas.com/hotels/3169/alila-napa-valley.html</t>
  </si>
  <si>
    <t xml:space="preserve">https://solo5estrellas.com/hotels/6579/domes-of-corfu.html</t>
  </si>
  <si>
    <t xml:space="preserve">https://solo5estrellas.com/hotels/6494/1-hotel-brooklyn-bridge.html</t>
  </si>
  <si>
    <t xml:space="preserve">https://solo5estrellas.com/hotels/2478/jade-mountain.html</t>
  </si>
  <si>
    <t xml:space="preserve">https://solo5estrellas.com/hotels/1414/four-seasons-resort-punta-mita.html</t>
  </si>
  <si>
    <t xml:space="preserve">https://solo5estrellas.com/hotels/3719/hotel-de-bourgtheroulde-autograph-collection-.html</t>
  </si>
  <si>
    <t xml:space="preserve">https://solo5estrellas.com/hotels/4884/fairmont-taghazout-bay.html</t>
  </si>
  <si>
    <t xml:space="preserve">https://solo5estrellas.com/hotels/3340/castello-banfi-wine-resort.html</t>
  </si>
  <si>
    <t xml:space="preserve">https://solo5estrellas.com/hotels/6391/the-lodge-mallorca.html</t>
  </si>
  <si>
    <t xml:space="preserve">https://solo5estrellas.com/collection/31/W-Hotels-under-the-Marriott-Luminous-Program.html</t>
  </si>
  <si>
    <t xml:space="preserve">https://solo5estrellas.com/hotels/3074/the-prince-gallery-tokyo-kioicho.html</t>
  </si>
  <si>
    <t xml:space="preserve">https://solo5estrellas.com/hotels/3232/explora-valle-sagrado.html</t>
  </si>
  <si>
    <t xml:space="preserve">https://solo5estrellas.com/hotels/6519/the-rebello-hotel.html</t>
  </si>
  <si>
    <t xml:space="preserve">https://solo5estrellas.com/states/71/Alabama.html</t>
  </si>
  <si>
    <t xml:space="preserve">https://solo5estrellas.com/hotels/2234/shangri-la-hotel-dubai.html</t>
  </si>
  <si>
    <t xml:space="preserve">https://solo5estrellas.com/hotels/4405/tiara-miramar-beach-hotel-spa.html</t>
  </si>
  <si>
    <t xml:space="preserve">https://solo5estrellas.com/collection/80/conrad-hotels-resorts-under-the-hilton-for-luxury-porgram.html</t>
  </si>
  <si>
    <t xml:space="preserve">https://solo5estrellas.com/hotels/1258/hotel-claris-barcelona.html</t>
  </si>
  <si>
    <t xml:space="preserve">https://solo5estrellas.com/hotels/2316/the-peninsula-shanghai.html</t>
  </si>
  <si>
    <t xml:space="preserve">https://solo5estrellas.com/states/127/Washington.html</t>
  </si>
  <si>
    <t xml:space="preserve">https://solo5estrellas.com/hotels/3526/The_Santa_Maria_Hotel_&amp;_Golf_Resort.html</t>
  </si>
  <si>
    <t xml:space="preserve">https://solo5estrellas.com/hotels/942/Belmond_Copacabana_Palace.html</t>
  </si>
  <si>
    <t xml:space="preserve">https://solo5estrellas.com/hotels/3663/Alohilani-Resort-Waikiki-Beach.html</t>
  </si>
  <si>
    <t xml:space="preserve">https://solo5estrellas.com/hotels/2836/The_St._Regis_Sanya_Yalong_Bay_Resort.html</t>
  </si>
  <si>
    <t xml:space="preserve">https://solo5estrellas.com/hotels/6078/Crown-Towers-Melbourne.html</t>
  </si>
  <si>
    <t xml:space="preserve">https://solo5estrellas.com/hotels/2641/hotel-kamp.html</t>
  </si>
  <si>
    <t xml:space="preserve">https://solo5estrellas.com/hotels/4198/hyatt-regency-grand-reserve-puerto-rico.html</t>
  </si>
  <si>
    <t xml:space="preserve">https://solo5estrellas.com/hotels/3499/-l-orologio-firenze.html</t>
  </si>
  <si>
    <t xml:space="preserve">https://solo5estrellas.com/hotels/3735/JW-Marriott-Miami.html</t>
  </si>
  <si>
    <t xml:space="preserve">https://solo5estrellas.com/hotels/7115/six-senses-amaala.html</t>
  </si>
  <si>
    <t xml:space="preserve">https://solo5estrellas.com/cities/1478/Rabat.html</t>
  </si>
  <si>
    <t xml:space="preserve">https://solo5estrellas.com/hotels/4579/the-saint-paul-hotel.html</t>
  </si>
  <si>
    <t xml:space="preserve">https://solo5estrellas.com/hotels/3387/andaz-xintiandi-.html</t>
  </si>
  <si>
    <t xml:space="preserve">https://solo5estrellas.com/hotels/3973/the-talbott-hotel.html</t>
  </si>
  <si>
    <t xml:space="preserve">https://solo5estrellas.com/hotels/1077/belmond-hotel-monasterio-.html</t>
  </si>
  <si>
    <t xml:space="preserve">https://solo5estrellas.com/hotels/4846/hotel-fairmont-palliser.html</t>
  </si>
  <si>
    <t xml:space="preserve">https://solo5estrellas.com/hotels/2551/four-seasons-hotel-baltimore.html</t>
  </si>
  <si>
    <t xml:space="preserve">https://solo5estrellas.com/hotels/6391/The-Lodge-Mallorca.html</t>
  </si>
  <si>
    <t xml:space="preserve">https://solo5estrellas.com/cities/269/Seattle.html</t>
  </si>
  <si>
    <t xml:space="preserve">https://solo5estrellas.com/hotels/1534/amansara.html</t>
  </si>
  <si>
    <t xml:space="preserve">https://solo5estrellas.com/hotels/2512/hotel-president-wilson.html</t>
  </si>
  <si>
    <t xml:space="preserve">https://solo5estrellas.com/hotels/6999/villa-franca.html</t>
  </si>
  <si>
    <t xml:space="preserve">https://solo5estrellas.com/hotels/1562/the-twelve-apostles-hotel-spa.html</t>
  </si>
  <si>
    <t xml:space="preserve">https://solo5estrellas.com/hotels/2601/the-st-regis-saadiyat-island-resort.html</t>
  </si>
  <si>
    <t xml:space="preserve">https://solo5estrellas.com/hotels/6869/Four-Seasons-Puerto-Rico.html</t>
  </si>
  <si>
    <t xml:space="preserve">https://solo5estrellas.com/hotels/3739/jw-marriott-marquis-hotel-dubai.html</t>
  </si>
  <si>
    <t xml:space="preserve">https://solo5estrellas.com/countries/63/Turkey.html</t>
  </si>
  <si>
    <t xml:space="preserve">https://solo5estrellas.com/hotels/6918/the-westin-bora-bora-resort-spa.html</t>
  </si>
  <si>
    <t xml:space="preserve">https://solo5estrellas.com/hotels/6902/labtwentytwo-barcelona-a-tribute-portfolio-hotel.html</t>
  </si>
  <si>
    <t xml:space="preserve">https://solo5estrellas.com/collection/33/Shangri-la_Hotels_under_The_Luxury_Circle_Program.html</t>
  </si>
  <si>
    <t xml:space="preserve">https://solo5estrellas.com/hotels/1841/four-seasons-hotel-amman.html</t>
  </si>
  <si>
    <t xml:space="preserve">https://solo5estrellas.com/hotels/4224/son-bunyola.html</t>
  </si>
  <si>
    <t xml:space="preserve">https://solo5estrellas.com/hotels/3952/grand-hotel-minerva-florence-.html</t>
  </si>
  <si>
    <t xml:space="preserve">https://solo5estrellas.com/hotels/1226/fairmont-hamilton-princess-beach-club.html</t>
  </si>
  <si>
    <t xml:space="preserve">https://solo5estrellas.com/hotels/1163/lake-austin-spa-resort-.html</t>
  </si>
  <si>
    <t xml:space="preserve">https://solo5estrellas.com/hotels/4728/the-vinoy-resort-golf-club-.html</t>
  </si>
  <si>
    <t xml:space="preserve">https://solo5estrellas.com/hotels/2168/pan-pacific-hotel-seattle.html</t>
  </si>
  <si>
    <t xml:space="preserve">https://solo5estrellas.com/hotels/4603/villa-athena-resort.html</t>
  </si>
  <si>
    <t xml:space="preserve">https://solo5estrellas.com/hotels/2047/explora-atacama.html</t>
  </si>
  <si>
    <t xml:space="preserve">https://solo5estrellas.com/hotels/2914/raffles-istanbul.html</t>
  </si>
  <si>
    <t xml:space="preserve">https://solo5estrellas.com/homes/</t>
  </si>
  <si>
    <t xml:space="preserve">https://solo5estrellas.com/hotels/2242/sofitel-auckland-.html</t>
  </si>
  <si>
    <t xml:space="preserve">https://solo5estrellas.com/states/121/Tennessee.html</t>
  </si>
  <si>
    <t xml:space="preserve">https://solo5estrellas.com/hotels/1978/la-casa-que-canta.html</t>
  </si>
  <si>
    <t xml:space="preserve">https://solo5estrellas.com/hotels/6910/JW-Marriott-Hotel-Tokyo.html</t>
  </si>
  <si>
    <t xml:space="preserve">https://solo5estrellas.com/hotels/6435/Rosewood_Munich.html</t>
  </si>
  <si>
    <t xml:space="preserve">https://solo5estrellas.com/hotels/1214/ritz-carlton-central-park-.html</t>
  </si>
  <si>
    <t xml:space="preserve">https://solo5estrellas.com/countries/32/Israel.html</t>
  </si>
  <si>
    <t xml:space="preserve">https://solo5estrellas.com/cities/340/Zurich.html</t>
  </si>
  <si>
    <t xml:space="preserve">https://solo5estrellas.com/hotels/4833/hotel-la-roya.html</t>
  </si>
  <si>
    <t xml:space="preserve">https://solo5estrellas.com/hotels/7014/The_St._Regis_Costa_Mujeres_Resort,_Cancun.html</t>
  </si>
  <si>
    <t xml:space="preserve">https://solo5estrellas.com/hotels/2320/amangiri.html</t>
  </si>
  <si>
    <t xml:space="preserve">https://solo5estrellas.com/hotels/4421/quinta-da-casa-branca.html</t>
  </si>
  <si>
    <t xml:space="preserve">https://solo5estrellas.com/hotels/1254/the-ritz-carlton-bachelor-gulch.html</t>
  </si>
  <si>
    <t xml:space="preserve">https://solo5estrellas.com/hotels/1857/the-ritz-carlton-abama.html</t>
  </si>
  <si>
    <t xml:space="preserve">https://solo5estrellas.com/hotels/6835/The-Westin-Salgados-Beach-Resort-Algarve.html</t>
  </si>
  <si>
    <t xml:space="preserve">https://solo5estrellas.com/hotels/4468/hotel-sahrai.html</t>
  </si>
  <si>
    <t xml:space="preserve">https://solo5estrellas.com/hotels/2358/mauna-kea-beach-hotel-.html</t>
  </si>
  <si>
    <t xml:space="preserve">https://solo5estrellas.com/hotels/1141/hotel-adlon-kempinski-berlin.html</t>
  </si>
  <si>
    <t xml:space="preserve">https://solo5estrellas.com/hotels/1619/the-ritz-carlton-osaka.html</t>
  </si>
  <si>
    <t xml:space="preserve">https://solo5estrellas.com/hotels/6953/conrad-hamburg.html</t>
  </si>
  <si>
    <t xml:space="preserve">https://solo5estrellas.com/hotels/4251/the-joseph-nashville.html</t>
  </si>
  <si>
    <t xml:space="preserve">https://solo5estrellas.com/hotels/3448/park-hyatt-jeddah-marina-club-spa.html</t>
  </si>
  <si>
    <t xml:space="preserve">https://solo5estrellas.com/hotels/1020/park-hyatt-aviara-resort-golf-club-spa.html</t>
  </si>
  <si>
    <t xml:space="preserve">https://solo5estrellas.com/states/79/Florida.html</t>
  </si>
  <si>
    <t xml:space="preserve">https://solo5estrellas.com/hotels/4506/villa-di-piazzano.html</t>
  </si>
  <si>
    <t xml:space="preserve">https://solo5estrellas.com/hotels/3637/grand-hyatt-bogota.html</t>
  </si>
  <si>
    <t xml:space="preserve">https://solo5estrellas.com/hotels/3974/park-hyatt-guangzhou.html</t>
  </si>
  <si>
    <t xml:space="preserve">https://solo5estrellas.com/hotels/6597/bellustar-tokyo-a-pan-pacific-hotel.html</t>
  </si>
  <si>
    <t xml:space="preserve">https://solo5estrellas.com/hotels/2989/aria-hotel-prague.html</t>
  </si>
  <si>
    <t xml:space="preserve">https://solo5estrellas.com/hotels/3126/alchymist-grand-hotel-spa.html</t>
  </si>
  <si>
    <t xml:space="preserve">https://solo5estrellas.com/hotels/4437/finca-serena-mallorca.html</t>
  </si>
  <si>
    <t xml:space="preserve">https://solo5estrellas.com/hotels/4823/fairmont-heritage-place-mayakoba.html</t>
  </si>
  <si>
    <t xml:space="preserve">https://solo5estrellas.com/hotels/3138/splendid-venice.html</t>
  </si>
  <si>
    <t xml:space="preserve">https://solo5estrellas.com/hotels/4223/jw-marriott-orlando-bonnet-creek.html</t>
  </si>
  <si>
    <t xml:space="preserve">https://solo5estrellas.com/hotels/7062/Nine-Orchard-.html</t>
  </si>
  <si>
    <t xml:space="preserve">https://solo5estrellas.com/hotels/2646/the-upper-house.html</t>
  </si>
  <si>
    <t xml:space="preserve">https://solo5estrellas.com/hotels/3794/london-marriott-hotel-park-lane.html</t>
  </si>
  <si>
    <t xml:space="preserve">https://solo5estrellas.com/hotels/6446/Palladio-Hotel-Buenos-Aires-MGallery.html</t>
  </si>
  <si>
    <t xml:space="preserve">https://solo5estrellas.com/collection/17/westin-hotels-resorts-under-the-marriott-luminous-program.html</t>
  </si>
  <si>
    <t xml:space="preserve">https://solo5estrellas.com/hotels/3084/shangri-la-hotel-kuala-lumpur.html</t>
  </si>
  <si>
    <t xml:space="preserve">https://solo5estrellas.com/hotels/4458/great-fosters.html</t>
  </si>
  <si>
    <t xml:space="preserve">https://solo5estrellas.com/collection/95/six-senses-hotels-resorts-under-ihg-s-destined-program.html</t>
  </si>
  <si>
    <t xml:space="preserve">https://solo5estrellas.com/hotels/6863/the-camby.html</t>
  </si>
  <si>
    <t xml:space="preserve">https://solo5estrellas.com/hotels/3090/shangri-la-s-mactan-resort-spa-cebu.html</t>
  </si>
  <si>
    <t xml:space="preserve">https://solo5estrellas.com/hotels/6279/hammock-beach-golf-resort-spa.html</t>
  </si>
  <si>
    <t xml:space="preserve">https://solo5estrellas.com/hotels/1710/hotel-cala-di-volpe.html</t>
  </si>
  <si>
    <t xml:space="preserve">https://solo5estrellas.com/hotels/3967/hyatt-on-the-bund-shanghai.html</t>
  </si>
  <si>
    <t xml:space="preserve">https://solo5estrellas.com/hotels/4315/keemala.html</t>
  </si>
  <si>
    <t xml:space="preserve">https://solo5estrellas.com/hotels/3096/shangri-la-s-rasa-sentosa-resort-spa.html</t>
  </si>
  <si>
    <t xml:space="preserve">https://solo5estrellas.com/hotels/3875/adolphus-hotel.html</t>
  </si>
  <si>
    <t xml:space="preserve">https://solo5estrellas.com/hotels/4186/mr-c-miami-coconut-grove.html</t>
  </si>
  <si>
    <t xml:space="preserve">https://solo5estrellas.com/hotels/4857/Hotel_Sofitel_Montevideo_Casino_Carrasco_and_Spa.html</t>
  </si>
  <si>
    <t xml:space="preserve">https://solo5estrellas.com/specials/</t>
  </si>
  <si>
    <t xml:space="preserve">https://solo5estrellas.com/hotels/6495/1-hotel-central-park.html</t>
  </si>
  <si>
    <t xml:space="preserve">https://solo5estrellas.com/hotels/1177/The_St._Regis_Hotel,_Houston.html</t>
  </si>
  <si>
    <t xml:space="preserve">https://solo5estrellas.com/hotels/3447/park-hyatt-ningbo-resort-spa.html</t>
  </si>
  <si>
    <t xml:space="preserve">https://solo5estrellas.com/hotels/1372/Villa-Gallici.html</t>
  </si>
  <si>
    <t xml:space="preserve">https://solo5estrellas.com/hotels/6549/ambiente-sedona-a-landscape-hotel.html</t>
  </si>
  <si>
    <t xml:space="preserve">https://solo5estrellas.com/cities/100/Peninsula-Papagayo.html</t>
  </si>
  <si>
    <t xml:space="preserve">https://solo5estrellas.com/hotels/6959/the-brown-palace-hotel-and-spa.html</t>
  </si>
  <si>
    <t xml:space="preserve">https://solo5estrellas.com/hotels/6624/hilton-vallarta-riviera-all-inclusive-resort.html</t>
  </si>
  <si>
    <t xml:space="preserve">https://solo5estrellas.com/hotels/6326/conrad-rabat-arzana.html</t>
  </si>
  <si>
    <t xml:space="preserve">https://solo5estrellas.com/hotels/4582/woodstock-inn-resort.html</t>
  </si>
  <si>
    <t xml:space="preserve">https://solo5estrellas.com/hotels/4198/Hyatt-Regency-Grand-Reserve-Puerto-Rico.html</t>
  </si>
  <si>
    <t xml:space="preserve">https://solo5estrellas.com/hotels/2456/the-st-regis-lhasa-resort-.html</t>
  </si>
  <si>
    <t xml:space="preserve">https://solo5estrellas.com/hotels/4346/the-iroquois-new-york.html</t>
  </si>
  <si>
    <t xml:space="preserve">https://solo5estrellas.com/hotels/3268/jw-marriott-orlando-grande-lakes.html</t>
  </si>
  <si>
    <t xml:space="preserve">https://solo5estrellas.com/hotels/7099/Grotta-Giusti-Thermal-Spa-Resort-Tuscany-Autograph-Collection.html</t>
  </si>
  <si>
    <t xml:space="preserve">https://solo5estrellas.com/hotels/4948/fairmont-ambassador-seoul.html</t>
  </si>
  <si>
    <t xml:space="preserve">https://solo5estrellas.com/collection/51/The_Luxury_Collection_under_the_Marriott_STARS_Program.html</t>
  </si>
  <si>
    <t xml:space="preserve">https://solo5estrellas.com/hotels/2594/four-seasons-hotel-guangzhou-.html</t>
  </si>
  <si>
    <t xml:space="preserve">https://solo5estrellas.com/hotels/4900/fairmont-grand-hotel-kyiv.html</t>
  </si>
  <si>
    <t xml:space="preserve">https://solo5estrellas.com/hotels/1882/fairmont-waterfront-.html</t>
  </si>
  <si>
    <t xml:space="preserve">https://solo5estrellas.com/hotels/2373/fairmont-mara-safari-club.html</t>
  </si>
  <si>
    <t xml:space="preserve">https://solo5estrellas.com/collection/36/Sofitel_Hotels_under_The_Accor_HERA_Program.html</t>
  </si>
  <si>
    <t xml:space="preserve">https://solo5estrellas.com/hotels/3401/grand-hyatt-berlin-.html</t>
  </si>
  <si>
    <t xml:space="preserve">https://solo5estrellas.com/hotels/1672/enchantment-resort-.html</t>
  </si>
  <si>
    <t xml:space="preserve">https://solo5estrellas.com/countries/15/Canad-.html</t>
  </si>
  <si>
    <t xml:space="preserve">https://solo5estrellas.com/hotels/4275/gaya-island-resort.html</t>
  </si>
  <si>
    <t xml:space="preserve">https://solo5estrellas.com/hotels/4600/mykonos-grand-hotel-resort.html</t>
  </si>
  <si>
    <t xml:space="preserve">https://solo5estrellas.com/hotels/3098/shangri-la-s-far-eastern-plaza-hotel-taipei.html</t>
  </si>
  <si>
    <t xml:space="preserve">https://solo5estrellas.com/hotels/7084/Four_Seasons_Resort_and_Residences_Red_Sea_at_Shura_Island.html</t>
  </si>
  <si>
    <t xml:space="preserve">https://solo5estrellas.com/hotels/3911/hyatt-centric-waikiki-beach.html</t>
  </si>
  <si>
    <t xml:space="preserve">https://solo5estrellas.com/hotels/6805/the-royal-at-atlantis.html</t>
  </si>
  <si>
    <t xml:space="preserve">https://solo5estrellas.com/hotels/1004/Chateau-Saint-Martin-Spa.html</t>
  </si>
  <si>
    <t xml:space="preserve">https://solo5estrellas.com/hotels/1095/four-seasons-istanbul-sultanahmet.html</t>
  </si>
  <si>
    <t xml:space="preserve">https://solo5estrellas.com/hotels/3883/cadillac-hotel-beach-club-autograph-collection.html</t>
  </si>
  <si>
    <t xml:space="preserve">https://solo5estrellas.com/hotels/1200/fairmont-le-chateau-frontenac.html</t>
  </si>
  <si>
    <t xml:space="preserve">https://solo5estrellas.com/hotels/1778/hotel-marques-de-riscal.html</t>
  </si>
  <si>
    <t xml:space="preserve">https://solo5estrellas.com/hotels/2305/the-nines.html</t>
  </si>
  <si>
    <t xml:space="preserve">https://solo5estrellas.com/hotels/3925/jw-marriott-houston-by-the-galleria.html</t>
  </si>
  <si>
    <t xml:space="preserve">https://solo5estrellas.com/hotels/6179/altstadt-vienna.html</t>
  </si>
  <si>
    <t xml:space="preserve">https://solo5estrellas.com/hotels/3273/four-seasons-hotel-tunis.html</t>
  </si>
  <si>
    <t xml:space="preserve">https://solo5estrellas.com/hotels/2113/Almanac_X_Alcron_Prague.html</t>
  </si>
  <si>
    <t xml:space="preserve">https://solo5estrellas.com/hotels/6066/emeline-hotel.html</t>
  </si>
  <si>
    <t xml:space="preserve">https://solo5estrellas.com/hotels/3106/four-seasons-hotel-jakarta.html</t>
  </si>
  <si>
    <t xml:space="preserve">https://solo5estrellas.com/hotels/2552/Mazagan-Beach-Golf-Resort.html</t>
  </si>
  <si>
    <t xml:space="preserve">https://solo5estrellas.com/collection/54/Andaz-Hotels-under-the-Hyatt-Prive-Program.html</t>
  </si>
  <si>
    <t xml:space="preserve">https://solo5estrellas.com/hotels/4551/the-serras-hotel-barcelona.html</t>
  </si>
  <si>
    <t xml:space="preserve">https://solo5estrellas.com/states/93/Michigan.html</t>
  </si>
  <si>
    <t xml:space="preserve">https://solo5estrellas.com/countries/49/Portugal.html</t>
  </si>
  <si>
    <t xml:space="preserve">https://solo5estrellas.com/hotels/2561/four-seasons-danieli.html</t>
  </si>
  <si>
    <t xml:space="preserve">https://solo5estrellas.com/browse_city.cfm?cityid=740</t>
  </si>
  <si>
    <t xml:space="preserve">https://solo5estrellas.com/cities/49/Cape-Town.html</t>
  </si>
  <si>
    <t xml:space="preserve">https://solo5estrellas.com/browse_city.cfm?cityid=898</t>
  </si>
  <si>
    <t xml:space="preserve">https://solo5estrellas.com/hotels/6631/Virgin-Hotels-Edinburgh.html</t>
  </si>
  <si>
    <t xml:space="preserve">https://solo5estrellas.com/hotels/1121/le-meurice.html</t>
  </si>
  <si>
    <t xml:space="preserve">https://solo5estrellas.com/hotels/2649/paradisus-playa-del-carmen-la-perla.html</t>
  </si>
  <si>
    <t xml:space="preserve">https://solo5estrellas.com/hotels/3350/myconian-ambassador-resort.html</t>
  </si>
  <si>
    <t xml:space="preserve">https://solo5estrellas.com/hotels/3551/mahali-mzuri-safari-camp.html</t>
  </si>
  <si>
    <t xml:space="preserve">https://solo5estrellas.com/hotels/4333/S_Hotel_Jamaica.html</t>
  </si>
  <si>
    <t xml:space="preserve">https://solo5estrellas.com/cities/824/Bogota.html</t>
  </si>
  <si>
    <t xml:space="preserve">https://solo5estrellas.com/hotels/1286/ritz-carlton-orlando-grande-lakes.html</t>
  </si>
  <si>
    <t xml:space="preserve">https://solo5estrellas.com/hotels/4670/ritz-carlton,_turks_&amp;_caicos_.html</t>
  </si>
  <si>
    <t xml:space="preserve">https://solo5estrellas.com/hotels/2352/hutton-hotel-.html</t>
  </si>
  <si>
    <t xml:space="preserve">https://solo5estrellas.com/hotels/7002/furore-grand-hotel.html</t>
  </si>
  <si>
    <t xml:space="preserve">https://solo5estrellas.com/hotels/3086/shangri-la-s-rasa-sayang-resort-spa-penang.html</t>
  </si>
  <si>
    <t xml:space="preserve">https://solo5estrellas.com/hotels/7117/The-Anam-Mui-Ne.html</t>
  </si>
  <si>
    <t xml:space="preserve">https://solo5estrellas.com/hotels/6820/park-hyatt-los-cabos-at-cabo-del-sol.html</t>
  </si>
  <si>
    <t xml:space="preserve">https://solo5estrellas.com/hotels/6855/the-inn-at-little-washington.html</t>
  </si>
  <si>
    <t xml:space="preserve">https://solo5estrellas.com/hotels/6901/renaissance-barcelona-hotel.html</t>
  </si>
  <si>
    <t xml:space="preserve">https://solo5estrellas.com/hotels/4098/canyon-ranch-woodside-.html</t>
  </si>
  <si>
    <t xml:space="preserve">https://solo5estrellas.com/hotels/6643/the-ritz-carlton-naples-tiburon.html</t>
  </si>
  <si>
    <t xml:space="preserve">https://solo5estrellas.com/hotels/2965/mandapa-a-ritz-carlton-reserve.html</t>
  </si>
  <si>
    <t xml:space="preserve">https://solo5estrellas.com/hotels/6295/the-amauris-vienna.html</t>
  </si>
  <si>
    <t xml:space="preserve">https://solo5estrellas.com/hotels/6681/hotel-landy-orlando-a-tribute-portfolio-hotel.html</t>
  </si>
  <si>
    <t xml:space="preserve">https://solo5estrellas.com/hotels/6810/-the-westin-nashville.html</t>
  </si>
  <si>
    <t xml:space="preserve">https://solo5estrellas.com/hotels/7073/banyan-tree-samui.html</t>
  </si>
  <si>
    <t xml:space="preserve">https://solo5estrellas.com/hotels/2949/omni-nashville-hotel-.html</t>
  </si>
  <si>
    <t xml:space="preserve">https://solo5estrellas.com/hotels/3042/the-gwen.html</t>
  </si>
  <si>
    <t xml:space="preserve">https://solo5estrellas.com/hotels/3832/the-majestic-hotel-kuala-lumpur-autograph-collection.html</t>
  </si>
  <si>
    <t xml:space="preserve">https://solo5estrellas.com/hotels/3886/the-st-regis-astana.html</t>
  </si>
  <si>
    <t xml:space="preserve">https://solo5estrellas.com/hotels/6777/marriott-hutchinson-island-beach-resort.html</t>
  </si>
  <si>
    <t xml:space="preserve">https://solo5estrellas.com/hotels/4085/Nantipa_Beach_&amp;_Resort.html</t>
  </si>
  <si>
    <t xml:space="preserve">https://solo5estrellas.com/hotels/5041/Park-Hotel-Kenmare.html</t>
  </si>
  <si>
    <t xml:space="preserve">https://solo5estrellas.com/hotels/4279/pangkor-laut-resort.html</t>
  </si>
  <si>
    <t xml:space="preserve">https://solo5estrellas.com/hotels/6468/mondrian-mexico-city-condesa.html</t>
  </si>
  <si>
    <t xml:space="preserve">https://solo5estrellas.com/hotels/2435/fouquet-s-paris.html</t>
  </si>
  <si>
    <t xml:space="preserve">https://solo5estrellas.com/hotels/6175/rimondi-boutique-hotels.html</t>
  </si>
  <si>
    <t xml:space="preserve">https://solo5estrellas.com/hotels/4260/gran-melia-arusha.html</t>
  </si>
  <si>
    <t xml:space="preserve">https://solo5estrellas.com/hotels/1837/four-seasons-hotel-philadelphia.html</t>
  </si>
  <si>
    <t xml:space="preserve">https://solo5estrellas.com/hotels/3038/grand-hyatt-playa-del-carmen-resort.html</t>
  </si>
  <si>
    <t xml:space="preserve">https://solo5estrellas.com/hotels/3723/jw-marriott-khao-lak-resort-spa.html</t>
  </si>
  <si>
    <t xml:space="preserve">https://solo5estrellas.com/collection/45/Waldorf_Astoria_Hotels_Under_the_Hilton_for_Luxury_Program.html</t>
  </si>
  <si>
    <t xml:space="preserve">https://solo5estrellas.com/hotels/1483/fairmont-olympic-seattle.html</t>
  </si>
  <si>
    <t xml:space="preserve">https://solo5estrellas.com/hotels/4185/chable-maroma.html</t>
  </si>
  <si>
    <t xml:space="preserve">https://solo5estrellas.com/hotels/2039/flemings-mayfair-.html</t>
  </si>
  <si>
    <t xml:space="preserve">https://solo5estrellas.com/hotels/4968/raffles-makati.html</t>
  </si>
  <si>
    <t xml:space="preserve">https://solo5estrellas.com/hotels/3617/four-seasons-napa-valley.html</t>
  </si>
  <si>
    <t xml:space="preserve">https://solo5estrellas.com/hotels/6642/fairmont-doha.html</t>
  </si>
  <si>
    <t xml:space="preserve">https://solo5estrellas.com/collection/88/banyan-tree-.html</t>
  </si>
  <si>
    <t xml:space="preserve">https://solo5estrellas.com/collection/30/Langham-Hotels-under-Langham-s-Couture-Program.html</t>
  </si>
  <si>
    <t xml:space="preserve">https://solo5estrellas.com/hotels/1372/villa-gallici.html</t>
  </si>
  <si>
    <t xml:space="preserve">https://solo5estrellas.com/hotels/1700/dromoland-castle.html</t>
  </si>
  <si>
    <t xml:space="preserve">https://solo5estrellas.com/hotels/7070/querencia-de-seville-autograph-collection.html</t>
  </si>
  <si>
    <t xml:space="preserve">https://solo5estrellas.com/hotels/2719/grand-hotel-du-palais-royal.html</t>
  </si>
  <si>
    <t xml:space="preserve">https://solo5estrellas.com/hotels/6652/ritz-carlton-yacht-collection.html</t>
  </si>
  <si>
    <t xml:space="preserve">https://solo5estrellas.com/cities/35/Boca-Raton.html</t>
  </si>
  <si>
    <t xml:space="preserve">https://solo5estrellas.com/hotels/6980/viewline-resort-snowmass.html</t>
  </si>
  <si>
    <t xml:space="preserve">https://solo5estrellas.com/hotels/7087/a-mandria-di-murtoli.html</t>
  </si>
  <si>
    <t xml:space="preserve">https://solo5estrellas.com/browse_hotel.cfm?hotelID=1096</t>
  </si>
  <si>
    <t xml:space="preserve">https://solo5estrellas.com/countries/61/Tanzania.html</t>
  </si>
  <si>
    <t xml:space="preserve">https://solo5estrellas.com/hotels/6352/the-lasalle-chicago.html</t>
  </si>
  <si>
    <t xml:space="preserve">https://solo5estrellas.com/hotels/6792/St._Regis_Aruba_Resort.html</t>
  </si>
  <si>
    <t xml:space="preserve">https://solo5estrellas.com/hotels/6656/the-tokyo-edition-ginza.html</t>
  </si>
  <si>
    <t xml:space="preserve">https://solo5estrellas.com/hotels/3599/The_Principal_Madrid_Hotel.html</t>
  </si>
  <si>
    <t xml:space="preserve">https://solo5estrellas.com/hotels/6362/decamondo-galata.html</t>
  </si>
  <si>
    <t xml:space="preserve">https://solo5estrellas.com/hotels/4168/Waldorf_Astoria_Beijing.html</t>
  </si>
  <si>
    <t xml:space="preserve">https://solo5estrellas.com/countries/14/Cambodia.html</t>
  </si>
  <si>
    <t xml:space="preserve">https://solo5estrellas.com/hotels/4055/the-ocean-club-costa-norte.html</t>
  </si>
  <si>
    <t xml:space="preserve">https://solo5estrellas.com/hotels/4693/Santa-Marta-Marriott-Resort-Playa-Dormida.html</t>
  </si>
  <si>
    <t xml:space="preserve">https://solo5estrellas.com/hotels/6317/izmir-marriott-hotel.html</t>
  </si>
  <si>
    <t xml:space="preserve">https://solo5estrellas.com/hotels/7076/Omni-Fort-Lauderdale-Hotel.html</t>
  </si>
  <si>
    <t xml:space="preserve">https://solo5estrellas.com/cities/996/Bratislava.html</t>
  </si>
  <si>
    <t xml:space="preserve">https://solo5estrellas.com/hotels/7111/L-Escape-a-Luxury-Collection-Hotel.html</t>
  </si>
  <si>
    <t xml:space="preserve">https://solo5estrellas.com/browse_region.cfm?regionid=5</t>
  </si>
  <si>
    <t xml:space="preserve">https://solo5estrellas.com/hotels/1187/shutters-on-the-beach-hotel.html</t>
  </si>
  <si>
    <t xml:space="preserve">https://solo5estrellas.com/hotels/4354/riverview-ranch.html</t>
  </si>
  <si>
    <t xml:space="preserve">https://solo5estrellas.com/cities/450/Cortina-d-Ampezzo.html</t>
  </si>
  <si>
    <t xml:space="preserve">https://solo5estrellas.com/hotels/7058/foxhill-manor.html</t>
  </si>
  <si>
    <t xml:space="preserve">https://solo5estrellas.com/hotels/2276/Tabacon_Thermal_Resort_&amp;_Spa.html</t>
  </si>
  <si>
    <t xml:space="preserve">https://solo5estrellas.com/hotels/2382/inbal-jerusalem-hotel-.html</t>
  </si>
  <si>
    <t xml:space="preserve">https://solo5estrellas.com/hotels/6960/Old-Town-Chambers.html</t>
  </si>
  <si>
    <t xml:space="preserve">https://solo5estrellas.com/hotels/3899/the-alida-savannah-a-tribute-portfolio-hotel-.html</t>
  </si>
  <si>
    <t xml:space="preserve">https://solo5estrellas.com/hotels/6919/le-parchamp-paris-boulogne-a-tribute-portfolio-hotel.html</t>
  </si>
  <si>
    <t xml:space="preserve">https://solo5estrellas.com/hotels/2419/The-Waldorf-Astoria-New-York.html</t>
  </si>
  <si>
    <t xml:space="preserve">https://solo5estrellas.com/hotels/4849/fairmont-rio-de-janeiro-copacabana-.html</t>
  </si>
  <si>
    <t xml:space="preserve">https://solo5estrellas.com/hotels/6108/luminary-hotel-co-autograph-collection.html</t>
  </si>
  <si>
    <t xml:space="preserve">https://solo5estrellas.com/hotels/6826/tivoli-la-caleta-tenerife-resort.html</t>
  </si>
  <si>
    <t xml:space="preserve">https://solo5estrellas.com/hotels/2004/the-fairmont-copley-plaza.html</t>
  </si>
  <si>
    <t xml:space="preserve">https://solo5estrellas.com/browse_hotel.cfm?hotelID=6779</t>
  </si>
  <si>
    <t xml:space="preserve">https://solo5estrellas.com/hotels/2354/shangri-la-hotel-xi-an.html</t>
  </si>
  <si>
    <t xml:space="preserve">https://solo5estrellas.com/hotels/1996/Pink-Sands-Resort.html</t>
  </si>
  <si>
    <t xml:space="preserve">https://solo5estrellas.com/hotels/3732/jw-marriott-san-francisco-union-square.html</t>
  </si>
  <si>
    <t xml:space="preserve">https://solo5estrellas.com/hotels/2935/the-ritz-carlton-herzliya.html</t>
  </si>
  <si>
    <t xml:space="preserve">https://solo5estrellas.com/hotels/2793/palace-hotel-san-francisco.html</t>
  </si>
  <si>
    <t xml:space="preserve">https://solo5estrellas.com/hotels/3035/grand-hotel-river-park.html</t>
  </si>
  <si>
    <t xml:space="preserve">https://solo5estrellas.com/hotels/7052/Anantara-Stanley-and-Livingstone-Victoria-Falls-Hotel.html</t>
  </si>
  <si>
    <t xml:space="preserve">https://solo5estrellas.com/hotels/935/Sandy-Lane.html</t>
  </si>
  <si>
    <t xml:space="preserve">https://solo5estrellas.com/hotels/1523/amanyara.html</t>
  </si>
  <si>
    <t xml:space="preserve">https://solo5estrellas.com/hotels/4715/alaia-belize-autograph-collection.html</t>
  </si>
  <si>
    <t xml:space="preserve">https://solo5estrellas.com/hotels/6073/hemingways-nairobi.html</t>
  </si>
  <si>
    <t xml:space="preserve">https://solo5estrellas.com/hotels/3939/Eden-Roc-Cap-Cana-.html</t>
  </si>
  <si>
    <t xml:space="preserve">https://solo5estrellas.com/hotels/6231/park-hyatt-jakarta.html</t>
  </si>
  <si>
    <t xml:space="preserve">https://solo5estrellas.com/hotels/6982/the-fifth-avenue-hotel.html</t>
  </si>
  <si>
    <t xml:space="preserve">https://solo5estrellas.com/hotels/6101/the-drake-oakbrook.html</t>
  </si>
  <si>
    <t xml:space="preserve">https://solo5estrellas.com/hotels/4671/the-current-hotel-autograph-collection.html</t>
  </si>
  <si>
    <t xml:space="preserve">https://solo5estrellas.com/hotels/1946/milestone-hotel-.html</t>
  </si>
  <si>
    <t xml:space="preserve">https://solo5estrellas.com/hotels/5055/grand-hotel-savoia.html</t>
  </si>
  <si>
    <t xml:space="preserve">https://solo5estrellas.com/hotels/2782/hotel-maria-cristina.html</t>
  </si>
  <si>
    <t xml:space="preserve">https://solo5estrellas.com/hotels/1415/four-seasons-hotel-los-angeles-at-beverly-hills.html</t>
  </si>
  <si>
    <t xml:space="preserve">https://solo5estrellas.com/hotels/3043/four-seasons-hotel-casa-medina-bogota.html</t>
  </si>
  <si>
    <t xml:space="preserve">https://solo5estrellas.com/hotels/3692/domes-miramare-corfu.html</t>
  </si>
  <si>
    <t xml:space="preserve">https://solo5estrellas.com/hotels/3218/the-nile-ritz-carlton-cairo.html</t>
  </si>
  <si>
    <t xml:space="preserve">https://solo5estrellas.com/hotels/6200/hotel-clio-a-luxury-collection-hotel-denver-cherry-creek-.html</t>
  </si>
  <si>
    <t xml:space="preserve">https://solo5estrellas.com/hotels/6912/sthala-a-tribute-portfolio-hotel-ubud-bali.html</t>
  </si>
  <si>
    <t xml:space="preserve">https://solo5estrellas.com/collection/32/Le-Meridien.html</t>
  </si>
  <si>
    <t xml:space="preserve">https://solo5estrellas.com/hotels/2948/cape-cadogan-boutique-hotel.html</t>
  </si>
  <si>
    <t xml:space="preserve">https://solo5estrellas.com/hotels/6221/hotel-valley-ho.html</t>
  </si>
  <si>
    <t xml:space="preserve">https://solo5estrellas.com/hotels/3627/canaves-oia-boutique-hotel.html</t>
  </si>
  <si>
    <t xml:space="preserve">https://solo5estrellas.com/hotels/2834/the-naka-island.html</t>
  </si>
  <si>
    <t xml:space="preserve">https://solo5estrellas.com/hotels/1948/the-rubens-at-the-palace.html</t>
  </si>
  <si>
    <t xml:space="preserve">https://solo5estrellas.com/hotels/6500/1-hotel-mayfair.html</t>
  </si>
  <si>
    <t xml:space="preserve">https://solo5estrellas.com/hotels/3616/El-Mangroove-Autograph-Collection.html</t>
  </si>
  <si>
    <t xml:space="preserve">https://solo5estrellas.com/hotels/1955/cheeca-lodge-spa.html</t>
  </si>
  <si>
    <t xml:space="preserve">https://solo5estrellas.com/hotels/2313/olissippo-lapa-palace-.html</t>
  </si>
  <si>
    <t xml:space="preserve">https://solo5estrellas.com/hotels/2542/hotel-beaux-arts-miami.html</t>
  </si>
  <si>
    <t xml:space="preserve">https://solo5estrellas.com/hotels/2774/hotel-de-paris-st-tropez.html</t>
  </si>
  <si>
    <t xml:space="preserve">https://solo5estrellas.com/hotels/6505/le-m-ridien-grand-hotel-nuremberg.html</t>
  </si>
  <si>
    <t xml:space="preserve">https://solo5estrellas.com/hotels/1786/kivotos-mykonos.html</t>
  </si>
  <si>
    <t xml:space="preserve">https://solo5estrellas.com/hotels/4365/hotel-crillon-le-brave.html</t>
  </si>
  <si>
    <t xml:space="preserve">https://solo5estrellas.com/hotels/4383/aressana-spa-hotel-and-suites.html</t>
  </si>
  <si>
    <t xml:space="preserve">https://solo5estrellas.com/hotels/1769/grosvenor-house-.html</t>
  </si>
  <si>
    <t xml:space="preserve">https://solo5estrellas.com/hotels/6134/fairmont-riyadh.html</t>
  </si>
  <si>
    <t xml:space="preserve">https://solo5estrellas.com/hotels/3268/JW-Marriott-Orlando-Grande-Lakes.html</t>
  </si>
  <si>
    <t xml:space="preserve">https://solo5estrellas.com/hotels/3497/sls-baha-mar.html</t>
  </si>
  <si>
    <t xml:space="preserve">https://solo5estrellas.com/hotels/5028/the-westin-resort-costa-navarino.html</t>
  </si>
  <si>
    <t xml:space="preserve">https://solo5estrellas.com/hotels/2252/four-seasons-hotel-macau-cotai-strip-.html</t>
  </si>
  <si>
    <t xml:space="preserve">https://solo5estrellas.com/hotels/6423/kimpton-grand-roatan-resort-spa.html</t>
  </si>
  <si>
    <t xml:space="preserve">https://solo5estrellas.com/hotels/955/The_Athenaeum_Hotel.html</t>
  </si>
  <si>
    <t xml:space="preserve">https://solo5estrellas.com/hotels/6595/the-global-ambassador.html</t>
  </si>
  <si>
    <t xml:space="preserve">https://solo5estrellas.com/hotels/7099/grotta-giusti-thermal-spa-resort-tuscany-autograph-collection.html</t>
  </si>
  <si>
    <t xml:space="preserve">https://solo5estrellas.com/hotels/3851/the-jacquard.html</t>
  </si>
  <si>
    <t xml:space="preserve">https://solo5estrellas.com/hotels/6936/burgenstock-hotel-alpine-spa.html</t>
  </si>
  <si>
    <t xml:space="preserve">https://solo5estrellas.com/hotels/3941/Hapuku_Lodge_&amp;_Tree_Houses.html</t>
  </si>
  <si>
    <t xml:space="preserve">https://solo5estrellas.com/hotels/6412/1-hotel-south-beach.html</t>
  </si>
  <si>
    <t xml:space="preserve">https://solo5estrellas.com/hotels/3876/hotel-leveque-autograph-collection.html</t>
  </si>
  <si>
    <t xml:space="preserve">https://solo5estrellas.com/hotels/2208/the-joule-dallas.html</t>
  </si>
  <si>
    <t xml:space="preserve">https://solo5estrellas.com/hotels/7071/omni-boston-hotel-at-the-seaport.html</t>
  </si>
  <si>
    <t xml:space="preserve">https://solo5estrellas.com/hotels/1004/ch-teau-saint-martin-.html</t>
  </si>
  <si>
    <t xml:space="preserve">https://solo5estrellas.com/hotels/6585/palazzo-cordusio-a-gran-meli-hotel.html</t>
  </si>
  <si>
    <t xml:space="preserve">https://solo5estrellas.com/hotels/2642/four-seasons-hotel-beijing.html</t>
  </si>
  <si>
    <t xml:space="preserve">https://solo5estrellas.com/hotels/3180/castello-di-casole.html</t>
  </si>
  <si>
    <t xml:space="preserve">https://solo5estrellas.com/hotels/1259/park-hyatt-paris-vendome.html</t>
  </si>
  <si>
    <t xml:space="preserve">https://solo5estrellas.com/hotels/1423/four-seasons-london-at-park-lane.html</t>
  </si>
  <si>
    <t xml:space="preserve">https://solo5estrellas.com/hotels/6337/secrets-impression-isla-mujeres-.html</t>
  </si>
  <si>
    <t xml:space="preserve">https://solo5estrellas.com/hotels/2340/hidden-pond-resort-tree-spa.html</t>
  </si>
  <si>
    <t xml:space="preserve">https://solo5estrellas.com/hotels/3325/fairmont-austin.html</t>
  </si>
  <si>
    <t xml:space="preserve">https://solo5estrellas.com/hotels/3781/pier-one-sydney-harbour-autograph-collection.html</t>
  </si>
  <si>
    <t xml:space="preserve">https://solo5estrellas.com/hotels/1008/hotel-plaza-athenee-paris.html</t>
  </si>
  <si>
    <t xml:space="preserve">https://solo5estrellas.com/hotels/6872/The-St-Regis-Al-Mouj-Muscat-Resort.html</t>
  </si>
  <si>
    <t xml:space="preserve">https://solo5estrellas.com/hotels/2239/savanna-private-game-.html</t>
  </si>
  <si>
    <t xml:space="preserve">https://solo5estrellas.com/hotels/6486/sofitel-saigon-plaza.html</t>
  </si>
  <si>
    <t xml:space="preserve">https://solo5estrellas.com/hotels/2546/cap_maison_resort_and_spa.html</t>
  </si>
  <si>
    <t xml:space="preserve">https://solo5estrellas.com/hotels/3861/jw-marriott-hotel-singapore-south-beach.html</t>
  </si>
  <si>
    <t xml:space="preserve">https://solo5estrellas.com/hotels/6320/crockfords-las-vegas-lxr-hotels-resorts.html</t>
  </si>
  <si>
    <t xml:space="preserve">https://solo5estrellas.com/hotels/6785/Rosewood-Amsterdam.html</t>
  </si>
  <si>
    <t xml:space="preserve">https://solo5estrellas.com/hotels/7066/Kempinski_Hotel_Brazzaville_.html</t>
  </si>
  <si>
    <t xml:space="preserve">https://solo5estrellas.com/cities/838/Shenzhen.html</t>
  </si>
  <si>
    <t xml:space="preserve">https://solo5estrellas.com/hotels/1487/santo_mauro,_a_luxury_collection_hotel.html</t>
  </si>
  <si>
    <t xml:space="preserve">https://solo5estrellas.com/hotels/6265/vakko-hotel-and-residences-.html</t>
  </si>
  <si>
    <t xml:space="preserve">https://solo5estrellas.com/hotels/1314/the-ritz-carlton-sarasota.html</t>
  </si>
  <si>
    <t xml:space="preserve">https://solo5estrellas.com/hotels/6087/steigenberger-frankfurter-hof.html</t>
  </si>
  <si>
    <t xml:space="preserve">https://solo5estrellas.com/hotels/1272/hotel-jerome-auberge-collection.html</t>
  </si>
  <si>
    <t xml:space="preserve">https://solo5estrellas.com/hotels/1460/triple-creek-ranch-br-all-inclusive-adults-only.html</t>
  </si>
  <si>
    <t xml:space="preserve">https://solo5estrellas.com/hotels/2429/El-Palace-Hotel.html</t>
  </si>
  <si>
    <t xml:space="preserve">https://solo5estrellas.com/cities/62/Chiang-Mai.html</t>
  </si>
  <si>
    <t xml:space="preserve">https://solo5estrellas.com/hotels/2074/hotel-teatro.html</t>
  </si>
  <si>
    <t xml:space="preserve">https://solo5estrellas.com/hotels/6627/janu-tokyo.html</t>
  </si>
  <si>
    <t xml:space="preserve">https://solo5estrellas.com/states/75/California.html</t>
  </si>
  <si>
    <t xml:space="preserve">https://solo5estrellas.com/collection/45/Waldorf-Astoria-Hotels-Under-the-Hilton-for-Luxury-Program.html</t>
  </si>
  <si>
    <t xml:space="preserve">https://solo5estrellas.com/hotels/2951/four-seasons-hotel-bahrain-bay-.html</t>
  </si>
  <si>
    <t xml:space="preserve">https://solo5estrellas.com/hotels/4772/InterContinental_Chongqing_Raffles_City.html</t>
  </si>
  <si>
    <t xml:space="preserve">https://solo5estrellas.com/hotels/6683/h-tel-du-couvent-a-luxury-collection-hotel.html</t>
  </si>
  <si>
    <t xml:space="preserve">https://solo5estrellas.com/cities/1346/Malaga.html</t>
  </si>
  <si>
    <t xml:space="preserve">https://solo5estrellas.com/cities/456/Punta-Cana.html</t>
  </si>
  <si>
    <t xml:space="preserve">https://solo5estrellas.com/hotels/4576/hotel-effie-sandestin.html</t>
  </si>
  <si>
    <t xml:space="preserve">https://solo5estrellas.com/hotels/4528/the-middle-house-shanghai.html</t>
  </si>
  <si>
    <t xml:space="preserve">https://solo5estrellas.com/hotels/3477/pendry-san-diego.html</t>
  </si>
  <si>
    <t xml:space="preserve">https://solo5estrellas.com/hotels/6424/mayfair-house-hotel-garden.html</t>
  </si>
  <si>
    <t xml:space="preserve">https://solo5estrellas.com/hotels/6710/The_Apurva_Kempinski_Bali.html</t>
  </si>
  <si>
    <t xml:space="preserve">https://solo5estrellas.com/cities/1259/Alexandria-Scotland.html</t>
  </si>
  <si>
    <t xml:space="preserve">https://solo5estrellas.com/hotels/6697/rocco-forte-house-milan.html</t>
  </si>
  <si>
    <t xml:space="preserve">https://solo5estrellas.com/hotels/4304/anya-resort-tagaytay.html</t>
  </si>
  <si>
    <t xml:space="preserve">https://solo5estrellas.com/hotels/6157/hotel-chadstone-melbourne-mgallery-by-sofitel.html</t>
  </si>
  <si>
    <t xml:space="preserve">https://solo5estrellas.com/hotels/6555/the-river-lee.html</t>
  </si>
  <si>
    <t xml:space="preserve">https://solo5estrellas.com/hotels/6885/the-fairmount-san-antonio.html</t>
  </si>
  <si>
    <t xml:space="preserve">https://solo5estrellas.com/cities/329/warsaw.html</t>
  </si>
  <si>
    <t xml:space="preserve">https://solo5estrellas.com/countries/45/Nueva-Zelanda.html</t>
  </si>
  <si>
    <t xml:space="preserve">https://solo5estrellas.com/hotels/2664/the-ritz-carlton-vienna.html</t>
  </si>
  <si>
    <t xml:space="preserve">https://solo5estrellas.com/hotels/6510/grand-hotel-bristol-spa-resort.html</t>
  </si>
  <si>
    <t xml:space="preserve">https://solo5estrellas.com/hotels/6429/JW_Marriott_Clearwater_Beach_Resort_&amp;_Spa.html</t>
  </si>
  <si>
    <t xml:space="preserve">https://solo5estrellas.com/hotels/6650/hotel-aka-boston-common.html</t>
  </si>
  <si>
    <t xml:space="preserve">https://solo5estrellas.com/hotels/2514/the-roosevelt-new-orleans-.html</t>
  </si>
  <si>
    <t xml:space="preserve">https://solo5estrellas.com/hotels/6750/regent-shanghai-on-the-bund.html</t>
  </si>
  <si>
    <t xml:space="preserve">https://solo5estrellas.com/hotels/4309/union-house-lukang.html</t>
  </si>
  <si>
    <t xml:space="preserve">https://solo5estrellas.com/hotels/6076/the-prince-akatoki-london.html</t>
  </si>
  <si>
    <t xml:space="preserve">https://solo5estrellas.com/countries/36/Kenya.html</t>
  </si>
  <si>
    <t xml:space="preserve">https://solo5estrellas.com/hotels/4096/paradisus-cancun.html</t>
  </si>
  <si>
    <t xml:space="preserve">https://solo5estrellas.com/hotels/2508/hilton-moorea-lagoon-resort.html</t>
  </si>
  <si>
    <t xml:space="preserve">https://solo5estrellas.com/hotels/4907/dongfengyun-hotel-mi-le-mgallery.html</t>
  </si>
  <si>
    <t xml:space="preserve">https://solo5estrellas.com/hotels/3078/shangri-la-s-eros-hotel-new-delhi.html</t>
  </si>
  <si>
    <t xml:space="preserve">https://solo5estrellas.com/hotels/4697/the-industrialist-hotel-.html</t>
  </si>
  <si>
    <t xml:space="preserve">https://solo5estrellas.com/hotels/3605/fairmont-st-andrews-.html</t>
  </si>
  <si>
    <t xml:space="preserve">https://solo5estrellas.com/hotels/3647/grand-hyatt-kochi-bolgatty.html</t>
  </si>
  <si>
    <t xml:space="preserve">https://solo5estrellas.com/hotels/6584/angsana-corfu-resort-spa.html</t>
  </si>
  <si>
    <t xml:space="preserve">https://solo5estrellas.com/collection/62/Belmond-Bellini-Club.html</t>
  </si>
  <si>
    <t xml:space="preserve">https://solo5estrellas.com/hotels/4122/andaz-dubai-the-palm.html</t>
  </si>
  <si>
    <t xml:space="preserve">https://solo5estrellas.com/hotels/6493/shangri-la-jeddah.html</t>
  </si>
  <si>
    <t xml:space="preserve">https://solo5estrellas.com/hotels/6168/albergo-pietrasanta.html</t>
  </si>
  <si>
    <t xml:space="preserve">https://solo5estrellas.com/hotels/6086/the-ivens.html</t>
  </si>
  <si>
    <t xml:space="preserve">https://solo5estrellas.com/hotels/6900/fairmont-golden-prague.html</t>
  </si>
  <si>
    <t xml:space="preserve">https://solo5estrellas.com/hotels/966/hotel-imperial-vienna.html</t>
  </si>
  <si>
    <t xml:space="preserve">https://solo5estrellas.com/hotels/3093/shangri-la-at-the-fort-manila.html</t>
  </si>
  <si>
    <t xml:space="preserve">https://solo5estrellas.com/hotels/3833/bankside-autograph-collection.html</t>
  </si>
  <si>
    <t xml:space="preserve">https://solo5estrellas.com/hotels/3885/the-st-regis-amman.html</t>
  </si>
  <si>
    <t xml:space="preserve">PageType</t>
  </si>
  <si>
    <t xml:space="preserve">Transactional</t>
  </si>
  <si>
    <t xml:space="preserve">n/a</t>
  </si>
  <si>
    <t xml:space="preserve">Special offer</t>
  </si>
  <si>
    <t xml:space="preserve">Central America</t>
  </si>
  <si>
    <t xml:space="preserve">Villas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</si>
</sst>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0%"/>
    <numFmt numFmtId="166" formatCode="#,##0"/>
    <numFmt numFmtId="167" formatCode="0.0%"/>
    <numFmt numFmtId="168" formatCode="0.00%"/>
    <numFmt numFmtId="169" formatCode="0.0"/>
    <numFmt numFmtId="170" formatCode="yyyy\-mm\-dd"/>
    <numFmt numFmtId="171" formatCode="mmm\ 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2A4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2"/>
      <color rgb="FF1F2A4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EB9C"/>
      </patternFill>
    </fill>
    <fill>
      <patternFill patternType="solid">
        <fgColor rgb="FF1F2A44"/>
        <bgColor rgb="FF00336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10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6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2A4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8CBAD"/>
        </patternFill>
      </fill>
    </dxf>
    <dxf>
      <font>
        <name val="Arial"/>
        <charset val="1"/>
        <family val="0"/>
        <b val="1"/>
        <color rgb="FFC00000"/>
      </font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2A44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9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_rels/sheet20.xml.rels><?xml version="1.0" encoding="UTF-8"?>
<Relationships xmlns="http://schemas.openxmlformats.org/package/2006/relationships"><Relationship Id="rId1" Type="http://schemas.openxmlformats.org/officeDocument/2006/relationships/drawing" Target="../drawings/drawing16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B2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/>
    </row>
    <row r="5" customFormat="false" ht="15" hidden="false" customHeight="false" outlineLevel="0" collapsed="false">
      <c r="A5" s="5" t="s">
        <v>3</v>
      </c>
      <c r="B5" s="4" t="s">
        <v>4</v>
      </c>
    </row>
    <row r="6" customFormat="false" ht="15" hidden="false" customHeight="false" outlineLevel="0" collapsed="false">
      <c r="A6" s="5" t="s">
        <v>5</v>
      </c>
      <c r="B6" s="4" t="s">
        <v>6</v>
      </c>
    </row>
    <row r="7" customFormat="false" ht="23.85" hidden="false" customHeight="false" outlineLevel="0" collapsed="false">
      <c r="A7" s="5" t="s">
        <v>7</v>
      </c>
      <c r="B7" s="4" t="s">
        <v>8</v>
      </c>
    </row>
    <row r="8" customFormat="false" ht="15" hidden="false" customHeight="false" outlineLevel="0" collapsed="false">
      <c r="A8" s="5" t="s">
        <v>9</v>
      </c>
      <c r="B8" s="4" t="s">
        <v>10</v>
      </c>
    </row>
    <row r="9" customFormat="false" ht="23.85" hidden="false" customHeight="false" outlineLevel="0" collapsed="false">
      <c r="A9" s="5" t="s">
        <v>11</v>
      </c>
      <c r="B9" s="4" t="s">
        <v>12</v>
      </c>
    </row>
    <row r="10" customFormat="false" ht="15" hidden="false" customHeight="false" outlineLevel="0" collapsed="false">
      <c r="A10" s="5" t="s">
        <v>13</v>
      </c>
      <c r="B10" s="4" t="s">
        <v>14</v>
      </c>
    </row>
    <row r="11" customFormat="false" ht="15" hidden="false" customHeight="false" outlineLevel="0" collapsed="false">
      <c r="A11" s="3" t="s">
        <v>15</v>
      </c>
      <c r="B11" s="4"/>
    </row>
    <row r="12" customFormat="false" ht="23.85" hidden="false" customHeight="false" outlineLevel="0" collapsed="false">
      <c r="A12" s="5" t="s">
        <v>16</v>
      </c>
      <c r="B12" s="4" t="s">
        <v>17</v>
      </c>
    </row>
    <row r="13" customFormat="false" ht="15" hidden="false" customHeight="false" outlineLevel="0" collapsed="false">
      <c r="A13" s="5" t="s">
        <v>16</v>
      </c>
      <c r="B13" s="4" t="s">
        <v>18</v>
      </c>
    </row>
    <row r="14" customFormat="false" ht="15" hidden="false" customHeight="false" outlineLevel="0" collapsed="false">
      <c r="A14" s="6" t="s">
        <v>19</v>
      </c>
      <c r="B14" s="4" t="s">
        <v>20</v>
      </c>
    </row>
    <row r="16" customFormat="false" ht="15" hidden="false" customHeight="false" outlineLevel="0" collapsed="false">
      <c r="A16" s="6" t="s">
        <v>21</v>
      </c>
    </row>
    <row r="17" customFormat="false" ht="15" hidden="false" customHeight="false" outlineLevel="0" collapsed="false">
      <c r="A17" s="7" t="s">
        <v>22</v>
      </c>
      <c r="B17" s="5" t="s">
        <v>23</v>
      </c>
    </row>
    <row r="18" customFormat="false" ht="15" hidden="false" customHeight="false" outlineLevel="0" collapsed="false">
      <c r="A18" s="5" t="s">
        <v>24</v>
      </c>
      <c r="B18" s="5" t="s">
        <v>25</v>
      </c>
    </row>
    <row r="19" customFormat="false" ht="15" hidden="false" customHeight="false" outlineLevel="0" collapsed="false">
      <c r="A19" s="8" t="s">
        <v>26</v>
      </c>
      <c r="B19" s="5" t="s">
        <v>27</v>
      </c>
    </row>
    <row r="20" customFormat="false" ht="23.85" hidden="false" customHeight="false" outlineLevel="0" collapsed="false">
      <c r="A20" s="5" t="s">
        <v>16</v>
      </c>
      <c r="B20" s="4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H4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14"/>
    <col collapsed="false" customWidth="true" hidden="false" outlineLevel="0" max="3" min="3" style="0" width="12"/>
    <col collapsed="false" customWidth="true" hidden="false" outlineLevel="0" max="4" min="4" style="0" width="18"/>
    <col collapsed="false" customWidth="true" hidden="false" outlineLevel="0" max="7" min="5" style="0" width="14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29</v>
      </c>
    </row>
    <row r="2" customFormat="false" ht="15" hidden="false" customHeight="false" outlineLevel="0" collapsed="false">
      <c r="A2" s="2" t="s">
        <v>30</v>
      </c>
    </row>
    <row r="4" customFormat="false" ht="15" hidden="false" customHeight="false" outlineLevel="0" collapsed="false">
      <c r="A4" s="6" t="s">
        <v>31</v>
      </c>
      <c r="D4" s="6" t="s">
        <v>32</v>
      </c>
      <c r="G4" s="6" t="s">
        <v>33</v>
      </c>
    </row>
    <row r="5" customFormat="false" ht="31.5" hidden="false" customHeight="true" outlineLevel="0" collapsed="false">
      <c r="A5" s="9" t="s">
        <v>34</v>
      </c>
      <c r="B5" s="9" t="s">
        <v>35</v>
      </c>
      <c r="D5" s="10" t="s">
        <v>36</v>
      </c>
      <c r="E5" s="10" t="s">
        <v>37</v>
      </c>
      <c r="G5" s="10" t="s">
        <v>38</v>
      </c>
      <c r="H5" s="10" t="s">
        <v>37</v>
      </c>
    </row>
    <row r="6" customFormat="false" ht="15" hidden="false" customHeight="false" outlineLevel="0" collapsed="false">
      <c r="A6" s="5" t="s">
        <v>39</v>
      </c>
      <c r="B6" s="5" t="n">
        <f aca="false">COUNTIF('Master Tracker'!$X$5:$X$300,A6)</f>
        <v>56</v>
      </c>
      <c r="D6" s="5" t="s">
        <v>40</v>
      </c>
      <c r="E6" s="5" t="n">
        <f aca="false">COUNTIFS('Master Tracker'!$Q$5:$Q$300,D6,'Master Tracker'!$X$5:$X$300,"&lt;&gt;Completed",'Master Tracker'!$A$5:$A$300,"&lt;&gt;")</f>
        <v>16</v>
      </c>
      <c r="G6" s="5" t="s">
        <v>41</v>
      </c>
      <c r="H6" s="5" t="n">
        <f aca="false">COUNTIFS('Master Tracker'!$I$5:$I$300,G6,'Master Tracker'!$X$5:$X$300,"&lt;&gt;Completed",'Master Tracker'!$A$5:$A$300,"&lt;&gt;")</f>
        <v>10</v>
      </c>
    </row>
    <row r="7" customFormat="false" ht="15" hidden="false" customHeight="false" outlineLevel="0" collapsed="false">
      <c r="A7" s="5" t="s">
        <v>42</v>
      </c>
      <c r="B7" s="5" t="n">
        <f aca="false">COUNTIF('Master Tracker'!$X$5:$X$300,A7)</f>
        <v>0</v>
      </c>
      <c r="D7" s="5" t="s">
        <v>43</v>
      </c>
      <c r="E7" s="5" t="n">
        <f aca="false">COUNTIFS('Master Tracker'!$Q$5:$Q$300,D7,'Master Tracker'!$X$5:$X$300,"&lt;&gt;Completed",'Master Tracker'!$A$5:$A$300,"&lt;&gt;")</f>
        <v>30</v>
      </c>
      <c r="G7" s="5" t="s">
        <v>44</v>
      </c>
      <c r="H7" s="5" t="n">
        <f aca="false">COUNTIFS('Master Tracker'!$I$5:$I$300,G7,'Master Tracker'!$X$5:$X$300,"&lt;&gt;Completed",'Master Tracker'!$A$5:$A$300,"&lt;&gt;")</f>
        <v>14</v>
      </c>
    </row>
    <row r="8" customFormat="false" ht="15" hidden="false" customHeight="false" outlineLevel="0" collapsed="false">
      <c r="A8" s="5" t="s">
        <v>45</v>
      </c>
      <c r="B8" s="5" t="n">
        <f aca="false">COUNTIF('Master Tracker'!$X$5:$X$300,A8)</f>
        <v>0</v>
      </c>
      <c r="D8" s="5" t="s">
        <v>46</v>
      </c>
      <c r="E8" s="5" t="n">
        <f aca="false">COUNTIFS('Master Tracker'!$Q$5:$Q$300,D8,'Master Tracker'!$X$5:$X$300,"&lt;&gt;Completed",'Master Tracker'!$A$5:$A$300,"&lt;&gt;")</f>
        <v>8</v>
      </c>
      <c r="G8" s="5" t="s">
        <v>47</v>
      </c>
      <c r="H8" s="5" t="n">
        <f aca="false">COUNTIFS('Master Tracker'!$I$5:$I$300,G8,'Master Tracker'!$X$5:$X$300,"&lt;&gt;Completed",'Master Tracker'!$A$5:$A$300,"&lt;&gt;")</f>
        <v>4</v>
      </c>
    </row>
    <row r="9" customFormat="false" ht="15" hidden="false" customHeight="false" outlineLevel="0" collapsed="false">
      <c r="A9" s="5" t="s">
        <v>48</v>
      </c>
      <c r="B9" s="5" t="n">
        <f aca="false">COUNTIF('Master Tracker'!$X$5:$X$300,A9)</f>
        <v>0</v>
      </c>
      <c r="D9" s="5" t="s">
        <v>49</v>
      </c>
      <c r="E9" s="5" t="n">
        <f aca="false">COUNTIFS('Master Tracker'!$Q$5:$Q$300,D9,'Master Tracker'!$X$5:$X$300,"&lt;&gt;Completed",'Master Tracker'!$A$5:$A$300,"&lt;&gt;")</f>
        <v>2</v>
      </c>
      <c r="G9" s="5" t="s">
        <v>50</v>
      </c>
      <c r="H9" s="5" t="n">
        <f aca="false">COUNTIFS('Master Tracker'!$I$5:$I$300,G9,'Master Tracker'!$X$5:$X$300,"&lt;&gt;Completed",'Master Tracker'!$A$5:$A$300,"&lt;&gt;")</f>
        <v>6</v>
      </c>
    </row>
    <row r="10" customFormat="false" ht="15" hidden="false" customHeight="false" outlineLevel="0" collapsed="false">
      <c r="A10" s="5" t="s">
        <v>51</v>
      </c>
      <c r="B10" s="5" t="n">
        <f aca="false">COUNTIF('Master Tracker'!$X$5:$X$300,A10)</f>
        <v>0</v>
      </c>
      <c r="G10" s="5" t="s">
        <v>52</v>
      </c>
      <c r="H10" s="5" t="n">
        <f aca="false">COUNTIFS('Master Tracker'!$I$5:$I$300,G10,'Master Tracker'!$X$5:$X$300,"&lt;&gt;Completed",'Master Tracker'!$A$5:$A$300,"&lt;&gt;")</f>
        <v>4</v>
      </c>
    </row>
    <row r="11" customFormat="false" ht="15" hidden="false" customHeight="false" outlineLevel="0" collapsed="false">
      <c r="A11" s="5" t="s">
        <v>53</v>
      </c>
      <c r="B11" s="5" t="n">
        <f aca="false">COUNTIF('Master Tracker'!$X$5:$X$300,A11)</f>
        <v>0</v>
      </c>
      <c r="G11" s="5" t="s">
        <v>54</v>
      </c>
      <c r="H11" s="5" t="n">
        <f aca="false">COUNTIFS('Master Tracker'!$I$5:$I$300,G11,'Master Tracker'!$X$5:$X$300,"&lt;&gt;Completed",'Master Tracker'!$A$5:$A$300,"&lt;&gt;")</f>
        <v>1</v>
      </c>
    </row>
    <row r="12" customFormat="false" ht="15" hidden="false" customHeight="false" outlineLevel="0" collapsed="false">
      <c r="A12" s="5" t="s">
        <v>55</v>
      </c>
      <c r="B12" s="5" t="n">
        <f aca="false">COUNTIF('Master Tracker'!$X$5:$X$300,A12)</f>
        <v>0</v>
      </c>
      <c r="G12" s="5" t="s">
        <v>56</v>
      </c>
      <c r="H12" s="5" t="n">
        <f aca="false">COUNTIFS('Master Tracker'!$I$5:$I$300,G12,'Master Tracker'!$X$5:$X$300,"&lt;&gt;Completed",'Master Tracker'!$A$5:$A$300,"&lt;&gt;")</f>
        <v>7</v>
      </c>
    </row>
    <row r="13" customFormat="false" ht="15" hidden="false" customHeight="false" outlineLevel="0" collapsed="false">
      <c r="A13" s="5" t="s">
        <v>57</v>
      </c>
      <c r="B13" s="5" t="n">
        <f aca="false">COUNTIF('Master Tracker'!$X$5:$X$300,A13)</f>
        <v>0</v>
      </c>
      <c r="G13" s="5" t="s">
        <v>58</v>
      </c>
      <c r="H13" s="5" t="n">
        <f aca="false">COUNTIFS('Master Tracker'!$I$5:$I$300,G13,'Master Tracker'!$X$5:$X$300,"&lt;&gt;Completed",'Master Tracker'!$A$5:$A$300,"&lt;&gt;")</f>
        <v>1</v>
      </c>
    </row>
    <row r="14" customFormat="false" ht="15" hidden="false" customHeight="false" outlineLevel="0" collapsed="false">
      <c r="A14" s="5" t="s">
        <v>59</v>
      </c>
      <c r="B14" s="5" t="n">
        <f aca="false">COUNTIF('Master Tracker'!$X$5:$X$300,A14)</f>
        <v>0</v>
      </c>
      <c r="G14" s="5" t="s">
        <v>60</v>
      </c>
      <c r="H14" s="5" t="n">
        <f aca="false">COUNTIFS('Master Tracker'!$I$5:$I$300,G14,'Master Tracker'!$X$5:$X$300,"&lt;&gt;Completed",'Master Tracker'!$A$5:$A$300,"&lt;&gt;")</f>
        <v>1</v>
      </c>
    </row>
    <row r="15" customFormat="false" ht="15" hidden="false" customHeight="false" outlineLevel="0" collapsed="false">
      <c r="A15" s="6" t="s">
        <v>61</v>
      </c>
      <c r="B15" s="6" t="n">
        <f aca="false">COUNTA('Master Tracker'!$A$5:$A$300)</f>
        <v>56</v>
      </c>
      <c r="G15" s="5" t="s">
        <v>62</v>
      </c>
      <c r="H15" s="5" t="n">
        <f aca="false">COUNTIFS('Master Tracker'!$I$5:$I$300,G15,'Master Tracker'!$X$5:$X$300,"&lt;&gt;Completed",'Master Tracker'!$A$5:$A$300,"&lt;&gt;")</f>
        <v>2</v>
      </c>
    </row>
    <row r="16" customFormat="false" ht="15" hidden="false" customHeight="false" outlineLevel="0" collapsed="false">
      <c r="A16" s="5" t="s">
        <v>63</v>
      </c>
      <c r="B16" s="5" t="n">
        <f aca="true">COUNTIFS('Master Tracker'!$W$5:$W$300,"&lt;"&amp;TODAY(),'Master Tracker'!$X$5:$X$300,"&lt;&gt;Completed",'Master Tracker'!$X$5:$X$300,"&lt;&gt;Monitoring",'Master Tracker'!$A$5:$A$300,"&lt;&gt;")</f>
        <v>0</v>
      </c>
      <c r="G16" s="5" t="s">
        <v>64</v>
      </c>
      <c r="H16" s="5" t="n">
        <f aca="false">COUNTIFS('Master Tracker'!$I$5:$I$300,G16,'Master Tracker'!$X$5:$X$300,"&lt;&gt;Completed",'Master Tracker'!$A$5:$A$300,"&lt;&gt;")</f>
        <v>1</v>
      </c>
    </row>
    <row r="17" customFormat="false" ht="15" hidden="false" customHeight="false" outlineLevel="0" collapsed="false">
      <c r="A17" s="5" t="s">
        <v>65</v>
      </c>
      <c r="B17" s="11" t="n">
        <f aca="false">IFERROR(B14/B15,0)</f>
        <v>0</v>
      </c>
      <c r="G17" s="5" t="s">
        <v>66</v>
      </c>
      <c r="H17" s="5" t="n">
        <f aca="false">COUNTIFS('Master Tracker'!$I$5:$I$300,G17,'Master Tracker'!$X$5:$X$300,"&lt;&gt;Completed",'Master Tracker'!$A$5:$A$300,"&lt;&gt;")</f>
        <v>1</v>
      </c>
    </row>
    <row r="18" customFormat="false" ht="15" hidden="false" customHeight="false" outlineLevel="0" collapsed="false">
      <c r="G18" s="5" t="s">
        <v>67</v>
      </c>
      <c r="H18" s="5" t="n">
        <f aca="false">COUNTIFS('Master Tracker'!$I$5:$I$300,G18,'Master Tracker'!$X$5:$X$300,"&lt;&gt;Completed",'Master Tracker'!$A$5:$A$300,"&lt;&gt;")</f>
        <v>0</v>
      </c>
    </row>
    <row r="19" customFormat="false" ht="15" hidden="false" customHeight="false" outlineLevel="0" collapsed="false">
      <c r="G19" s="5" t="s">
        <v>68</v>
      </c>
      <c r="H19" s="5" t="n">
        <f aca="false">COUNTIFS('Master Tracker'!$I$5:$I$300,G19,'Master Tracker'!$X$5:$X$300,"&lt;&gt;Completed",'Master Tracker'!$A$5:$A$300,"&lt;&gt;")</f>
        <v>4</v>
      </c>
    </row>
    <row r="23" customFormat="false" ht="15" hidden="false" customHeight="false" outlineLevel="0" collapsed="false">
      <c r="A23" s="6" t="s">
        <v>69</v>
      </c>
    </row>
    <row r="24" customFormat="false" ht="31.5" hidden="false" customHeight="true" outlineLevel="0" collapsed="false">
      <c r="A24" s="9" t="s">
        <v>70</v>
      </c>
      <c r="B24" s="9" t="s">
        <v>71</v>
      </c>
      <c r="C24" s="9" t="s">
        <v>72</v>
      </c>
      <c r="D24" s="9" t="s">
        <v>73</v>
      </c>
      <c r="E24" s="9" t="s">
        <v>74</v>
      </c>
      <c r="F24" s="9" t="s">
        <v>75</v>
      </c>
      <c r="G24" s="9" t="s">
        <v>76</v>
      </c>
      <c r="H24" s="9" t="s">
        <v>77</v>
      </c>
    </row>
    <row r="25" customFormat="false" ht="15" hidden="false" customHeight="false" outlineLevel="0" collapsed="false">
      <c r="A25" s="12" t="s">
        <v>78</v>
      </c>
      <c r="B25" s="13" t="n">
        <v>124</v>
      </c>
      <c r="C25" s="14"/>
      <c r="D25" s="15" t="str">
        <f aca="false">IF(OR(B25="",C25="",B25=0),"",C25/B25-1)</f>
        <v/>
      </c>
      <c r="E25" s="14"/>
      <c r="F25" s="14"/>
      <c r="G25" s="14"/>
      <c r="H25" s="12" t="s">
        <v>79</v>
      </c>
    </row>
    <row r="26" customFormat="false" ht="15" hidden="false" customHeight="false" outlineLevel="0" collapsed="false">
      <c r="A26" s="12" t="s">
        <v>80</v>
      </c>
      <c r="B26" s="13" t="n">
        <v>45837</v>
      </c>
      <c r="C26" s="14"/>
      <c r="D26" s="15" t="str">
        <f aca="false">IF(OR(B26="",C26="",B26=0),"",C26/B26-1)</f>
        <v/>
      </c>
      <c r="E26" s="14"/>
      <c r="F26" s="14"/>
      <c r="G26" s="14"/>
      <c r="H26" s="12" t="s">
        <v>79</v>
      </c>
    </row>
    <row r="27" customFormat="false" ht="15" hidden="false" customHeight="false" outlineLevel="0" collapsed="false">
      <c r="A27" s="12" t="s">
        <v>81</v>
      </c>
      <c r="B27" s="16" t="n">
        <v>0.00270523812640443</v>
      </c>
      <c r="C27" s="17"/>
      <c r="D27" s="15" t="str">
        <f aca="false">IF(OR(B27="",C27="",B27=0),"",C27/B27-1)</f>
        <v/>
      </c>
      <c r="E27" s="17"/>
      <c r="F27" s="17"/>
      <c r="G27" s="17"/>
      <c r="H27" s="12" t="s">
        <v>79</v>
      </c>
    </row>
    <row r="28" customFormat="false" ht="15" hidden="false" customHeight="false" outlineLevel="0" collapsed="false">
      <c r="A28" s="12" t="s">
        <v>82</v>
      </c>
      <c r="B28" s="18" t="n">
        <v>17.8</v>
      </c>
      <c r="C28" s="14"/>
      <c r="D28" s="15" t="str">
        <f aca="false">IF(OR(B28="",C28="",B28=0),"",C28/B28-1)</f>
        <v/>
      </c>
      <c r="E28" s="14"/>
      <c r="F28" s="14"/>
      <c r="G28" s="14"/>
      <c r="H28" s="12" t="s">
        <v>79</v>
      </c>
    </row>
    <row r="29" customFormat="false" ht="15" hidden="false" customHeight="false" outlineLevel="0" collapsed="false">
      <c r="A29" s="12" t="s">
        <v>83</v>
      </c>
      <c r="B29" s="19"/>
      <c r="C29" s="14"/>
      <c r="D29" s="15" t="str">
        <f aca="false">IF(OR(B29="",C29="",B29=0),"",C29/B29-1)</f>
        <v/>
      </c>
      <c r="E29" s="14"/>
      <c r="F29" s="14"/>
      <c r="G29" s="14"/>
      <c r="H29" s="12" t="s">
        <v>84</v>
      </c>
    </row>
    <row r="30" customFormat="false" ht="15" hidden="false" customHeight="false" outlineLevel="0" collapsed="false">
      <c r="A30" s="12" t="s">
        <v>85</v>
      </c>
      <c r="B30" s="19"/>
      <c r="C30" s="14"/>
      <c r="D30" s="15" t="str">
        <f aca="false">IF(OR(B30="",C30="",B30=0),"",C30/B30-1)</f>
        <v/>
      </c>
      <c r="E30" s="14"/>
      <c r="F30" s="14"/>
      <c r="G30" s="14"/>
      <c r="H30" s="12" t="s">
        <v>84</v>
      </c>
    </row>
    <row r="31" customFormat="false" ht="15" hidden="false" customHeight="false" outlineLevel="0" collapsed="false">
      <c r="A31" s="12" t="s">
        <v>86</v>
      </c>
      <c r="B31" s="19"/>
      <c r="C31" s="14"/>
      <c r="D31" s="15" t="str">
        <f aca="false">IF(OR(B31="",C31="",B31=0),"",C31/B31-1)</f>
        <v/>
      </c>
      <c r="E31" s="14"/>
      <c r="F31" s="14"/>
      <c r="G31" s="14"/>
      <c r="H31" s="12" t="s">
        <v>84</v>
      </c>
    </row>
    <row r="32" customFormat="false" ht="15" hidden="false" customHeight="false" outlineLevel="0" collapsed="false">
      <c r="A32" s="12" t="s">
        <v>87</v>
      </c>
      <c r="B32" s="13" t="n">
        <v>121</v>
      </c>
      <c r="C32" s="14"/>
      <c r="D32" s="15" t="str">
        <f aca="false">IF(OR(B32="",C32="",B32=0),"",C32/B32-1)</f>
        <v/>
      </c>
      <c r="E32" s="14"/>
      <c r="F32" s="14"/>
      <c r="G32" s="14"/>
      <c r="H32" s="12" t="s">
        <v>88</v>
      </c>
    </row>
    <row r="33" customFormat="false" ht="15" hidden="false" customHeight="false" outlineLevel="0" collapsed="false">
      <c r="A33" s="12" t="s">
        <v>89</v>
      </c>
      <c r="B33" s="13" t="n">
        <v>3</v>
      </c>
      <c r="C33" s="14"/>
      <c r="D33" s="15" t="str">
        <f aca="false">IF(OR(B33="",C33="",B33=0),"",C33/B33-1)</f>
        <v/>
      </c>
      <c r="E33" s="14"/>
      <c r="F33" s="14"/>
      <c r="G33" s="14"/>
      <c r="H33" s="12" t="s">
        <v>79</v>
      </c>
    </row>
    <row r="34" customFormat="false" ht="15" hidden="false" customHeight="false" outlineLevel="0" collapsed="false">
      <c r="A34" s="12" t="s">
        <v>90</v>
      </c>
      <c r="B34" s="13" t="n">
        <v>5774</v>
      </c>
      <c r="C34" s="14"/>
      <c r="D34" s="15" t="str">
        <f aca="false">IF(OR(B34="",C34="",B34=0),"",C34/B34-1)</f>
        <v/>
      </c>
      <c r="E34" s="14"/>
      <c r="F34" s="14"/>
      <c r="G34" s="14"/>
      <c r="H34" s="12" t="s">
        <v>91</v>
      </c>
    </row>
    <row r="35" customFormat="false" ht="15" hidden="false" customHeight="false" outlineLevel="0" collapsed="false">
      <c r="A35" s="12" t="s">
        <v>92</v>
      </c>
      <c r="B35" s="19"/>
      <c r="C35" s="14"/>
      <c r="D35" s="15" t="str">
        <f aca="false">IF(OR(B35="",C35="",B35=0),"",C35/B35-1)</f>
        <v/>
      </c>
      <c r="E35" s="14"/>
      <c r="F35" s="14"/>
      <c r="G35" s="14"/>
      <c r="H35" s="12" t="s">
        <v>93</v>
      </c>
    </row>
    <row r="36" customFormat="false" ht="15" hidden="false" customHeight="false" outlineLevel="0" collapsed="false">
      <c r="A36" s="12" t="s">
        <v>94</v>
      </c>
      <c r="B36" s="19"/>
      <c r="C36" s="14"/>
      <c r="D36" s="15" t="str">
        <f aca="false">IF(OR(B36="",C36="",B36=0),"",C36/B36-1)</f>
        <v/>
      </c>
      <c r="E36" s="14"/>
      <c r="F36" s="14"/>
      <c r="G36" s="14"/>
      <c r="H36" s="12" t="s">
        <v>93</v>
      </c>
    </row>
    <row r="37" customFormat="false" ht="15" hidden="false" customHeight="false" outlineLevel="0" collapsed="false">
      <c r="A37" s="12" t="s">
        <v>95</v>
      </c>
      <c r="B37" s="19"/>
      <c r="C37" s="14"/>
      <c r="D37" s="15" t="str">
        <f aca="false">IF(OR(B37="",C37="",B37=0),"",C37/B37-1)</f>
        <v/>
      </c>
      <c r="E37" s="14"/>
      <c r="F37" s="14"/>
      <c r="G37" s="14"/>
      <c r="H37" s="12" t="s">
        <v>96</v>
      </c>
    </row>
    <row r="38" customFormat="false" ht="15" hidden="false" customHeight="false" outlineLevel="0" collapsed="false">
      <c r="A38" s="12" t="s">
        <v>97</v>
      </c>
      <c r="B38" s="19"/>
      <c r="C38" s="14"/>
      <c r="D38" s="15" t="str">
        <f aca="false">IF(OR(B38="",C38="",B38=0),"",C38/B38-1)</f>
        <v/>
      </c>
      <c r="E38" s="14"/>
      <c r="F38" s="14"/>
      <c r="G38" s="14"/>
      <c r="H38" s="12" t="s">
        <v>98</v>
      </c>
    </row>
    <row r="39" customFormat="false" ht="15" hidden="false" customHeight="false" outlineLevel="0" collapsed="false">
      <c r="A39" s="12" t="s">
        <v>99</v>
      </c>
      <c r="B39" s="19"/>
      <c r="C39" s="14"/>
      <c r="D39" s="15" t="str">
        <f aca="false">IF(OR(B39="",C39="",B39=0),"",C39/B39-1)</f>
        <v/>
      </c>
      <c r="E39" s="14"/>
      <c r="F39" s="14"/>
      <c r="G39" s="14"/>
      <c r="H39" s="12" t="s">
        <v>100</v>
      </c>
    </row>
    <row r="40" customFormat="false" ht="15" hidden="false" customHeight="false" outlineLevel="0" collapsed="false">
      <c r="A40" s="12" t="s">
        <v>101</v>
      </c>
      <c r="B40" s="19"/>
      <c r="C40" s="14"/>
      <c r="D40" s="15" t="str">
        <f aca="false">IF(OR(B40="",C40="",B40=0),"",C40/B40-1)</f>
        <v/>
      </c>
      <c r="E40" s="14"/>
      <c r="F40" s="14"/>
      <c r="G40" s="14"/>
      <c r="H40" s="12" t="s">
        <v>84</v>
      </c>
    </row>
    <row r="41" customFormat="false" ht="15" hidden="false" customHeight="false" outlineLevel="0" collapsed="false">
      <c r="A41" s="12" t="s">
        <v>102</v>
      </c>
      <c r="B41" s="19"/>
      <c r="C41" s="14"/>
      <c r="D41" s="15" t="str">
        <f aca="false">IF(OR(B41="",C41="",B41=0),"",C41/B41-1)</f>
        <v/>
      </c>
      <c r="E41" s="14"/>
      <c r="F41" s="14"/>
      <c r="G41" s="14"/>
      <c r="H41" s="12" t="s">
        <v>103</v>
      </c>
    </row>
    <row r="42" customFormat="false" ht="15" hidden="false" customHeight="false" outlineLevel="0" collapsed="false">
      <c r="A42" s="12" t="s">
        <v>104</v>
      </c>
      <c r="B42" s="19"/>
      <c r="C42" s="14"/>
      <c r="D42" s="15" t="str">
        <f aca="false">IF(OR(B42="",C42="",B42=0),"",C42/B42-1)</f>
        <v/>
      </c>
      <c r="E42" s="14"/>
      <c r="F42" s="14"/>
      <c r="G42" s="14"/>
      <c r="H42" s="12" t="s">
        <v>105</v>
      </c>
    </row>
    <row r="43" customFormat="false" ht="15" hidden="false" customHeight="false" outlineLevel="0" collapsed="false">
      <c r="A43" s="12" t="s">
        <v>106</v>
      </c>
      <c r="B43" s="19"/>
      <c r="C43" s="14"/>
      <c r="D43" s="15" t="str">
        <f aca="false">IF(OR(B43="",C43="",B43=0),"",C43/B43-1)</f>
        <v/>
      </c>
      <c r="E43" s="14"/>
      <c r="F43" s="14"/>
      <c r="G43" s="14"/>
      <c r="H43" s="12" t="s">
        <v>93</v>
      </c>
    </row>
    <row r="45" customFormat="false" ht="15" hidden="false" customHeight="false" outlineLevel="0" collapsed="false">
      <c r="A45" s="2" t="s">
        <v>107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1F2A44"/>
    <pageSetUpPr fitToPage="true"/>
  </sheetPr>
  <dimension ref="A1:AG3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6" ySplit="4" topLeftCell="G5" activePane="bottomRight" state="frozen"/>
      <selection pane="topLeft" activeCell="A1" activeCellId="0" sqref="A1"/>
      <selection pane="topRight" activeCell="G1" activeCellId="0" sqref="G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3"/>
    <col collapsed="false" customWidth="true" hidden="false" outlineLevel="0" max="3" min="3" style="0" width="18"/>
    <col collapsed="false" customWidth="true" hidden="false" outlineLevel="0" max="5" min="4" style="0" width="12"/>
    <col collapsed="false" customWidth="true" hidden="false" outlineLevel="0" max="6" min="6" style="0" width="34"/>
    <col collapsed="false" customWidth="true" hidden="false" outlineLevel="0" max="7" min="7" style="0" width="13"/>
    <col collapsed="false" customWidth="true" hidden="false" outlineLevel="0" max="8" min="8" style="0" width="44"/>
    <col collapsed="false" customWidth="true" hidden="false" outlineLevel="0" max="9" min="9" style="0" width="15"/>
    <col collapsed="false" customWidth="true" hidden="false" outlineLevel="0" max="10" min="10" style="0" width="18"/>
    <col collapsed="false" customWidth="true" hidden="false" outlineLevel="0" max="11" min="11" style="0" width="16"/>
    <col collapsed="false" customWidth="true" hidden="false" outlineLevel="0" max="14" min="12" style="0" width="11"/>
    <col collapsed="false" customWidth="true" hidden="false" outlineLevel="0" max="15" min="15" style="0" width="13"/>
    <col collapsed="false" customWidth="true" hidden="false" outlineLevel="0" max="16" min="16" style="0" width="9"/>
    <col collapsed="false" customWidth="true" hidden="false" outlineLevel="0" max="17" min="17" style="0" width="10"/>
    <col collapsed="false" customWidth="true" hidden="false" outlineLevel="0" max="18" min="18" style="0" width="9"/>
    <col collapsed="false" customWidth="true" hidden="false" outlineLevel="0" max="19" min="19" style="0" width="8"/>
    <col collapsed="false" customWidth="true" hidden="false" outlineLevel="0" max="20" min="20" style="0" width="50"/>
    <col collapsed="false" customWidth="true" hidden="false" outlineLevel="0" max="21" min="21" style="0" width="14"/>
    <col collapsed="false" customWidth="true" hidden="false" outlineLevel="0" max="23" min="22" style="0" width="13"/>
    <col collapsed="false" customWidth="true" hidden="false" outlineLevel="0" max="24" min="24" style="0" width="18"/>
    <col collapsed="false" customWidth="true" hidden="false" outlineLevel="0" max="25" min="25" style="0" width="13"/>
    <col collapsed="false" customWidth="true" hidden="false" outlineLevel="0" max="27" min="26" style="0" width="16"/>
    <col collapsed="false" customWidth="true" hidden="false" outlineLevel="0" max="28" min="28" style="0" width="24"/>
    <col collapsed="false" customWidth="true" hidden="false" outlineLevel="0" max="30" min="29" style="0" width="18"/>
    <col collapsed="false" customWidth="true" hidden="false" outlineLevel="0" max="31" min="31" style="0" width="14"/>
    <col collapsed="false" customWidth="true" hidden="false" outlineLevel="0" max="32" min="32" style="0" width="34"/>
    <col collapsed="false" customWidth="true" hidden="false" outlineLevel="0" max="33" min="33" style="0" width="13"/>
  </cols>
  <sheetData>
    <row r="1" customFormat="false" ht="19.7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31.5" hidden="false" customHeight="true" outlineLevel="0" collapsed="false">
      <c r="A4" s="9" t="s">
        <v>110</v>
      </c>
      <c r="B4" s="9" t="s">
        <v>111</v>
      </c>
      <c r="C4" s="9" t="s">
        <v>112</v>
      </c>
      <c r="D4" s="9" t="s">
        <v>113</v>
      </c>
      <c r="E4" s="9" t="s">
        <v>114</v>
      </c>
      <c r="F4" s="9" t="s">
        <v>115</v>
      </c>
      <c r="G4" s="9" t="s">
        <v>116</v>
      </c>
      <c r="H4" s="9" t="s">
        <v>117</v>
      </c>
      <c r="I4" s="9" t="s">
        <v>38</v>
      </c>
      <c r="J4" s="9" t="s">
        <v>118</v>
      </c>
      <c r="K4" s="9" t="s">
        <v>119</v>
      </c>
      <c r="L4" s="9" t="s">
        <v>120</v>
      </c>
      <c r="M4" s="9" t="s">
        <v>121</v>
      </c>
      <c r="N4" s="9" t="s">
        <v>122</v>
      </c>
      <c r="O4" s="9" t="s">
        <v>123</v>
      </c>
      <c r="P4" s="9" t="s">
        <v>81</v>
      </c>
      <c r="Q4" s="9" t="s">
        <v>36</v>
      </c>
      <c r="R4" s="9" t="s">
        <v>124</v>
      </c>
      <c r="S4" s="9" t="s">
        <v>125</v>
      </c>
      <c r="T4" s="9" t="s">
        <v>126</v>
      </c>
      <c r="U4" s="9" t="s">
        <v>127</v>
      </c>
      <c r="V4" s="9" t="s">
        <v>128</v>
      </c>
      <c r="W4" s="9" t="s">
        <v>129</v>
      </c>
      <c r="X4" s="9" t="s">
        <v>34</v>
      </c>
      <c r="Y4" s="9" t="s">
        <v>130</v>
      </c>
      <c r="Z4" s="9" t="s">
        <v>131</v>
      </c>
      <c r="AA4" s="9" t="s">
        <v>132</v>
      </c>
      <c r="AB4" s="9" t="s">
        <v>133</v>
      </c>
      <c r="AC4" s="9" t="s">
        <v>134</v>
      </c>
      <c r="AD4" s="9" t="s">
        <v>135</v>
      </c>
      <c r="AE4" s="9" t="s">
        <v>136</v>
      </c>
      <c r="AF4" s="9" t="s">
        <v>137</v>
      </c>
      <c r="AG4" s="9" t="s">
        <v>138</v>
      </c>
    </row>
    <row r="5" customFormat="false" ht="23.85" hidden="false" customHeight="false" outlineLevel="0" collapsed="false">
      <c r="A5" s="20" t="s">
        <v>139</v>
      </c>
      <c r="B5" s="21" t="n">
        <v>46301</v>
      </c>
      <c r="C5" s="22" t="s">
        <v>140</v>
      </c>
      <c r="D5" s="22" t="s">
        <v>141</v>
      </c>
      <c r="E5" s="22" t="s">
        <v>142</v>
      </c>
      <c r="F5" s="22" t="s">
        <v>143</v>
      </c>
      <c r="G5" s="22" t="s">
        <v>144</v>
      </c>
      <c r="H5" s="22" t="s">
        <v>145</v>
      </c>
      <c r="I5" s="22" t="s">
        <v>41</v>
      </c>
      <c r="J5" s="22"/>
      <c r="K5" s="22"/>
      <c r="L5" s="23"/>
      <c r="M5" s="23"/>
      <c r="N5" s="23"/>
      <c r="O5" s="23"/>
      <c r="P5" s="24" t="str">
        <f aca="false">IFERROR(N5/O5,"")</f>
        <v/>
      </c>
      <c r="Q5" s="22" t="s">
        <v>40</v>
      </c>
      <c r="R5" s="22" t="s">
        <v>43</v>
      </c>
      <c r="S5" s="22" t="s">
        <v>146</v>
      </c>
      <c r="T5" s="22" t="s">
        <v>147</v>
      </c>
      <c r="U5" s="22" t="s">
        <v>148</v>
      </c>
      <c r="V5" s="21"/>
      <c r="W5" s="21" t="n">
        <v>46307</v>
      </c>
      <c r="X5" s="22" t="s">
        <v>39</v>
      </c>
      <c r="Y5" s="21"/>
      <c r="Z5" s="22"/>
      <c r="AA5" s="22"/>
      <c r="AB5" s="22" t="s">
        <v>149</v>
      </c>
      <c r="AC5" s="22"/>
      <c r="AD5" s="22"/>
      <c r="AE5" s="22"/>
      <c r="AF5" s="22" t="s">
        <v>150</v>
      </c>
      <c r="AG5" s="21" t="n">
        <v>46308</v>
      </c>
    </row>
    <row r="6" customFormat="false" ht="23.85" hidden="false" customHeight="false" outlineLevel="0" collapsed="false">
      <c r="A6" s="20" t="s">
        <v>151</v>
      </c>
      <c r="B6" s="21" t="n">
        <v>46301</v>
      </c>
      <c r="C6" s="22" t="s">
        <v>140</v>
      </c>
      <c r="D6" s="22" t="s">
        <v>141</v>
      </c>
      <c r="E6" s="22" t="s">
        <v>142</v>
      </c>
      <c r="F6" s="22" t="s">
        <v>152</v>
      </c>
      <c r="G6" s="22" t="s">
        <v>144</v>
      </c>
      <c r="H6" s="22" t="s">
        <v>153</v>
      </c>
      <c r="I6" s="22" t="s">
        <v>41</v>
      </c>
      <c r="J6" s="22"/>
      <c r="K6" s="22"/>
      <c r="L6" s="23"/>
      <c r="M6" s="23"/>
      <c r="N6" s="23"/>
      <c r="O6" s="23"/>
      <c r="P6" s="24" t="str">
        <f aca="false">IFERROR(N6/O6,"")</f>
        <v/>
      </c>
      <c r="Q6" s="22" t="s">
        <v>40</v>
      </c>
      <c r="R6" s="22" t="s">
        <v>43</v>
      </c>
      <c r="S6" s="22" t="s">
        <v>146</v>
      </c>
      <c r="T6" s="22" t="s">
        <v>154</v>
      </c>
      <c r="U6" s="22" t="s">
        <v>148</v>
      </c>
      <c r="V6" s="21"/>
      <c r="W6" s="21" t="n">
        <v>46307</v>
      </c>
      <c r="X6" s="22" t="s">
        <v>39</v>
      </c>
      <c r="Y6" s="21"/>
      <c r="Z6" s="22"/>
      <c r="AA6" s="22"/>
      <c r="AB6" s="22" t="s">
        <v>155</v>
      </c>
      <c r="AC6" s="22"/>
      <c r="AD6" s="22"/>
      <c r="AE6" s="22"/>
      <c r="AF6" s="22"/>
      <c r="AG6" s="21" t="n">
        <v>46308</v>
      </c>
    </row>
    <row r="7" customFormat="false" ht="23.85" hidden="false" customHeight="false" outlineLevel="0" collapsed="false">
      <c r="A7" s="20" t="s">
        <v>156</v>
      </c>
      <c r="B7" s="21" t="n">
        <v>46301</v>
      </c>
      <c r="C7" s="22" t="s">
        <v>140</v>
      </c>
      <c r="D7" s="22" t="s">
        <v>141</v>
      </c>
      <c r="E7" s="22" t="s">
        <v>142</v>
      </c>
      <c r="F7" s="22" t="s">
        <v>157</v>
      </c>
      <c r="G7" s="22" t="s">
        <v>158</v>
      </c>
      <c r="H7" s="22" t="s">
        <v>159</v>
      </c>
      <c r="I7" s="22" t="s">
        <v>44</v>
      </c>
      <c r="J7" s="22"/>
      <c r="K7" s="22"/>
      <c r="L7" s="23"/>
      <c r="M7" s="23"/>
      <c r="N7" s="23"/>
      <c r="O7" s="23"/>
      <c r="P7" s="24" t="str">
        <f aca="false">IFERROR(N7/O7,"")</f>
        <v/>
      </c>
      <c r="Q7" s="22" t="s">
        <v>40</v>
      </c>
      <c r="R7" s="22" t="s">
        <v>43</v>
      </c>
      <c r="S7" s="22" t="s">
        <v>160</v>
      </c>
      <c r="T7" s="22" t="s">
        <v>161</v>
      </c>
      <c r="U7" s="22" t="s">
        <v>148</v>
      </c>
      <c r="V7" s="21"/>
      <c r="W7" s="21" t="n">
        <v>46307</v>
      </c>
      <c r="X7" s="22" t="s">
        <v>39</v>
      </c>
      <c r="Y7" s="21"/>
      <c r="Z7" s="22"/>
      <c r="AA7" s="22"/>
      <c r="AB7" s="22" t="s">
        <v>162</v>
      </c>
      <c r="AC7" s="22"/>
      <c r="AD7" s="22"/>
      <c r="AE7" s="22"/>
      <c r="AF7" s="22"/>
      <c r="AG7" s="21" t="n">
        <v>46308</v>
      </c>
    </row>
    <row r="8" customFormat="false" ht="15" hidden="false" customHeight="false" outlineLevel="0" collapsed="false">
      <c r="A8" s="20" t="s">
        <v>163</v>
      </c>
      <c r="B8" s="21" t="n">
        <v>46301</v>
      </c>
      <c r="C8" s="22" t="s">
        <v>140</v>
      </c>
      <c r="D8" s="22" t="s">
        <v>141</v>
      </c>
      <c r="E8" s="22" t="s">
        <v>142</v>
      </c>
      <c r="F8" s="22" t="s">
        <v>164</v>
      </c>
      <c r="G8" s="22" t="s">
        <v>158</v>
      </c>
      <c r="H8" s="22" t="s">
        <v>165</v>
      </c>
      <c r="I8" s="22" t="s">
        <v>44</v>
      </c>
      <c r="J8" s="22"/>
      <c r="K8" s="22"/>
      <c r="L8" s="23"/>
      <c r="M8" s="23"/>
      <c r="N8" s="23"/>
      <c r="O8" s="23"/>
      <c r="P8" s="24" t="str">
        <f aca="false">IFERROR(N8/O8,"")</f>
        <v/>
      </c>
      <c r="Q8" s="22" t="s">
        <v>40</v>
      </c>
      <c r="R8" s="22" t="s">
        <v>43</v>
      </c>
      <c r="S8" s="22" t="s">
        <v>146</v>
      </c>
      <c r="T8" s="22" t="s">
        <v>166</v>
      </c>
      <c r="U8" s="22" t="s">
        <v>148</v>
      </c>
      <c r="V8" s="21"/>
      <c r="W8" s="21" t="n">
        <v>46307</v>
      </c>
      <c r="X8" s="22" t="s">
        <v>39</v>
      </c>
      <c r="Y8" s="21"/>
      <c r="Z8" s="22"/>
      <c r="AA8" s="22"/>
      <c r="AB8" s="22" t="s">
        <v>167</v>
      </c>
      <c r="AC8" s="22"/>
      <c r="AD8" s="22"/>
      <c r="AE8" s="22"/>
      <c r="AF8" s="22"/>
      <c r="AG8" s="21" t="n">
        <v>46308</v>
      </c>
    </row>
    <row r="9" customFormat="false" ht="23.85" hidden="false" customHeight="false" outlineLevel="0" collapsed="false">
      <c r="A9" s="20" t="s">
        <v>168</v>
      </c>
      <c r="B9" s="21" t="n">
        <v>46301</v>
      </c>
      <c r="C9" s="22" t="s">
        <v>140</v>
      </c>
      <c r="D9" s="22" t="s">
        <v>141</v>
      </c>
      <c r="E9" s="22" t="s">
        <v>142</v>
      </c>
      <c r="F9" s="22" t="s">
        <v>169</v>
      </c>
      <c r="G9" s="22" t="s">
        <v>170</v>
      </c>
      <c r="H9" s="22" t="s">
        <v>171</v>
      </c>
      <c r="I9" s="22" t="s">
        <v>44</v>
      </c>
      <c r="J9" s="22"/>
      <c r="K9" s="22"/>
      <c r="L9" s="23"/>
      <c r="M9" s="23"/>
      <c r="N9" s="23"/>
      <c r="O9" s="23"/>
      <c r="P9" s="24" t="str">
        <f aca="false">IFERROR(N9/O9,"")</f>
        <v/>
      </c>
      <c r="Q9" s="22" t="s">
        <v>40</v>
      </c>
      <c r="R9" s="22" t="s">
        <v>43</v>
      </c>
      <c r="S9" s="22" t="s">
        <v>160</v>
      </c>
      <c r="T9" s="22" t="s">
        <v>172</v>
      </c>
      <c r="U9" s="22" t="s">
        <v>148</v>
      </c>
      <c r="V9" s="21"/>
      <c r="W9" s="21" t="n">
        <v>46311</v>
      </c>
      <c r="X9" s="22" t="s">
        <v>39</v>
      </c>
      <c r="Y9" s="21"/>
      <c r="Z9" s="22"/>
      <c r="AA9" s="22"/>
      <c r="AB9" s="22" t="s">
        <v>173</v>
      </c>
      <c r="AC9" s="22"/>
      <c r="AD9" s="22"/>
      <c r="AE9" s="22"/>
      <c r="AF9" s="22"/>
      <c r="AG9" s="21" t="n">
        <v>46308</v>
      </c>
    </row>
    <row r="10" customFormat="false" ht="23.85" hidden="false" customHeight="false" outlineLevel="0" collapsed="false">
      <c r="A10" s="20" t="s">
        <v>174</v>
      </c>
      <c r="B10" s="21" t="n">
        <v>46301</v>
      </c>
      <c r="C10" s="22" t="s">
        <v>140</v>
      </c>
      <c r="D10" s="22" t="s">
        <v>141</v>
      </c>
      <c r="E10" s="22" t="s">
        <v>142</v>
      </c>
      <c r="F10" s="22" t="s">
        <v>175</v>
      </c>
      <c r="G10" s="22" t="s">
        <v>176</v>
      </c>
      <c r="H10" s="22" t="s">
        <v>177</v>
      </c>
      <c r="I10" s="22" t="s">
        <v>44</v>
      </c>
      <c r="J10" s="22"/>
      <c r="K10" s="22"/>
      <c r="L10" s="23"/>
      <c r="M10" s="23"/>
      <c r="N10" s="23"/>
      <c r="O10" s="23"/>
      <c r="P10" s="24" t="str">
        <f aca="false">IFERROR(N10/O10,"")</f>
        <v/>
      </c>
      <c r="Q10" s="22" t="s">
        <v>43</v>
      </c>
      <c r="R10" s="22" t="s">
        <v>46</v>
      </c>
      <c r="S10" s="22" t="s">
        <v>146</v>
      </c>
      <c r="T10" s="22" t="s">
        <v>178</v>
      </c>
      <c r="U10" s="22" t="s">
        <v>148</v>
      </c>
      <c r="V10" s="21"/>
      <c r="W10" s="21" t="n">
        <v>46311</v>
      </c>
      <c r="X10" s="22" t="s">
        <v>39</v>
      </c>
      <c r="Y10" s="21"/>
      <c r="Z10" s="22"/>
      <c r="AA10" s="22"/>
      <c r="AB10" s="22" t="s">
        <v>162</v>
      </c>
      <c r="AC10" s="22"/>
      <c r="AD10" s="22"/>
      <c r="AE10" s="22"/>
      <c r="AF10" s="22"/>
      <c r="AG10" s="21" t="n">
        <v>46308</v>
      </c>
    </row>
    <row r="11" customFormat="false" ht="15" hidden="false" customHeight="false" outlineLevel="0" collapsed="false">
      <c r="A11" s="20" t="s">
        <v>179</v>
      </c>
      <c r="B11" s="21" t="n">
        <v>46301</v>
      </c>
      <c r="C11" s="22" t="s">
        <v>140</v>
      </c>
      <c r="D11" s="22" t="s">
        <v>141</v>
      </c>
      <c r="E11" s="22" t="s">
        <v>142</v>
      </c>
      <c r="F11" s="22" t="s">
        <v>180</v>
      </c>
      <c r="G11" s="22" t="s">
        <v>170</v>
      </c>
      <c r="H11" s="22" t="s">
        <v>181</v>
      </c>
      <c r="I11" s="22" t="s">
        <v>44</v>
      </c>
      <c r="J11" s="22"/>
      <c r="K11" s="22"/>
      <c r="L11" s="23"/>
      <c r="M11" s="23"/>
      <c r="N11" s="23"/>
      <c r="O11" s="23"/>
      <c r="P11" s="24" t="str">
        <f aca="false">IFERROR(N11/O11,"")</f>
        <v/>
      </c>
      <c r="Q11" s="22" t="s">
        <v>46</v>
      </c>
      <c r="R11" s="22" t="s">
        <v>46</v>
      </c>
      <c r="S11" s="22" t="s">
        <v>146</v>
      </c>
      <c r="T11" s="22" t="s">
        <v>182</v>
      </c>
      <c r="U11" s="22" t="s">
        <v>148</v>
      </c>
      <c r="V11" s="21"/>
      <c r="W11" s="21" t="n">
        <v>46311</v>
      </c>
      <c r="X11" s="22" t="s">
        <v>39</v>
      </c>
      <c r="Y11" s="21"/>
      <c r="Z11" s="22"/>
      <c r="AA11" s="22"/>
      <c r="AB11" s="22" t="s">
        <v>183</v>
      </c>
      <c r="AC11" s="22"/>
      <c r="AD11" s="22"/>
      <c r="AE11" s="22"/>
      <c r="AF11" s="22"/>
      <c r="AG11" s="21" t="n">
        <v>46308</v>
      </c>
    </row>
    <row r="12" customFormat="false" ht="15" hidden="false" customHeight="false" outlineLevel="0" collapsed="false">
      <c r="A12" s="20" t="s">
        <v>184</v>
      </c>
      <c r="B12" s="21" t="n">
        <v>46301</v>
      </c>
      <c r="C12" s="22" t="s">
        <v>140</v>
      </c>
      <c r="D12" s="22" t="s">
        <v>141</v>
      </c>
      <c r="E12" s="22" t="s">
        <v>142</v>
      </c>
      <c r="F12" s="22" t="s">
        <v>185</v>
      </c>
      <c r="G12" s="22" t="s">
        <v>144</v>
      </c>
      <c r="H12" s="22" t="s">
        <v>186</v>
      </c>
      <c r="I12" s="22" t="s">
        <v>41</v>
      </c>
      <c r="J12" s="22"/>
      <c r="K12" s="22"/>
      <c r="L12" s="23"/>
      <c r="M12" s="23"/>
      <c r="N12" s="23"/>
      <c r="O12" s="23"/>
      <c r="P12" s="24" t="str">
        <f aca="false">IFERROR(N12/O12,"")</f>
        <v/>
      </c>
      <c r="Q12" s="22" t="s">
        <v>43</v>
      </c>
      <c r="R12" s="22" t="s">
        <v>46</v>
      </c>
      <c r="S12" s="22" t="s">
        <v>146</v>
      </c>
      <c r="T12" s="22" t="s">
        <v>187</v>
      </c>
      <c r="U12" s="22" t="s">
        <v>148</v>
      </c>
      <c r="V12" s="21"/>
      <c r="W12" s="21" t="n">
        <v>46314</v>
      </c>
      <c r="X12" s="22" t="s">
        <v>39</v>
      </c>
      <c r="Y12" s="21"/>
      <c r="Z12" s="22"/>
      <c r="AA12" s="22"/>
      <c r="AB12" s="22" t="s">
        <v>188</v>
      </c>
      <c r="AC12" s="22"/>
      <c r="AD12" s="22"/>
      <c r="AE12" s="22"/>
      <c r="AF12" s="22"/>
      <c r="AG12" s="21" t="n">
        <v>46308</v>
      </c>
    </row>
    <row r="13" customFormat="false" ht="23.85" hidden="false" customHeight="false" outlineLevel="0" collapsed="false">
      <c r="A13" s="20" t="s">
        <v>189</v>
      </c>
      <c r="B13" s="21" t="n">
        <v>46301</v>
      </c>
      <c r="C13" s="22" t="s">
        <v>140</v>
      </c>
      <c r="D13" s="22" t="s">
        <v>141</v>
      </c>
      <c r="E13" s="22" t="s">
        <v>142</v>
      </c>
      <c r="F13" s="22" t="s">
        <v>190</v>
      </c>
      <c r="G13" s="22" t="s">
        <v>158</v>
      </c>
      <c r="H13" s="22" t="s">
        <v>191</v>
      </c>
      <c r="I13" s="22" t="s">
        <v>68</v>
      </c>
      <c r="J13" s="22"/>
      <c r="K13" s="22"/>
      <c r="L13" s="23"/>
      <c r="M13" s="23"/>
      <c r="N13" s="23"/>
      <c r="O13" s="23"/>
      <c r="P13" s="24" t="str">
        <f aca="false">IFERROR(N13/O13,"")</f>
        <v/>
      </c>
      <c r="Q13" s="22" t="s">
        <v>43</v>
      </c>
      <c r="R13" s="22" t="s">
        <v>46</v>
      </c>
      <c r="S13" s="22" t="s">
        <v>160</v>
      </c>
      <c r="T13" s="22" t="s">
        <v>192</v>
      </c>
      <c r="U13" s="22" t="s">
        <v>148</v>
      </c>
      <c r="V13" s="21"/>
      <c r="W13" s="21" t="n">
        <v>46321</v>
      </c>
      <c r="X13" s="22" t="s">
        <v>39</v>
      </c>
      <c r="Y13" s="21"/>
      <c r="Z13" s="22"/>
      <c r="AA13" s="22"/>
      <c r="AB13" s="22" t="s">
        <v>193</v>
      </c>
      <c r="AC13" s="22"/>
      <c r="AD13" s="22"/>
      <c r="AE13" s="22"/>
      <c r="AF13" s="22"/>
      <c r="AG13" s="21" t="n">
        <v>46308</v>
      </c>
    </row>
    <row r="14" customFormat="false" ht="15" hidden="false" customHeight="false" outlineLevel="0" collapsed="false">
      <c r="A14" s="20" t="s">
        <v>194</v>
      </c>
      <c r="B14" s="21" t="n">
        <v>46301</v>
      </c>
      <c r="C14" s="22" t="s">
        <v>140</v>
      </c>
      <c r="D14" s="22" t="s">
        <v>141</v>
      </c>
      <c r="E14" s="22" t="s">
        <v>142</v>
      </c>
      <c r="F14" s="22" t="s">
        <v>195</v>
      </c>
      <c r="G14" s="22" t="s">
        <v>196</v>
      </c>
      <c r="H14" s="22" t="s">
        <v>197</v>
      </c>
      <c r="I14" s="22" t="s">
        <v>54</v>
      </c>
      <c r="J14" s="22"/>
      <c r="K14" s="22"/>
      <c r="L14" s="23"/>
      <c r="M14" s="23"/>
      <c r="N14" s="23"/>
      <c r="O14" s="23"/>
      <c r="P14" s="24" t="str">
        <f aca="false">IFERROR(N14/O14,"")</f>
        <v/>
      </c>
      <c r="Q14" s="22" t="s">
        <v>46</v>
      </c>
      <c r="R14" s="22" t="s">
        <v>46</v>
      </c>
      <c r="S14" s="22" t="s">
        <v>160</v>
      </c>
      <c r="T14" s="22" t="s">
        <v>198</v>
      </c>
      <c r="U14" s="22" t="s">
        <v>148</v>
      </c>
      <c r="V14" s="21"/>
      <c r="W14" s="21" t="n">
        <v>46328</v>
      </c>
      <c r="X14" s="22" t="s">
        <v>39</v>
      </c>
      <c r="Y14" s="21"/>
      <c r="Z14" s="22"/>
      <c r="AA14" s="22"/>
      <c r="AB14" s="22" t="s">
        <v>199</v>
      </c>
      <c r="AC14" s="22"/>
      <c r="AD14" s="22"/>
      <c r="AE14" s="22"/>
      <c r="AF14" s="22"/>
      <c r="AG14" s="21" t="n">
        <v>46308</v>
      </c>
    </row>
    <row r="15" customFormat="false" ht="15" hidden="false" customHeight="false" outlineLevel="0" collapsed="false">
      <c r="A15" s="20" t="s">
        <v>200</v>
      </c>
      <c r="B15" s="21" t="n">
        <v>46301</v>
      </c>
      <c r="C15" s="22" t="s">
        <v>140</v>
      </c>
      <c r="D15" s="22" t="s">
        <v>141</v>
      </c>
      <c r="E15" s="22" t="s">
        <v>142</v>
      </c>
      <c r="F15" s="22" t="s">
        <v>144</v>
      </c>
      <c r="G15" s="22" t="s">
        <v>144</v>
      </c>
      <c r="H15" s="22" t="s">
        <v>201</v>
      </c>
      <c r="I15" s="22" t="s">
        <v>68</v>
      </c>
      <c r="J15" s="22"/>
      <c r="K15" s="22"/>
      <c r="L15" s="23"/>
      <c r="M15" s="23"/>
      <c r="N15" s="23"/>
      <c r="O15" s="23"/>
      <c r="P15" s="24" t="str">
        <f aca="false">IFERROR(N15/O15,"")</f>
        <v/>
      </c>
      <c r="Q15" s="22" t="s">
        <v>46</v>
      </c>
      <c r="R15" s="22" t="s">
        <v>49</v>
      </c>
      <c r="S15" s="22" t="s">
        <v>160</v>
      </c>
      <c r="T15" s="22" t="s">
        <v>202</v>
      </c>
      <c r="U15" s="22" t="s">
        <v>148</v>
      </c>
      <c r="V15" s="21"/>
      <c r="W15" s="21" t="n">
        <v>46335</v>
      </c>
      <c r="X15" s="22" t="s">
        <v>39</v>
      </c>
      <c r="Y15" s="21"/>
      <c r="Z15" s="22"/>
      <c r="AA15" s="22"/>
      <c r="AB15" s="22" t="s">
        <v>203</v>
      </c>
      <c r="AC15" s="22"/>
      <c r="AD15" s="22"/>
      <c r="AE15" s="22"/>
      <c r="AF15" s="22"/>
      <c r="AG15" s="21" t="n">
        <v>46308</v>
      </c>
    </row>
    <row r="16" customFormat="false" ht="15" hidden="false" customHeight="false" outlineLevel="0" collapsed="false">
      <c r="A16" s="20" t="s">
        <v>204</v>
      </c>
      <c r="B16" s="21" t="n">
        <v>46301</v>
      </c>
      <c r="C16" s="22" t="s">
        <v>140</v>
      </c>
      <c r="D16" s="22" t="s">
        <v>141</v>
      </c>
      <c r="E16" s="22" t="s">
        <v>142</v>
      </c>
      <c r="F16" s="22" t="s">
        <v>144</v>
      </c>
      <c r="G16" s="22" t="s">
        <v>144</v>
      </c>
      <c r="H16" s="22" t="s">
        <v>205</v>
      </c>
      <c r="I16" s="22" t="s">
        <v>41</v>
      </c>
      <c r="J16" s="22"/>
      <c r="K16" s="22"/>
      <c r="L16" s="23"/>
      <c r="M16" s="23"/>
      <c r="N16" s="23"/>
      <c r="O16" s="23"/>
      <c r="P16" s="24" t="str">
        <f aca="false">IFERROR(N16/O16,"")</f>
        <v/>
      </c>
      <c r="Q16" s="22" t="s">
        <v>49</v>
      </c>
      <c r="R16" s="22" t="s">
        <v>49</v>
      </c>
      <c r="S16" s="22" t="s">
        <v>146</v>
      </c>
      <c r="T16" s="22" t="s">
        <v>206</v>
      </c>
      <c r="U16" s="22" t="s">
        <v>148</v>
      </c>
      <c r="V16" s="21"/>
      <c r="W16" s="21" t="n">
        <v>46335</v>
      </c>
      <c r="X16" s="22" t="s">
        <v>39</v>
      </c>
      <c r="Y16" s="21"/>
      <c r="Z16" s="22"/>
      <c r="AA16" s="22"/>
      <c r="AB16" s="22"/>
      <c r="AC16" s="22"/>
      <c r="AD16" s="22"/>
      <c r="AE16" s="22"/>
      <c r="AF16" s="22"/>
      <c r="AG16" s="21" t="n">
        <v>46308</v>
      </c>
    </row>
    <row r="17" customFormat="false" ht="23.85" hidden="false" customHeight="false" outlineLevel="0" collapsed="false">
      <c r="A17" s="20" t="s">
        <v>207</v>
      </c>
      <c r="B17" s="21" t="n">
        <v>46301</v>
      </c>
      <c r="C17" s="22" t="s">
        <v>140</v>
      </c>
      <c r="D17" s="22" t="s">
        <v>141</v>
      </c>
      <c r="E17" s="22" t="s">
        <v>142</v>
      </c>
      <c r="F17" s="22" t="s">
        <v>208</v>
      </c>
      <c r="G17" s="22" t="s">
        <v>144</v>
      </c>
      <c r="H17" s="22" t="s">
        <v>209</v>
      </c>
      <c r="I17" s="22" t="s">
        <v>47</v>
      </c>
      <c r="J17" s="22"/>
      <c r="K17" s="22"/>
      <c r="L17" s="23"/>
      <c r="M17" s="23"/>
      <c r="N17" s="23"/>
      <c r="O17" s="23"/>
      <c r="P17" s="24" t="str">
        <f aca="false">IFERROR(N17/O17,"")</f>
        <v/>
      </c>
      <c r="Q17" s="22" t="s">
        <v>40</v>
      </c>
      <c r="R17" s="22" t="s">
        <v>43</v>
      </c>
      <c r="S17" s="22" t="s">
        <v>146</v>
      </c>
      <c r="T17" s="22" t="s">
        <v>210</v>
      </c>
      <c r="U17" s="22" t="s">
        <v>211</v>
      </c>
      <c r="V17" s="21"/>
      <c r="W17" s="21" t="n">
        <v>46311</v>
      </c>
      <c r="X17" s="22" t="s">
        <v>39</v>
      </c>
      <c r="Y17" s="21"/>
      <c r="Z17" s="22"/>
      <c r="AA17" s="22"/>
      <c r="AB17" s="22" t="s">
        <v>212</v>
      </c>
      <c r="AC17" s="22"/>
      <c r="AD17" s="22"/>
      <c r="AE17" s="22"/>
      <c r="AF17" s="22"/>
      <c r="AG17" s="21" t="n">
        <v>46308</v>
      </c>
    </row>
    <row r="18" customFormat="false" ht="35.05" hidden="false" customHeight="false" outlineLevel="0" collapsed="false">
      <c r="A18" s="20" t="s">
        <v>213</v>
      </c>
      <c r="B18" s="21" t="n">
        <v>46301</v>
      </c>
      <c r="C18" s="22" t="s">
        <v>140</v>
      </c>
      <c r="D18" s="22" t="s">
        <v>141</v>
      </c>
      <c r="E18" s="22" t="s">
        <v>142</v>
      </c>
      <c r="F18" s="22" t="s">
        <v>214</v>
      </c>
      <c r="G18" s="22" t="s">
        <v>144</v>
      </c>
      <c r="H18" s="22" t="s">
        <v>215</v>
      </c>
      <c r="I18" s="22" t="s">
        <v>50</v>
      </c>
      <c r="J18" s="22"/>
      <c r="K18" s="22"/>
      <c r="L18" s="23"/>
      <c r="M18" s="23"/>
      <c r="N18" s="23"/>
      <c r="O18" s="23"/>
      <c r="P18" s="24" t="str">
        <f aca="false">IFERROR(N18/O18,"")</f>
        <v/>
      </c>
      <c r="Q18" s="22" t="s">
        <v>43</v>
      </c>
      <c r="R18" s="22" t="s">
        <v>43</v>
      </c>
      <c r="S18" s="22" t="s">
        <v>146</v>
      </c>
      <c r="T18" s="22" t="s">
        <v>216</v>
      </c>
      <c r="U18" s="22" t="s">
        <v>217</v>
      </c>
      <c r="V18" s="21"/>
      <c r="W18" s="21" t="n">
        <v>46311</v>
      </c>
      <c r="X18" s="22" t="s">
        <v>39</v>
      </c>
      <c r="Y18" s="21"/>
      <c r="Z18" s="22"/>
      <c r="AA18" s="22"/>
      <c r="AB18" s="22" t="s">
        <v>218</v>
      </c>
      <c r="AC18" s="22"/>
      <c r="AD18" s="22"/>
      <c r="AE18" s="22"/>
      <c r="AF18" s="22"/>
      <c r="AG18" s="21" t="n">
        <v>46308</v>
      </c>
    </row>
    <row r="19" customFormat="false" ht="15" hidden="false" customHeight="false" outlineLevel="0" collapsed="false">
      <c r="A19" s="20" t="s">
        <v>219</v>
      </c>
      <c r="B19" s="21" t="n">
        <v>46301</v>
      </c>
      <c r="C19" s="22" t="s">
        <v>140</v>
      </c>
      <c r="D19" s="22" t="s">
        <v>141</v>
      </c>
      <c r="E19" s="22" t="s">
        <v>142</v>
      </c>
      <c r="F19" s="22" t="s">
        <v>220</v>
      </c>
      <c r="G19" s="22" t="s">
        <v>158</v>
      </c>
      <c r="H19" s="22" t="s">
        <v>221</v>
      </c>
      <c r="I19" s="22" t="s">
        <v>47</v>
      </c>
      <c r="J19" s="22"/>
      <c r="K19" s="22"/>
      <c r="L19" s="23"/>
      <c r="M19" s="23"/>
      <c r="N19" s="23"/>
      <c r="O19" s="23"/>
      <c r="P19" s="24" t="str">
        <f aca="false">IFERROR(N19/O19,"")</f>
        <v/>
      </c>
      <c r="Q19" s="22" t="s">
        <v>40</v>
      </c>
      <c r="R19" s="22" t="s">
        <v>43</v>
      </c>
      <c r="S19" s="22" t="s">
        <v>146</v>
      </c>
      <c r="T19" s="22" t="s">
        <v>222</v>
      </c>
      <c r="U19" s="22" t="s">
        <v>148</v>
      </c>
      <c r="V19" s="21"/>
      <c r="W19" s="21" t="n">
        <v>46311</v>
      </c>
      <c r="X19" s="22" t="s">
        <v>39</v>
      </c>
      <c r="Y19" s="21"/>
      <c r="Z19" s="22"/>
      <c r="AA19" s="22"/>
      <c r="AB19" s="22" t="s">
        <v>223</v>
      </c>
      <c r="AC19" s="22"/>
      <c r="AD19" s="22"/>
      <c r="AE19" s="22"/>
      <c r="AF19" s="22"/>
      <c r="AG19" s="21" t="n">
        <v>46308</v>
      </c>
    </row>
    <row r="20" customFormat="false" ht="23.85" hidden="false" customHeight="false" outlineLevel="0" collapsed="false">
      <c r="A20" s="20" t="s">
        <v>224</v>
      </c>
      <c r="B20" s="21" t="n">
        <v>46301</v>
      </c>
      <c r="C20" s="22" t="s">
        <v>140</v>
      </c>
      <c r="D20" s="22" t="s">
        <v>141</v>
      </c>
      <c r="E20" s="22" t="s">
        <v>142</v>
      </c>
      <c r="F20" s="22" t="s">
        <v>225</v>
      </c>
      <c r="G20" s="22" t="s">
        <v>196</v>
      </c>
      <c r="H20" s="22" t="s">
        <v>226</v>
      </c>
      <c r="I20" s="22" t="s">
        <v>41</v>
      </c>
      <c r="J20" s="22"/>
      <c r="K20" s="22"/>
      <c r="L20" s="23"/>
      <c r="M20" s="23"/>
      <c r="N20" s="23"/>
      <c r="O20" s="23"/>
      <c r="P20" s="24" t="str">
        <f aca="false">IFERROR(N20/O20,"")</f>
        <v/>
      </c>
      <c r="Q20" s="22" t="s">
        <v>43</v>
      </c>
      <c r="R20" s="22" t="s">
        <v>46</v>
      </c>
      <c r="S20" s="22" t="s">
        <v>160</v>
      </c>
      <c r="T20" s="22" t="s">
        <v>227</v>
      </c>
      <c r="U20" s="22" t="s">
        <v>148</v>
      </c>
      <c r="V20" s="21"/>
      <c r="W20" s="21" t="n">
        <v>46314</v>
      </c>
      <c r="X20" s="22" t="s">
        <v>39</v>
      </c>
      <c r="Y20" s="21"/>
      <c r="Z20" s="22"/>
      <c r="AA20" s="22"/>
      <c r="AB20" s="22" t="s">
        <v>228</v>
      </c>
      <c r="AC20" s="22"/>
      <c r="AD20" s="22"/>
      <c r="AE20" s="22"/>
      <c r="AF20" s="22"/>
      <c r="AG20" s="21" t="n">
        <v>46308</v>
      </c>
    </row>
    <row r="21" customFormat="false" ht="15" hidden="false" customHeight="false" outlineLevel="0" collapsed="false">
      <c r="A21" s="20" t="s">
        <v>229</v>
      </c>
      <c r="B21" s="21" t="n">
        <v>46301</v>
      </c>
      <c r="C21" s="22" t="s">
        <v>140</v>
      </c>
      <c r="D21" s="22" t="s">
        <v>141</v>
      </c>
      <c r="E21" s="22" t="s">
        <v>142</v>
      </c>
      <c r="F21" s="22" t="s">
        <v>220</v>
      </c>
      <c r="G21" s="22" t="s">
        <v>158</v>
      </c>
      <c r="H21" s="22" t="s">
        <v>230</v>
      </c>
      <c r="I21" s="22" t="s">
        <v>41</v>
      </c>
      <c r="J21" s="22"/>
      <c r="K21" s="22"/>
      <c r="L21" s="23"/>
      <c r="M21" s="23"/>
      <c r="N21" s="23"/>
      <c r="O21" s="23"/>
      <c r="P21" s="24" t="str">
        <f aca="false">IFERROR(N21/O21,"")</f>
        <v/>
      </c>
      <c r="Q21" s="22" t="s">
        <v>40</v>
      </c>
      <c r="R21" s="22" t="s">
        <v>46</v>
      </c>
      <c r="S21" s="22" t="s">
        <v>146</v>
      </c>
      <c r="T21" s="22" t="s">
        <v>231</v>
      </c>
      <c r="U21" s="22" t="s">
        <v>148</v>
      </c>
      <c r="V21" s="21"/>
      <c r="W21" s="21" t="n">
        <v>46304</v>
      </c>
      <c r="X21" s="22" t="s">
        <v>39</v>
      </c>
      <c r="Y21" s="21"/>
      <c r="Z21" s="22"/>
      <c r="AA21" s="22"/>
      <c r="AB21" s="22" t="s">
        <v>232</v>
      </c>
      <c r="AC21" s="22"/>
      <c r="AD21" s="22"/>
      <c r="AE21" s="22"/>
      <c r="AF21" s="22"/>
      <c r="AG21" s="21" t="n">
        <v>46308</v>
      </c>
    </row>
    <row r="22" customFormat="false" ht="15" hidden="false" customHeight="false" outlineLevel="0" collapsed="false">
      <c r="A22" s="20" t="s">
        <v>233</v>
      </c>
      <c r="B22" s="21" t="n">
        <v>46301</v>
      </c>
      <c r="C22" s="22" t="s">
        <v>140</v>
      </c>
      <c r="D22" s="22" t="s">
        <v>141</v>
      </c>
      <c r="E22" s="22" t="s">
        <v>142</v>
      </c>
      <c r="F22" s="22" t="s">
        <v>234</v>
      </c>
      <c r="G22" s="22" t="s">
        <v>235</v>
      </c>
      <c r="H22" s="22" t="s">
        <v>236</v>
      </c>
      <c r="I22" s="22" t="s">
        <v>50</v>
      </c>
      <c r="J22" s="22"/>
      <c r="K22" s="22"/>
      <c r="L22" s="23"/>
      <c r="M22" s="23"/>
      <c r="N22" s="23"/>
      <c r="O22" s="23"/>
      <c r="P22" s="24" t="str">
        <f aca="false">IFERROR(N22/O22,"")</f>
        <v/>
      </c>
      <c r="Q22" s="22" t="s">
        <v>43</v>
      </c>
      <c r="R22" s="22" t="s">
        <v>46</v>
      </c>
      <c r="S22" s="22" t="s">
        <v>146</v>
      </c>
      <c r="T22" s="22" t="s">
        <v>237</v>
      </c>
      <c r="U22" s="22" t="s">
        <v>217</v>
      </c>
      <c r="V22" s="21"/>
      <c r="W22" s="21" t="n">
        <v>46318</v>
      </c>
      <c r="X22" s="22" t="s">
        <v>39</v>
      </c>
      <c r="Y22" s="21"/>
      <c r="Z22" s="22"/>
      <c r="AA22" s="22"/>
      <c r="AB22" s="22" t="s">
        <v>238</v>
      </c>
      <c r="AC22" s="22"/>
      <c r="AD22" s="22"/>
      <c r="AE22" s="22"/>
      <c r="AF22" s="22"/>
      <c r="AG22" s="21" t="n">
        <v>46308</v>
      </c>
    </row>
    <row r="23" customFormat="false" ht="15" hidden="false" customHeight="false" outlineLevel="0" collapsed="false">
      <c r="A23" s="20" t="s">
        <v>239</v>
      </c>
      <c r="B23" s="21" t="n">
        <v>46301</v>
      </c>
      <c r="C23" s="22" t="s">
        <v>140</v>
      </c>
      <c r="D23" s="22" t="s">
        <v>141</v>
      </c>
      <c r="E23" s="22" t="s">
        <v>142</v>
      </c>
      <c r="F23" s="22" t="s">
        <v>240</v>
      </c>
      <c r="G23" s="22" t="s">
        <v>235</v>
      </c>
      <c r="H23" s="22" t="s">
        <v>241</v>
      </c>
      <c r="I23" s="22" t="s">
        <v>50</v>
      </c>
      <c r="J23" s="22"/>
      <c r="K23" s="22"/>
      <c r="L23" s="23"/>
      <c r="M23" s="23"/>
      <c r="N23" s="23"/>
      <c r="O23" s="23"/>
      <c r="P23" s="24" t="str">
        <f aca="false">IFERROR(N23/O23,"")</f>
        <v/>
      </c>
      <c r="Q23" s="22" t="s">
        <v>43</v>
      </c>
      <c r="R23" s="22" t="s">
        <v>46</v>
      </c>
      <c r="S23" s="22" t="s">
        <v>146</v>
      </c>
      <c r="T23" s="22" t="s">
        <v>242</v>
      </c>
      <c r="U23" s="22" t="s">
        <v>217</v>
      </c>
      <c r="V23" s="21"/>
      <c r="W23" s="21" t="n">
        <v>46318</v>
      </c>
      <c r="X23" s="22" t="s">
        <v>39</v>
      </c>
      <c r="Y23" s="21"/>
      <c r="Z23" s="22"/>
      <c r="AA23" s="22"/>
      <c r="AB23" s="22"/>
      <c r="AC23" s="22"/>
      <c r="AD23" s="22"/>
      <c r="AE23" s="22"/>
      <c r="AF23" s="22"/>
      <c r="AG23" s="21" t="n">
        <v>46308</v>
      </c>
    </row>
    <row r="24" customFormat="false" ht="15" hidden="false" customHeight="false" outlineLevel="0" collapsed="false">
      <c r="A24" s="20" t="s">
        <v>243</v>
      </c>
      <c r="B24" s="21" t="n">
        <v>46301</v>
      </c>
      <c r="C24" s="22" t="s">
        <v>140</v>
      </c>
      <c r="D24" s="22" t="s">
        <v>141</v>
      </c>
      <c r="E24" s="22" t="s">
        <v>142</v>
      </c>
      <c r="F24" s="22" t="s">
        <v>244</v>
      </c>
      <c r="G24" s="22" t="s">
        <v>235</v>
      </c>
      <c r="H24" s="22" t="s">
        <v>245</v>
      </c>
      <c r="I24" s="22" t="s">
        <v>50</v>
      </c>
      <c r="J24" s="22"/>
      <c r="K24" s="22"/>
      <c r="L24" s="23"/>
      <c r="M24" s="23"/>
      <c r="N24" s="23"/>
      <c r="O24" s="23"/>
      <c r="P24" s="24" t="str">
        <f aca="false">IFERROR(N24/O24,"")</f>
        <v/>
      </c>
      <c r="Q24" s="22" t="s">
        <v>43</v>
      </c>
      <c r="R24" s="22" t="s">
        <v>46</v>
      </c>
      <c r="S24" s="22" t="s">
        <v>146</v>
      </c>
      <c r="T24" s="22" t="s">
        <v>246</v>
      </c>
      <c r="U24" s="22" t="s">
        <v>217</v>
      </c>
      <c r="V24" s="21"/>
      <c r="W24" s="21" t="n">
        <v>46318</v>
      </c>
      <c r="X24" s="22" t="s">
        <v>39</v>
      </c>
      <c r="Y24" s="21"/>
      <c r="Z24" s="22"/>
      <c r="AA24" s="22"/>
      <c r="AB24" s="22" t="s">
        <v>247</v>
      </c>
      <c r="AC24" s="22"/>
      <c r="AD24" s="22"/>
      <c r="AE24" s="22"/>
      <c r="AF24" s="22"/>
      <c r="AG24" s="21" t="n">
        <v>46308</v>
      </c>
    </row>
    <row r="25" customFormat="false" ht="23.85" hidden="false" customHeight="false" outlineLevel="0" collapsed="false">
      <c r="A25" s="20" t="s">
        <v>248</v>
      </c>
      <c r="B25" s="21" t="n">
        <v>46301</v>
      </c>
      <c r="C25" s="22" t="s">
        <v>249</v>
      </c>
      <c r="D25" s="22" t="s">
        <v>249</v>
      </c>
      <c r="E25" s="22" t="s">
        <v>142</v>
      </c>
      <c r="F25" s="22" t="s">
        <v>250</v>
      </c>
      <c r="G25" s="22" t="s">
        <v>158</v>
      </c>
      <c r="H25" s="22" t="s">
        <v>251</v>
      </c>
      <c r="I25" s="22" t="s">
        <v>50</v>
      </c>
      <c r="J25" s="22"/>
      <c r="K25" s="22"/>
      <c r="L25" s="23"/>
      <c r="M25" s="23"/>
      <c r="N25" s="23"/>
      <c r="O25" s="23"/>
      <c r="P25" s="24" t="str">
        <f aca="false">IFERROR(N25/O25,"")</f>
        <v/>
      </c>
      <c r="Q25" s="22" t="s">
        <v>46</v>
      </c>
      <c r="R25" s="22" t="s">
        <v>46</v>
      </c>
      <c r="S25" s="22" t="s">
        <v>146</v>
      </c>
      <c r="T25" s="22" t="s">
        <v>252</v>
      </c>
      <c r="U25" s="22" t="s">
        <v>217</v>
      </c>
      <c r="V25" s="21"/>
      <c r="W25" s="21" t="n">
        <v>46318</v>
      </c>
      <c r="X25" s="22" t="s">
        <v>39</v>
      </c>
      <c r="Y25" s="21"/>
      <c r="Z25" s="22"/>
      <c r="AA25" s="22"/>
      <c r="AB25" s="22" t="s">
        <v>253</v>
      </c>
      <c r="AC25" s="22"/>
      <c r="AD25" s="22"/>
      <c r="AE25" s="22"/>
      <c r="AF25" s="22"/>
      <c r="AG25" s="21" t="n">
        <v>46308</v>
      </c>
    </row>
    <row r="26" customFormat="false" ht="15" hidden="false" customHeight="false" outlineLevel="0" collapsed="false">
      <c r="A26" s="20" t="s">
        <v>254</v>
      </c>
      <c r="B26" s="21" t="n">
        <v>46301</v>
      </c>
      <c r="C26" s="22" t="s">
        <v>140</v>
      </c>
      <c r="D26" s="22" t="s">
        <v>141</v>
      </c>
      <c r="E26" s="22" t="s">
        <v>142</v>
      </c>
      <c r="F26" s="22" t="s">
        <v>255</v>
      </c>
      <c r="G26" s="22" t="s">
        <v>144</v>
      </c>
      <c r="H26" s="22" t="s">
        <v>256</v>
      </c>
      <c r="I26" s="22" t="s">
        <v>50</v>
      </c>
      <c r="J26" s="22"/>
      <c r="K26" s="22"/>
      <c r="L26" s="23"/>
      <c r="M26" s="23"/>
      <c r="N26" s="23"/>
      <c r="O26" s="23"/>
      <c r="P26" s="24" t="str">
        <f aca="false">IFERROR(N26/O26,"")</f>
        <v/>
      </c>
      <c r="Q26" s="22" t="s">
        <v>49</v>
      </c>
      <c r="R26" s="22" t="s">
        <v>49</v>
      </c>
      <c r="S26" s="22" t="s">
        <v>146</v>
      </c>
      <c r="T26" s="22" t="s">
        <v>257</v>
      </c>
      <c r="U26" s="22" t="s">
        <v>148</v>
      </c>
      <c r="V26" s="21"/>
      <c r="W26" s="21" t="n">
        <v>46318</v>
      </c>
      <c r="X26" s="22" t="s">
        <v>39</v>
      </c>
      <c r="Y26" s="21"/>
      <c r="Z26" s="22"/>
      <c r="AA26" s="22"/>
      <c r="AB26" s="22"/>
      <c r="AC26" s="22"/>
      <c r="AD26" s="22"/>
      <c r="AE26" s="22"/>
      <c r="AF26" s="22"/>
      <c r="AG26" s="21" t="n">
        <v>46308</v>
      </c>
    </row>
    <row r="27" customFormat="false" ht="15" hidden="false" customHeight="false" outlineLevel="0" collapsed="false">
      <c r="A27" s="20" t="s">
        <v>258</v>
      </c>
      <c r="B27" s="21" t="n">
        <v>46301</v>
      </c>
      <c r="C27" s="22" t="s">
        <v>140</v>
      </c>
      <c r="D27" s="22" t="s">
        <v>141</v>
      </c>
      <c r="E27" s="22" t="s">
        <v>142</v>
      </c>
      <c r="F27" s="22" t="s">
        <v>144</v>
      </c>
      <c r="G27" s="22" t="s">
        <v>144</v>
      </c>
      <c r="H27" s="22" t="s">
        <v>259</v>
      </c>
      <c r="I27" s="22" t="s">
        <v>41</v>
      </c>
      <c r="J27" s="22"/>
      <c r="K27" s="22"/>
      <c r="L27" s="23"/>
      <c r="M27" s="23"/>
      <c r="N27" s="23"/>
      <c r="O27" s="23"/>
      <c r="P27" s="24" t="str">
        <f aca="false">IFERROR(N27/O27,"")</f>
        <v/>
      </c>
      <c r="Q27" s="22" t="s">
        <v>46</v>
      </c>
      <c r="R27" s="22" t="s">
        <v>46</v>
      </c>
      <c r="S27" s="22" t="s">
        <v>146</v>
      </c>
      <c r="T27" s="22" t="s">
        <v>260</v>
      </c>
      <c r="U27" s="22" t="s">
        <v>148</v>
      </c>
      <c r="V27" s="21"/>
      <c r="W27" s="21" t="n">
        <v>46314</v>
      </c>
      <c r="X27" s="22" t="s">
        <v>39</v>
      </c>
      <c r="Y27" s="21"/>
      <c r="Z27" s="22"/>
      <c r="AA27" s="22"/>
      <c r="AB27" s="22"/>
      <c r="AC27" s="22"/>
      <c r="AD27" s="22"/>
      <c r="AE27" s="22"/>
      <c r="AF27" s="22" t="s">
        <v>261</v>
      </c>
      <c r="AG27" s="21" t="n">
        <v>46308</v>
      </c>
    </row>
    <row r="28" customFormat="false" ht="23.85" hidden="false" customHeight="false" outlineLevel="0" collapsed="false">
      <c r="A28" s="20" t="s">
        <v>262</v>
      </c>
      <c r="B28" s="21" t="n">
        <v>46301</v>
      </c>
      <c r="C28" s="22" t="s">
        <v>140</v>
      </c>
      <c r="D28" s="22" t="s">
        <v>141</v>
      </c>
      <c r="E28" s="22" t="s">
        <v>142</v>
      </c>
      <c r="F28" s="22" t="s">
        <v>144</v>
      </c>
      <c r="G28" s="22" t="s">
        <v>144</v>
      </c>
      <c r="H28" s="22" t="s">
        <v>263</v>
      </c>
      <c r="I28" s="22" t="s">
        <v>52</v>
      </c>
      <c r="J28" s="22"/>
      <c r="K28" s="22"/>
      <c r="L28" s="23"/>
      <c r="M28" s="23"/>
      <c r="N28" s="23"/>
      <c r="O28" s="23"/>
      <c r="P28" s="24" t="str">
        <f aca="false">IFERROR(N28/O28,"")</f>
        <v/>
      </c>
      <c r="Q28" s="22" t="s">
        <v>43</v>
      </c>
      <c r="R28" s="22" t="s">
        <v>43</v>
      </c>
      <c r="S28" s="22" t="s">
        <v>146</v>
      </c>
      <c r="T28" s="22" t="s">
        <v>264</v>
      </c>
      <c r="U28" s="22" t="s">
        <v>265</v>
      </c>
      <c r="V28" s="21"/>
      <c r="W28" s="21" t="n">
        <v>46311</v>
      </c>
      <c r="X28" s="22" t="s">
        <v>39</v>
      </c>
      <c r="Y28" s="21"/>
      <c r="Z28" s="22"/>
      <c r="AA28" s="22"/>
      <c r="AB28" s="22" t="s">
        <v>266</v>
      </c>
      <c r="AC28" s="22"/>
      <c r="AD28" s="22"/>
      <c r="AE28" s="22"/>
      <c r="AF28" s="22"/>
      <c r="AG28" s="21" t="n">
        <v>46308</v>
      </c>
    </row>
    <row r="29" customFormat="false" ht="23.85" hidden="false" customHeight="false" outlineLevel="0" collapsed="false">
      <c r="A29" s="20" t="s">
        <v>267</v>
      </c>
      <c r="B29" s="21" t="n">
        <v>46301</v>
      </c>
      <c r="C29" s="22" t="s">
        <v>140</v>
      </c>
      <c r="D29" s="22" t="s">
        <v>141</v>
      </c>
      <c r="E29" s="22" t="s">
        <v>142</v>
      </c>
      <c r="F29" s="22" t="s">
        <v>268</v>
      </c>
      <c r="G29" s="22" t="s">
        <v>235</v>
      </c>
      <c r="H29" s="22" t="s">
        <v>269</v>
      </c>
      <c r="I29" s="22" t="s">
        <v>52</v>
      </c>
      <c r="J29" s="22"/>
      <c r="K29" s="22"/>
      <c r="L29" s="23"/>
      <c r="M29" s="23"/>
      <c r="N29" s="23"/>
      <c r="O29" s="23"/>
      <c r="P29" s="24" t="str">
        <f aca="false">IFERROR(N29/O29,"")</f>
        <v/>
      </c>
      <c r="Q29" s="22" t="s">
        <v>43</v>
      </c>
      <c r="R29" s="22" t="s">
        <v>46</v>
      </c>
      <c r="S29" s="22" t="s">
        <v>160</v>
      </c>
      <c r="T29" s="22" t="s">
        <v>270</v>
      </c>
      <c r="U29" s="22" t="s">
        <v>265</v>
      </c>
      <c r="V29" s="21"/>
      <c r="W29" s="21" t="n">
        <v>46321</v>
      </c>
      <c r="X29" s="22" t="s">
        <v>39</v>
      </c>
      <c r="Y29" s="21"/>
      <c r="Z29" s="22"/>
      <c r="AA29" s="22"/>
      <c r="AB29" s="22" t="s">
        <v>271</v>
      </c>
      <c r="AC29" s="22"/>
      <c r="AD29" s="22"/>
      <c r="AE29" s="22"/>
      <c r="AF29" s="22"/>
      <c r="AG29" s="21" t="n">
        <v>46308</v>
      </c>
    </row>
    <row r="30" customFormat="false" ht="15" hidden="false" customHeight="false" outlineLevel="0" collapsed="false">
      <c r="A30" s="20" t="s">
        <v>272</v>
      </c>
      <c r="B30" s="21" t="n">
        <v>46301</v>
      </c>
      <c r="C30" s="22" t="s">
        <v>140</v>
      </c>
      <c r="D30" s="22" t="s">
        <v>141</v>
      </c>
      <c r="E30" s="22" t="s">
        <v>142</v>
      </c>
      <c r="F30" s="22" t="s">
        <v>273</v>
      </c>
      <c r="G30" s="22" t="s">
        <v>235</v>
      </c>
      <c r="H30" s="22" t="s">
        <v>274</v>
      </c>
      <c r="I30" s="22" t="s">
        <v>52</v>
      </c>
      <c r="J30" s="22"/>
      <c r="K30" s="22"/>
      <c r="L30" s="23"/>
      <c r="M30" s="23"/>
      <c r="N30" s="23"/>
      <c r="O30" s="23"/>
      <c r="P30" s="24" t="str">
        <f aca="false">IFERROR(N30/O30,"")</f>
        <v/>
      </c>
      <c r="Q30" s="22" t="s">
        <v>43</v>
      </c>
      <c r="R30" s="22" t="s">
        <v>46</v>
      </c>
      <c r="S30" s="22" t="s">
        <v>160</v>
      </c>
      <c r="T30" s="22" t="s">
        <v>275</v>
      </c>
      <c r="U30" s="22" t="s">
        <v>148</v>
      </c>
      <c r="V30" s="21"/>
      <c r="W30" s="21" t="n">
        <v>46314</v>
      </c>
      <c r="X30" s="22" t="s">
        <v>39</v>
      </c>
      <c r="Y30" s="21"/>
      <c r="Z30" s="22"/>
      <c r="AA30" s="22"/>
      <c r="AB30" s="22" t="s">
        <v>276</v>
      </c>
      <c r="AC30" s="22"/>
      <c r="AD30" s="22"/>
      <c r="AE30" s="22"/>
      <c r="AF30" s="22"/>
      <c r="AG30" s="21" t="n">
        <v>46308</v>
      </c>
    </row>
    <row r="31" customFormat="false" ht="23.85" hidden="false" customHeight="false" outlineLevel="0" collapsed="false">
      <c r="A31" s="20" t="s">
        <v>277</v>
      </c>
      <c r="B31" s="21" t="n">
        <v>46301</v>
      </c>
      <c r="C31" s="22" t="s">
        <v>140</v>
      </c>
      <c r="D31" s="22" t="s">
        <v>141</v>
      </c>
      <c r="E31" s="22" t="s">
        <v>142</v>
      </c>
      <c r="F31" s="22" t="s">
        <v>278</v>
      </c>
      <c r="G31" s="22" t="s">
        <v>279</v>
      </c>
      <c r="H31" s="22" t="s">
        <v>280</v>
      </c>
      <c r="I31" s="22" t="s">
        <v>62</v>
      </c>
      <c r="J31" s="22"/>
      <c r="K31" s="22"/>
      <c r="L31" s="23"/>
      <c r="M31" s="23"/>
      <c r="N31" s="23"/>
      <c r="O31" s="23"/>
      <c r="P31" s="24" t="str">
        <f aca="false">IFERROR(N31/O31,"")</f>
        <v/>
      </c>
      <c r="Q31" s="22" t="s">
        <v>43</v>
      </c>
      <c r="R31" s="22" t="s">
        <v>43</v>
      </c>
      <c r="S31" s="22" t="s">
        <v>160</v>
      </c>
      <c r="T31" s="22" t="s">
        <v>281</v>
      </c>
      <c r="U31" s="22" t="s">
        <v>282</v>
      </c>
      <c r="V31" s="21"/>
      <c r="W31" s="21" t="n">
        <v>46325</v>
      </c>
      <c r="X31" s="22" t="s">
        <v>39</v>
      </c>
      <c r="Y31" s="21"/>
      <c r="Z31" s="22"/>
      <c r="AA31" s="22"/>
      <c r="AB31" s="22" t="s">
        <v>283</v>
      </c>
      <c r="AC31" s="22"/>
      <c r="AD31" s="22"/>
      <c r="AE31" s="22"/>
      <c r="AF31" s="22"/>
      <c r="AG31" s="21" t="n">
        <v>46308</v>
      </c>
    </row>
    <row r="32" customFormat="false" ht="23.85" hidden="false" customHeight="false" outlineLevel="0" collapsed="false">
      <c r="A32" s="20" t="s">
        <v>284</v>
      </c>
      <c r="B32" s="21" t="n">
        <v>46301</v>
      </c>
      <c r="C32" s="22" t="s">
        <v>285</v>
      </c>
      <c r="D32" s="22" t="s">
        <v>286</v>
      </c>
      <c r="E32" s="22" t="s">
        <v>142</v>
      </c>
      <c r="F32" s="22" t="s">
        <v>287</v>
      </c>
      <c r="G32" s="22" t="s">
        <v>158</v>
      </c>
      <c r="H32" s="22" t="s">
        <v>288</v>
      </c>
      <c r="I32" s="22" t="s">
        <v>56</v>
      </c>
      <c r="J32" s="22"/>
      <c r="K32" s="22"/>
      <c r="L32" s="23"/>
      <c r="M32" s="23"/>
      <c r="N32" s="23"/>
      <c r="O32" s="23"/>
      <c r="P32" s="24" t="str">
        <f aca="false">IFERROR(N32/O32,"")</f>
        <v/>
      </c>
      <c r="Q32" s="22" t="s">
        <v>43</v>
      </c>
      <c r="R32" s="22" t="s">
        <v>43</v>
      </c>
      <c r="S32" s="22" t="s">
        <v>160</v>
      </c>
      <c r="T32" s="22" t="s">
        <v>289</v>
      </c>
      <c r="U32" s="22" t="s">
        <v>217</v>
      </c>
      <c r="V32" s="21"/>
      <c r="W32" s="21" t="n">
        <v>46321</v>
      </c>
      <c r="X32" s="22" t="s">
        <v>39</v>
      </c>
      <c r="Y32" s="21"/>
      <c r="Z32" s="22"/>
      <c r="AA32" s="22"/>
      <c r="AB32" s="22" t="s">
        <v>290</v>
      </c>
      <c r="AC32" s="22"/>
      <c r="AD32" s="22"/>
      <c r="AE32" s="22"/>
      <c r="AF32" s="22" t="s">
        <v>291</v>
      </c>
      <c r="AG32" s="21" t="n">
        <v>46308</v>
      </c>
    </row>
    <row r="33" customFormat="false" ht="23.85" hidden="false" customHeight="false" outlineLevel="0" collapsed="false">
      <c r="A33" s="20" t="s">
        <v>292</v>
      </c>
      <c r="B33" s="21" t="n">
        <v>46301</v>
      </c>
      <c r="C33" s="22" t="s">
        <v>285</v>
      </c>
      <c r="D33" s="22" t="s">
        <v>286</v>
      </c>
      <c r="E33" s="22" t="s">
        <v>142</v>
      </c>
      <c r="F33" s="22" t="s">
        <v>293</v>
      </c>
      <c r="G33" s="22" t="s">
        <v>158</v>
      </c>
      <c r="H33" s="22" t="s">
        <v>294</v>
      </c>
      <c r="I33" s="22" t="s">
        <v>56</v>
      </c>
      <c r="J33" s="22"/>
      <c r="K33" s="22"/>
      <c r="L33" s="23"/>
      <c r="M33" s="23"/>
      <c r="N33" s="23"/>
      <c r="O33" s="23"/>
      <c r="P33" s="24" t="str">
        <f aca="false">IFERROR(N33/O33,"")</f>
        <v/>
      </c>
      <c r="Q33" s="22" t="s">
        <v>43</v>
      </c>
      <c r="R33" s="22" t="s">
        <v>43</v>
      </c>
      <c r="S33" s="22" t="s">
        <v>160</v>
      </c>
      <c r="T33" s="22" t="s">
        <v>295</v>
      </c>
      <c r="U33" s="22" t="s">
        <v>217</v>
      </c>
      <c r="V33" s="21"/>
      <c r="W33" s="21" t="n">
        <v>46318</v>
      </c>
      <c r="X33" s="22" t="s">
        <v>39</v>
      </c>
      <c r="Y33" s="21"/>
      <c r="Z33" s="22"/>
      <c r="AA33" s="22"/>
      <c r="AB33" s="22" t="s">
        <v>296</v>
      </c>
      <c r="AC33" s="22"/>
      <c r="AD33" s="22"/>
      <c r="AE33" s="22"/>
      <c r="AF33" s="22"/>
      <c r="AG33" s="21" t="n">
        <v>46308</v>
      </c>
    </row>
    <row r="34" customFormat="false" ht="15" hidden="false" customHeight="false" outlineLevel="0" collapsed="false">
      <c r="A34" s="20" t="s">
        <v>297</v>
      </c>
      <c r="B34" s="21" t="n">
        <v>46301</v>
      </c>
      <c r="C34" s="22" t="s">
        <v>249</v>
      </c>
      <c r="D34" s="22" t="s">
        <v>249</v>
      </c>
      <c r="E34" s="22" t="s">
        <v>142</v>
      </c>
      <c r="F34" s="22" t="s">
        <v>298</v>
      </c>
      <c r="G34" s="22" t="s">
        <v>158</v>
      </c>
      <c r="H34" s="22" t="s">
        <v>299</v>
      </c>
      <c r="I34" s="22" t="s">
        <v>56</v>
      </c>
      <c r="J34" s="22"/>
      <c r="K34" s="22"/>
      <c r="L34" s="23"/>
      <c r="M34" s="23"/>
      <c r="N34" s="23"/>
      <c r="O34" s="23"/>
      <c r="P34" s="24" t="str">
        <f aca="false">IFERROR(N34/O34,"")</f>
        <v/>
      </c>
      <c r="Q34" s="22" t="s">
        <v>43</v>
      </c>
      <c r="R34" s="22" t="s">
        <v>43</v>
      </c>
      <c r="S34" s="22" t="s">
        <v>160</v>
      </c>
      <c r="T34" s="22" t="s">
        <v>295</v>
      </c>
      <c r="U34" s="22" t="s">
        <v>217</v>
      </c>
      <c r="V34" s="21"/>
      <c r="W34" s="21" t="n">
        <v>46318</v>
      </c>
      <c r="X34" s="22" t="s">
        <v>39</v>
      </c>
      <c r="Y34" s="21"/>
      <c r="Z34" s="22"/>
      <c r="AA34" s="22"/>
      <c r="AB34" s="22" t="s">
        <v>296</v>
      </c>
      <c r="AC34" s="22"/>
      <c r="AD34" s="22"/>
      <c r="AE34" s="22"/>
      <c r="AF34" s="22"/>
      <c r="AG34" s="21" t="n">
        <v>46308</v>
      </c>
    </row>
    <row r="35" customFormat="false" ht="23.85" hidden="false" customHeight="false" outlineLevel="0" collapsed="false">
      <c r="A35" s="20" t="s">
        <v>300</v>
      </c>
      <c r="B35" s="21" t="n">
        <v>46301</v>
      </c>
      <c r="C35" s="22" t="s">
        <v>285</v>
      </c>
      <c r="D35" s="22" t="s">
        <v>286</v>
      </c>
      <c r="E35" s="22" t="s">
        <v>142</v>
      </c>
      <c r="F35" s="22" t="s">
        <v>301</v>
      </c>
      <c r="G35" s="22" t="s">
        <v>302</v>
      </c>
      <c r="H35" s="22" t="s">
        <v>303</v>
      </c>
      <c r="I35" s="22" t="s">
        <v>56</v>
      </c>
      <c r="J35" s="22"/>
      <c r="K35" s="22"/>
      <c r="L35" s="23"/>
      <c r="M35" s="23"/>
      <c r="N35" s="23"/>
      <c r="O35" s="23"/>
      <c r="P35" s="24" t="str">
        <f aca="false">IFERROR(N35/O35,"")</f>
        <v/>
      </c>
      <c r="Q35" s="22" t="s">
        <v>43</v>
      </c>
      <c r="R35" s="22" t="s">
        <v>43</v>
      </c>
      <c r="S35" s="22" t="s">
        <v>160</v>
      </c>
      <c r="T35" s="22" t="s">
        <v>304</v>
      </c>
      <c r="U35" s="22" t="s">
        <v>217</v>
      </c>
      <c r="V35" s="21"/>
      <c r="W35" s="21" t="n">
        <v>46321</v>
      </c>
      <c r="X35" s="22" t="s">
        <v>39</v>
      </c>
      <c r="Y35" s="21"/>
      <c r="Z35" s="22"/>
      <c r="AA35" s="22"/>
      <c r="AB35" s="22" t="s">
        <v>305</v>
      </c>
      <c r="AC35" s="22"/>
      <c r="AD35" s="22"/>
      <c r="AE35" s="22"/>
      <c r="AF35" s="22"/>
      <c r="AG35" s="21" t="n">
        <v>46308</v>
      </c>
    </row>
    <row r="36" customFormat="false" ht="15" hidden="false" customHeight="false" outlineLevel="0" collapsed="false">
      <c r="A36" s="20" t="s">
        <v>306</v>
      </c>
      <c r="B36" s="21" t="n">
        <v>46301</v>
      </c>
      <c r="C36" s="22" t="s">
        <v>140</v>
      </c>
      <c r="D36" s="22" t="s">
        <v>141</v>
      </c>
      <c r="E36" s="22" t="s">
        <v>142</v>
      </c>
      <c r="F36" s="22" t="s">
        <v>307</v>
      </c>
      <c r="G36" s="22" t="s">
        <v>308</v>
      </c>
      <c r="H36" s="22" t="s">
        <v>309</v>
      </c>
      <c r="I36" s="22" t="s">
        <v>58</v>
      </c>
      <c r="J36" s="22"/>
      <c r="K36" s="22"/>
      <c r="L36" s="23"/>
      <c r="M36" s="23"/>
      <c r="N36" s="23"/>
      <c r="O36" s="23"/>
      <c r="P36" s="24" t="str">
        <f aca="false">IFERROR(N36/O36,"")</f>
        <v/>
      </c>
      <c r="Q36" s="22" t="s">
        <v>43</v>
      </c>
      <c r="R36" s="22" t="s">
        <v>43</v>
      </c>
      <c r="S36" s="22" t="s">
        <v>160</v>
      </c>
      <c r="T36" s="22" t="s">
        <v>310</v>
      </c>
      <c r="U36" s="22" t="s">
        <v>217</v>
      </c>
      <c r="V36" s="21"/>
      <c r="W36" s="21" t="n">
        <v>46325</v>
      </c>
      <c r="X36" s="22" t="s">
        <v>39</v>
      </c>
      <c r="Y36" s="21"/>
      <c r="Z36" s="22"/>
      <c r="AA36" s="22"/>
      <c r="AB36" s="22" t="s">
        <v>311</v>
      </c>
      <c r="AC36" s="22"/>
      <c r="AD36" s="22"/>
      <c r="AE36" s="22"/>
      <c r="AF36" s="22"/>
      <c r="AG36" s="21" t="n">
        <v>46308</v>
      </c>
    </row>
    <row r="37" customFormat="false" ht="15" hidden="false" customHeight="false" outlineLevel="0" collapsed="false">
      <c r="A37" s="20" t="s">
        <v>312</v>
      </c>
      <c r="B37" s="21" t="n">
        <v>46301</v>
      </c>
      <c r="C37" s="22" t="s">
        <v>140</v>
      </c>
      <c r="D37" s="22" t="s">
        <v>141</v>
      </c>
      <c r="E37" s="22" t="s">
        <v>142</v>
      </c>
      <c r="F37" s="22" t="s">
        <v>313</v>
      </c>
      <c r="G37" s="22" t="s">
        <v>144</v>
      </c>
      <c r="H37" s="22" t="s">
        <v>314</v>
      </c>
      <c r="I37" s="22" t="s">
        <v>60</v>
      </c>
      <c r="J37" s="22"/>
      <c r="K37" s="22"/>
      <c r="L37" s="23"/>
      <c r="M37" s="23"/>
      <c r="N37" s="23"/>
      <c r="O37" s="23"/>
      <c r="P37" s="24" t="str">
        <f aca="false">IFERROR(N37/O37,"")</f>
        <v/>
      </c>
      <c r="Q37" s="22" t="s">
        <v>43</v>
      </c>
      <c r="R37" s="22" t="s">
        <v>46</v>
      </c>
      <c r="S37" s="22" t="s">
        <v>146</v>
      </c>
      <c r="T37" s="22" t="s">
        <v>315</v>
      </c>
      <c r="U37" s="22" t="s">
        <v>316</v>
      </c>
      <c r="V37" s="21"/>
      <c r="W37" s="21" t="n">
        <v>46325</v>
      </c>
      <c r="X37" s="22" t="s">
        <v>39</v>
      </c>
      <c r="Y37" s="21"/>
      <c r="Z37" s="22"/>
      <c r="AA37" s="22"/>
      <c r="AB37" s="22" t="s">
        <v>317</v>
      </c>
      <c r="AC37" s="22"/>
      <c r="AD37" s="22"/>
      <c r="AE37" s="22"/>
      <c r="AF37" s="22"/>
      <c r="AG37" s="21" t="n">
        <v>46308</v>
      </c>
    </row>
    <row r="38" customFormat="false" ht="23.85" hidden="false" customHeight="false" outlineLevel="0" collapsed="false">
      <c r="A38" s="20" t="s">
        <v>318</v>
      </c>
      <c r="B38" s="21" t="n">
        <v>46301</v>
      </c>
      <c r="C38" s="22" t="s">
        <v>140</v>
      </c>
      <c r="D38" s="22" t="s">
        <v>141</v>
      </c>
      <c r="E38" s="22" t="s">
        <v>142</v>
      </c>
      <c r="F38" s="22" t="s">
        <v>313</v>
      </c>
      <c r="G38" s="22" t="s">
        <v>144</v>
      </c>
      <c r="H38" s="22" t="s">
        <v>319</v>
      </c>
      <c r="I38" s="22" t="s">
        <v>66</v>
      </c>
      <c r="J38" s="22"/>
      <c r="K38" s="22"/>
      <c r="L38" s="23"/>
      <c r="M38" s="23"/>
      <c r="N38" s="23"/>
      <c r="O38" s="23"/>
      <c r="P38" s="24" t="str">
        <f aca="false">IFERROR(N38/O38,"")</f>
        <v/>
      </c>
      <c r="Q38" s="22" t="s">
        <v>43</v>
      </c>
      <c r="R38" s="22" t="s">
        <v>43</v>
      </c>
      <c r="S38" s="22" t="s">
        <v>146</v>
      </c>
      <c r="T38" s="22" t="s">
        <v>320</v>
      </c>
      <c r="U38" s="22" t="s">
        <v>321</v>
      </c>
      <c r="V38" s="21"/>
      <c r="W38" s="21" t="n">
        <v>46304</v>
      </c>
      <c r="X38" s="22" t="s">
        <v>39</v>
      </c>
      <c r="Y38" s="21"/>
      <c r="Z38" s="22"/>
      <c r="AA38" s="22"/>
      <c r="AB38" s="22" t="s">
        <v>322</v>
      </c>
      <c r="AC38" s="22"/>
      <c r="AD38" s="22"/>
      <c r="AE38" s="22"/>
      <c r="AF38" s="22"/>
      <c r="AG38" s="21" t="n">
        <v>46308</v>
      </c>
    </row>
    <row r="39" customFormat="false" ht="23.85" hidden="false" customHeight="false" outlineLevel="0" collapsed="false">
      <c r="A39" s="20" t="s">
        <v>323</v>
      </c>
      <c r="B39" s="21" t="n">
        <v>46301</v>
      </c>
      <c r="C39" s="22" t="s">
        <v>140</v>
      </c>
      <c r="D39" s="22" t="s">
        <v>141</v>
      </c>
      <c r="E39" s="22" t="s">
        <v>142</v>
      </c>
      <c r="F39" s="22" t="s">
        <v>324</v>
      </c>
      <c r="G39" s="22" t="s">
        <v>144</v>
      </c>
      <c r="H39" s="22" t="s">
        <v>325</v>
      </c>
      <c r="I39" s="22" t="s">
        <v>64</v>
      </c>
      <c r="J39" s="22"/>
      <c r="K39" s="22"/>
      <c r="L39" s="23"/>
      <c r="M39" s="23"/>
      <c r="N39" s="23"/>
      <c r="O39" s="23"/>
      <c r="P39" s="24" t="str">
        <f aca="false">IFERROR(N39/O39,"")</f>
        <v/>
      </c>
      <c r="Q39" s="22" t="s">
        <v>40</v>
      </c>
      <c r="R39" s="22" t="s">
        <v>43</v>
      </c>
      <c r="S39" s="22" t="s">
        <v>160</v>
      </c>
      <c r="T39" s="22" t="s">
        <v>326</v>
      </c>
      <c r="U39" s="22" t="s">
        <v>265</v>
      </c>
      <c r="V39" s="21"/>
      <c r="W39" s="21" t="n">
        <v>46307</v>
      </c>
      <c r="X39" s="22" t="s">
        <v>39</v>
      </c>
      <c r="Y39" s="21"/>
      <c r="Z39" s="22"/>
      <c r="AA39" s="22"/>
      <c r="AB39" s="22" t="s">
        <v>327</v>
      </c>
      <c r="AC39" s="22"/>
      <c r="AD39" s="22"/>
      <c r="AE39" s="22"/>
      <c r="AF39" s="22"/>
      <c r="AG39" s="21" t="n">
        <v>46308</v>
      </c>
    </row>
    <row r="40" customFormat="false" ht="46.25" hidden="false" customHeight="false" outlineLevel="0" collapsed="false">
      <c r="A40" s="20" t="s">
        <v>328</v>
      </c>
      <c r="B40" s="21" t="n">
        <v>46301</v>
      </c>
      <c r="C40" s="22" t="s">
        <v>285</v>
      </c>
      <c r="D40" s="22" t="s">
        <v>141</v>
      </c>
      <c r="E40" s="22" t="s">
        <v>142</v>
      </c>
      <c r="F40" s="22" t="s">
        <v>329</v>
      </c>
      <c r="G40" s="22" t="s">
        <v>113</v>
      </c>
      <c r="H40" s="22" t="s">
        <v>330</v>
      </c>
      <c r="I40" s="22" t="s">
        <v>44</v>
      </c>
      <c r="J40" s="22"/>
      <c r="K40" s="22"/>
      <c r="L40" s="25"/>
      <c r="M40" s="25"/>
      <c r="N40" s="23" t="n">
        <v>29</v>
      </c>
      <c r="O40" s="23" t="n">
        <v>8384</v>
      </c>
      <c r="P40" s="24" t="n">
        <f aca="false">IFERROR(N40/O40,"")</f>
        <v>0.00345896946564886</v>
      </c>
      <c r="Q40" s="22" t="s">
        <v>40</v>
      </c>
      <c r="R40" s="22" t="s">
        <v>43</v>
      </c>
      <c r="S40" s="22" t="s">
        <v>160</v>
      </c>
      <c r="T40" s="22" t="s">
        <v>331</v>
      </c>
      <c r="U40" s="22" t="s">
        <v>211</v>
      </c>
      <c r="V40" s="21"/>
      <c r="W40" s="21" t="n">
        <v>46311</v>
      </c>
      <c r="X40" s="22" t="s">
        <v>39</v>
      </c>
      <c r="Y40" s="21"/>
      <c r="Z40" s="22"/>
      <c r="AA40" s="22"/>
      <c r="AB40" s="22" t="s">
        <v>332</v>
      </c>
      <c r="AC40" s="22" t="s">
        <v>333</v>
      </c>
      <c r="AD40" s="22"/>
      <c r="AE40" s="22"/>
      <c r="AF40" s="22" t="s">
        <v>334</v>
      </c>
      <c r="AG40" s="21" t="n">
        <v>46308</v>
      </c>
    </row>
    <row r="41" customFormat="false" ht="35.05" hidden="false" customHeight="false" outlineLevel="0" collapsed="false">
      <c r="A41" s="20" t="s">
        <v>335</v>
      </c>
      <c r="B41" s="21" t="n">
        <v>46301</v>
      </c>
      <c r="C41" s="22" t="s">
        <v>140</v>
      </c>
      <c r="D41" s="22" t="s">
        <v>141</v>
      </c>
      <c r="E41" s="22" t="s">
        <v>142</v>
      </c>
      <c r="F41" s="22" t="s">
        <v>336</v>
      </c>
      <c r="G41" s="22" t="s">
        <v>337</v>
      </c>
      <c r="H41" s="22" t="s">
        <v>338</v>
      </c>
      <c r="I41" s="22" t="s">
        <v>44</v>
      </c>
      <c r="J41" s="22"/>
      <c r="K41" s="22"/>
      <c r="L41" s="25"/>
      <c r="M41" s="25"/>
      <c r="N41" s="23"/>
      <c r="O41" s="23"/>
      <c r="P41" s="24" t="str">
        <f aca="false">IFERROR(N41/O41,"")</f>
        <v/>
      </c>
      <c r="Q41" s="22" t="s">
        <v>40</v>
      </c>
      <c r="R41" s="22" t="s">
        <v>43</v>
      </c>
      <c r="S41" s="22" t="s">
        <v>160</v>
      </c>
      <c r="T41" s="22" t="s">
        <v>339</v>
      </c>
      <c r="U41" s="22" t="s">
        <v>148</v>
      </c>
      <c r="V41" s="21"/>
      <c r="W41" s="21" t="n">
        <v>46311</v>
      </c>
      <c r="X41" s="22" t="s">
        <v>39</v>
      </c>
      <c r="Y41" s="21"/>
      <c r="Z41" s="22"/>
      <c r="AA41" s="22"/>
      <c r="AB41" s="22" t="s">
        <v>340</v>
      </c>
      <c r="AC41" s="22" t="s">
        <v>333</v>
      </c>
      <c r="AD41" s="22"/>
      <c r="AE41" s="22"/>
      <c r="AF41" s="22" t="s">
        <v>341</v>
      </c>
      <c r="AG41" s="21" t="n">
        <v>46308</v>
      </c>
    </row>
    <row r="42" customFormat="false" ht="46.25" hidden="false" customHeight="false" outlineLevel="0" collapsed="false">
      <c r="A42" s="20" t="s">
        <v>342</v>
      </c>
      <c r="B42" s="21" t="n">
        <v>46301</v>
      </c>
      <c r="C42" s="22" t="s">
        <v>140</v>
      </c>
      <c r="D42" s="22" t="s">
        <v>141</v>
      </c>
      <c r="E42" s="22" t="s">
        <v>142</v>
      </c>
      <c r="F42" s="22" t="s">
        <v>343</v>
      </c>
      <c r="G42" s="22" t="s">
        <v>235</v>
      </c>
      <c r="H42" s="22" t="s">
        <v>344</v>
      </c>
      <c r="I42" s="22" t="s">
        <v>44</v>
      </c>
      <c r="J42" s="22"/>
      <c r="K42" s="22"/>
      <c r="L42" s="25"/>
      <c r="M42" s="25"/>
      <c r="N42" s="23"/>
      <c r="O42" s="23"/>
      <c r="P42" s="24" t="str">
        <f aca="false">IFERROR(N42/O42,"")</f>
        <v/>
      </c>
      <c r="Q42" s="22" t="s">
        <v>40</v>
      </c>
      <c r="R42" s="22" t="s">
        <v>43</v>
      </c>
      <c r="S42" s="22" t="s">
        <v>160</v>
      </c>
      <c r="T42" s="22" t="s">
        <v>345</v>
      </c>
      <c r="U42" s="22" t="s">
        <v>148</v>
      </c>
      <c r="V42" s="21"/>
      <c r="W42" s="21" t="n">
        <v>46311</v>
      </c>
      <c r="X42" s="22" t="s">
        <v>39</v>
      </c>
      <c r="Y42" s="21"/>
      <c r="Z42" s="22"/>
      <c r="AA42" s="22"/>
      <c r="AB42" s="22" t="s">
        <v>346</v>
      </c>
      <c r="AC42" s="22" t="s">
        <v>333</v>
      </c>
      <c r="AD42" s="22"/>
      <c r="AE42" s="22"/>
      <c r="AF42" s="22" t="s">
        <v>347</v>
      </c>
      <c r="AG42" s="21" t="n">
        <v>46308</v>
      </c>
    </row>
    <row r="43" customFormat="false" ht="23.85" hidden="false" customHeight="false" outlineLevel="0" collapsed="false">
      <c r="A43" s="20" t="s">
        <v>348</v>
      </c>
      <c r="B43" s="21" t="n">
        <v>46301</v>
      </c>
      <c r="C43" s="22" t="s">
        <v>140</v>
      </c>
      <c r="D43" s="22" t="s">
        <v>141</v>
      </c>
      <c r="E43" s="22" t="s">
        <v>142</v>
      </c>
      <c r="F43" s="22" t="s">
        <v>349</v>
      </c>
      <c r="G43" s="22" t="s">
        <v>302</v>
      </c>
      <c r="H43" s="22" t="s">
        <v>350</v>
      </c>
      <c r="I43" s="22" t="s">
        <v>44</v>
      </c>
      <c r="J43" s="22"/>
      <c r="K43" s="22"/>
      <c r="L43" s="25"/>
      <c r="M43" s="25"/>
      <c r="N43" s="23" t="n">
        <v>2</v>
      </c>
      <c r="O43" s="23" t="n">
        <v>812</v>
      </c>
      <c r="P43" s="24" t="n">
        <f aca="false">IFERROR(N43/O43,"")</f>
        <v>0.00246305418719212</v>
      </c>
      <c r="Q43" s="22" t="s">
        <v>43</v>
      </c>
      <c r="R43" s="22" t="s">
        <v>46</v>
      </c>
      <c r="S43" s="22" t="s">
        <v>146</v>
      </c>
      <c r="T43" s="22" t="s">
        <v>351</v>
      </c>
      <c r="U43" s="22" t="s">
        <v>148</v>
      </c>
      <c r="V43" s="21"/>
      <c r="W43" s="21" t="n">
        <v>46311</v>
      </c>
      <c r="X43" s="22" t="s">
        <v>39</v>
      </c>
      <c r="Y43" s="21"/>
      <c r="Z43" s="22"/>
      <c r="AA43" s="22"/>
      <c r="AB43" s="22" t="s">
        <v>352</v>
      </c>
      <c r="AC43" s="22" t="s">
        <v>333</v>
      </c>
      <c r="AD43" s="22"/>
      <c r="AE43" s="22"/>
      <c r="AF43" s="22" t="s">
        <v>353</v>
      </c>
      <c r="AG43" s="21" t="n">
        <v>46308</v>
      </c>
    </row>
    <row r="44" customFormat="false" ht="23.85" hidden="false" customHeight="false" outlineLevel="0" collapsed="false">
      <c r="A44" s="20" t="s">
        <v>354</v>
      </c>
      <c r="B44" s="21" t="n">
        <v>46301</v>
      </c>
      <c r="C44" s="22" t="s">
        <v>140</v>
      </c>
      <c r="D44" s="22" t="s">
        <v>141</v>
      </c>
      <c r="E44" s="22" t="s">
        <v>142</v>
      </c>
      <c r="F44" s="22" t="s">
        <v>355</v>
      </c>
      <c r="G44" s="22" t="s">
        <v>144</v>
      </c>
      <c r="H44" s="22" t="s">
        <v>356</v>
      </c>
      <c r="I44" s="22" t="s">
        <v>44</v>
      </c>
      <c r="J44" s="22"/>
      <c r="K44" s="22"/>
      <c r="L44" s="25"/>
      <c r="M44" s="25"/>
      <c r="N44" s="23"/>
      <c r="O44" s="23"/>
      <c r="P44" s="24" t="str">
        <f aca="false">IFERROR(N44/O44,"")</f>
        <v/>
      </c>
      <c r="Q44" s="22" t="s">
        <v>43</v>
      </c>
      <c r="R44" s="22" t="s">
        <v>46</v>
      </c>
      <c r="S44" s="22" t="s">
        <v>146</v>
      </c>
      <c r="T44" s="22" t="s">
        <v>357</v>
      </c>
      <c r="U44" s="22" t="s">
        <v>358</v>
      </c>
      <c r="V44" s="21"/>
      <c r="W44" s="21" t="n">
        <v>46307</v>
      </c>
      <c r="X44" s="22" t="s">
        <v>39</v>
      </c>
      <c r="Y44" s="21"/>
      <c r="Z44" s="22"/>
      <c r="AA44" s="22"/>
      <c r="AB44" s="22" t="s">
        <v>359</v>
      </c>
      <c r="AC44" s="22" t="s">
        <v>333</v>
      </c>
      <c r="AD44" s="22"/>
      <c r="AE44" s="22"/>
      <c r="AF44" s="22" t="s">
        <v>360</v>
      </c>
      <c r="AG44" s="21" t="n">
        <v>46308</v>
      </c>
    </row>
    <row r="45" customFormat="false" ht="23.85" hidden="false" customHeight="false" outlineLevel="0" collapsed="false">
      <c r="A45" s="20" t="s">
        <v>361</v>
      </c>
      <c r="B45" s="21" t="n">
        <v>46301</v>
      </c>
      <c r="C45" s="22" t="s">
        <v>140</v>
      </c>
      <c r="D45" s="22" t="s">
        <v>141</v>
      </c>
      <c r="E45" s="22" t="s">
        <v>142</v>
      </c>
      <c r="F45" s="22" t="s">
        <v>355</v>
      </c>
      <c r="G45" s="22" t="s">
        <v>144</v>
      </c>
      <c r="H45" s="22" t="s">
        <v>362</v>
      </c>
      <c r="I45" s="22" t="s">
        <v>44</v>
      </c>
      <c r="J45" s="22"/>
      <c r="K45" s="22"/>
      <c r="L45" s="25"/>
      <c r="M45" s="25"/>
      <c r="N45" s="23"/>
      <c r="O45" s="23"/>
      <c r="P45" s="24" t="str">
        <f aca="false">IFERROR(N45/O45,"")</f>
        <v/>
      </c>
      <c r="Q45" s="22" t="s">
        <v>40</v>
      </c>
      <c r="R45" s="22" t="s">
        <v>43</v>
      </c>
      <c r="S45" s="22" t="s">
        <v>146</v>
      </c>
      <c r="T45" s="22" t="s">
        <v>363</v>
      </c>
      <c r="U45" s="22" t="s">
        <v>148</v>
      </c>
      <c r="V45" s="21"/>
      <c r="W45" s="21" t="n">
        <v>46307</v>
      </c>
      <c r="X45" s="22" t="s">
        <v>39</v>
      </c>
      <c r="Y45" s="21"/>
      <c r="Z45" s="22"/>
      <c r="AA45" s="22"/>
      <c r="AB45" s="22" t="s">
        <v>364</v>
      </c>
      <c r="AC45" s="22" t="s">
        <v>333</v>
      </c>
      <c r="AD45" s="22"/>
      <c r="AE45" s="22"/>
      <c r="AF45" s="22" t="s">
        <v>365</v>
      </c>
      <c r="AG45" s="21" t="n">
        <v>46308</v>
      </c>
    </row>
    <row r="46" customFormat="false" ht="35.05" hidden="false" customHeight="false" outlineLevel="0" collapsed="false">
      <c r="A46" s="20" t="s">
        <v>366</v>
      </c>
      <c r="B46" s="21" t="n">
        <v>46301</v>
      </c>
      <c r="C46" s="22" t="s">
        <v>140</v>
      </c>
      <c r="D46" s="22" t="s">
        <v>141</v>
      </c>
      <c r="E46" s="22" t="s">
        <v>142</v>
      </c>
      <c r="F46" s="22" t="s">
        <v>355</v>
      </c>
      <c r="G46" s="22" t="s">
        <v>144</v>
      </c>
      <c r="H46" s="22" t="s">
        <v>367</v>
      </c>
      <c r="I46" s="22" t="s">
        <v>44</v>
      </c>
      <c r="J46" s="22"/>
      <c r="K46" s="22"/>
      <c r="L46" s="25"/>
      <c r="M46" s="25"/>
      <c r="N46" s="23"/>
      <c r="O46" s="23"/>
      <c r="P46" s="24" t="str">
        <f aca="false">IFERROR(N46/O46,"")</f>
        <v/>
      </c>
      <c r="Q46" s="22" t="s">
        <v>43</v>
      </c>
      <c r="R46" s="22" t="s">
        <v>43</v>
      </c>
      <c r="S46" s="22" t="s">
        <v>368</v>
      </c>
      <c r="T46" s="22" t="s">
        <v>369</v>
      </c>
      <c r="U46" s="22" t="s">
        <v>370</v>
      </c>
      <c r="V46" s="21"/>
      <c r="W46" s="21" t="n">
        <v>46342</v>
      </c>
      <c r="X46" s="22" t="s">
        <v>39</v>
      </c>
      <c r="Y46" s="21"/>
      <c r="Z46" s="22"/>
      <c r="AA46" s="22"/>
      <c r="AB46" s="22" t="s">
        <v>371</v>
      </c>
      <c r="AC46" s="22" t="s">
        <v>333</v>
      </c>
      <c r="AD46" s="22"/>
      <c r="AE46" s="22"/>
      <c r="AF46" s="22" t="s">
        <v>372</v>
      </c>
      <c r="AG46" s="21" t="n">
        <v>46308</v>
      </c>
    </row>
    <row r="47" customFormat="false" ht="23.85" hidden="false" customHeight="false" outlineLevel="0" collapsed="false">
      <c r="A47" s="20" t="s">
        <v>373</v>
      </c>
      <c r="B47" s="21" t="n">
        <v>46301</v>
      </c>
      <c r="C47" s="22" t="s">
        <v>140</v>
      </c>
      <c r="D47" s="22" t="s">
        <v>141</v>
      </c>
      <c r="E47" s="22" t="s">
        <v>142</v>
      </c>
      <c r="F47" s="22" t="s">
        <v>355</v>
      </c>
      <c r="G47" s="22" t="s">
        <v>144</v>
      </c>
      <c r="H47" s="22" t="s">
        <v>374</v>
      </c>
      <c r="I47" s="22" t="s">
        <v>41</v>
      </c>
      <c r="J47" s="22"/>
      <c r="K47" s="22"/>
      <c r="L47" s="25"/>
      <c r="M47" s="25"/>
      <c r="N47" s="23"/>
      <c r="O47" s="23"/>
      <c r="P47" s="24" t="str">
        <f aca="false">IFERROR(N47/O47,"")</f>
        <v/>
      </c>
      <c r="Q47" s="22" t="s">
        <v>43</v>
      </c>
      <c r="R47" s="22" t="s">
        <v>46</v>
      </c>
      <c r="S47" s="22" t="s">
        <v>146</v>
      </c>
      <c r="T47" s="22" t="s">
        <v>375</v>
      </c>
      <c r="U47" s="22" t="s">
        <v>148</v>
      </c>
      <c r="V47" s="21"/>
      <c r="W47" s="21" t="n">
        <v>46311</v>
      </c>
      <c r="X47" s="22" t="s">
        <v>39</v>
      </c>
      <c r="Y47" s="21"/>
      <c r="Z47" s="22"/>
      <c r="AA47" s="22"/>
      <c r="AB47" s="22" t="s">
        <v>376</v>
      </c>
      <c r="AC47" s="22" t="s">
        <v>333</v>
      </c>
      <c r="AD47" s="22"/>
      <c r="AE47" s="22"/>
      <c r="AF47" s="22"/>
      <c r="AG47" s="21" t="n">
        <v>46308</v>
      </c>
    </row>
    <row r="48" customFormat="false" ht="23.85" hidden="false" customHeight="false" outlineLevel="0" collapsed="false">
      <c r="A48" s="20" t="s">
        <v>377</v>
      </c>
      <c r="B48" s="21" t="n">
        <v>46301</v>
      </c>
      <c r="C48" s="22" t="s">
        <v>285</v>
      </c>
      <c r="D48" s="22" t="s">
        <v>286</v>
      </c>
      <c r="E48" s="22" t="s">
        <v>142</v>
      </c>
      <c r="F48" s="22" t="s">
        <v>378</v>
      </c>
      <c r="G48" s="22" t="s">
        <v>158</v>
      </c>
      <c r="H48" s="22" t="s">
        <v>379</v>
      </c>
      <c r="I48" s="22" t="s">
        <v>56</v>
      </c>
      <c r="J48" s="22"/>
      <c r="K48" s="22"/>
      <c r="L48" s="25"/>
      <c r="M48" s="25"/>
      <c r="N48" s="23" t="n">
        <v>15</v>
      </c>
      <c r="O48" s="23" t="n">
        <v>5037</v>
      </c>
      <c r="P48" s="24" t="n">
        <f aca="false">IFERROR(N48/O48,"")</f>
        <v>0.00297796307325789</v>
      </c>
      <c r="Q48" s="22" t="s">
        <v>43</v>
      </c>
      <c r="R48" s="22" t="s">
        <v>43</v>
      </c>
      <c r="S48" s="22" t="s">
        <v>160</v>
      </c>
      <c r="T48" s="22" t="s">
        <v>380</v>
      </c>
      <c r="U48" s="22" t="s">
        <v>217</v>
      </c>
      <c r="V48" s="21"/>
      <c r="W48" s="21" t="n">
        <v>46321</v>
      </c>
      <c r="X48" s="22" t="s">
        <v>39</v>
      </c>
      <c r="Y48" s="21"/>
      <c r="Z48" s="22"/>
      <c r="AA48" s="22"/>
      <c r="AB48" s="22" t="s">
        <v>381</v>
      </c>
      <c r="AC48" s="22" t="s">
        <v>333</v>
      </c>
      <c r="AD48" s="22"/>
      <c r="AE48" s="22"/>
      <c r="AF48" s="22" t="s">
        <v>382</v>
      </c>
      <c r="AG48" s="21" t="n">
        <v>46308</v>
      </c>
    </row>
    <row r="49" customFormat="false" ht="46.25" hidden="false" customHeight="false" outlineLevel="0" collapsed="false">
      <c r="A49" s="20" t="s">
        <v>383</v>
      </c>
      <c r="B49" s="21" t="n">
        <v>46301</v>
      </c>
      <c r="C49" s="22" t="s">
        <v>384</v>
      </c>
      <c r="D49" s="22" t="s">
        <v>384</v>
      </c>
      <c r="E49" s="22" t="s">
        <v>142</v>
      </c>
      <c r="F49" s="22" t="s">
        <v>385</v>
      </c>
      <c r="G49" s="22" t="s">
        <v>158</v>
      </c>
      <c r="H49" s="22" t="s">
        <v>386</v>
      </c>
      <c r="I49" s="22" t="s">
        <v>56</v>
      </c>
      <c r="J49" s="22"/>
      <c r="K49" s="22"/>
      <c r="L49" s="25"/>
      <c r="M49" s="25"/>
      <c r="N49" s="23" t="n">
        <v>37</v>
      </c>
      <c r="O49" s="23" t="n">
        <v>13720</v>
      </c>
      <c r="P49" s="24" t="n">
        <f aca="false">IFERROR(N49/O49,"")</f>
        <v>0.00269679300291545</v>
      </c>
      <c r="Q49" s="22" t="s">
        <v>43</v>
      </c>
      <c r="R49" s="22" t="s">
        <v>43</v>
      </c>
      <c r="S49" s="22" t="s">
        <v>160</v>
      </c>
      <c r="T49" s="22" t="s">
        <v>387</v>
      </c>
      <c r="U49" s="22" t="s">
        <v>217</v>
      </c>
      <c r="V49" s="21"/>
      <c r="W49" s="21" t="n">
        <v>46325</v>
      </c>
      <c r="X49" s="22" t="s">
        <v>39</v>
      </c>
      <c r="Y49" s="21"/>
      <c r="Z49" s="22"/>
      <c r="AA49" s="22"/>
      <c r="AB49" s="22" t="s">
        <v>388</v>
      </c>
      <c r="AC49" s="22" t="s">
        <v>333</v>
      </c>
      <c r="AD49" s="22"/>
      <c r="AE49" s="22"/>
      <c r="AF49" s="22" t="s">
        <v>389</v>
      </c>
      <c r="AG49" s="21" t="n">
        <v>46308</v>
      </c>
    </row>
    <row r="50" customFormat="false" ht="23.85" hidden="false" customHeight="false" outlineLevel="0" collapsed="false">
      <c r="A50" s="20" t="s">
        <v>390</v>
      </c>
      <c r="B50" s="21" t="n">
        <v>46301</v>
      </c>
      <c r="C50" s="22" t="s">
        <v>140</v>
      </c>
      <c r="D50" s="22" t="s">
        <v>141</v>
      </c>
      <c r="E50" s="22" t="s">
        <v>142</v>
      </c>
      <c r="F50" s="22" t="s">
        <v>391</v>
      </c>
      <c r="G50" s="22" t="s">
        <v>144</v>
      </c>
      <c r="H50" s="22" t="s">
        <v>392</v>
      </c>
      <c r="I50" s="22" t="s">
        <v>68</v>
      </c>
      <c r="J50" s="22"/>
      <c r="K50" s="22"/>
      <c r="L50" s="25"/>
      <c r="M50" s="25"/>
      <c r="N50" s="23" t="n">
        <v>52</v>
      </c>
      <c r="O50" s="23" t="n">
        <v>27647</v>
      </c>
      <c r="P50" s="24" t="n">
        <f aca="false">IFERROR(N50/O50,"")</f>
        <v>0.00188085506564908</v>
      </c>
      <c r="Q50" s="22" t="s">
        <v>46</v>
      </c>
      <c r="R50" s="22" t="s">
        <v>46</v>
      </c>
      <c r="S50" s="22" t="s">
        <v>160</v>
      </c>
      <c r="T50" s="22" t="s">
        <v>393</v>
      </c>
      <c r="U50" s="22" t="s">
        <v>316</v>
      </c>
      <c r="V50" s="21"/>
      <c r="W50" s="21" t="n">
        <v>46328</v>
      </c>
      <c r="X50" s="22" t="s">
        <v>39</v>
      </c>
      <c r="Y50" s="21"/>
      <c r="Z50" s="22"/>
      <c r="AA50" s="22"/>
      <c r="AB50" s="22" t="s">
        <v>394</v>
      </c>
      <c r="AC50" s="22" t="s">
        <v>333</v>
      </c>
      <c r="AD50" s="22"/>
      <c r="AE50" s="22"/>
      <c r="AF50" s="22"/>
      <c r="AG50" s="21" t="n">
        <v>46308</v>
      </c>
    </row>
    <row r="51" customFormat="false" ht="23.85" hidden="false" customHeight="false" outlineLevel="0" collapsed="false">
      <c r="A51" s="20" t="s">
        <v>395</v>
      </c>
      <c r="B51" s="21" t="n">
        <v>46301</v>
      </c>
      <c r="C51" s="22" t="s">
        <v>140</v>
      </c>
      <c r="D51" s="22" t="s">
        <v>141</v>
      </c>
      <c r="E51" s="22" t="s">
        <v>142</v>
      </c>
      <c r="F51" s="22" t="s">
        <v>396</v>
      </c>
      <c r="G51" s="22" t="s">
        <v>144</v>
      </c>
      <c r="H51" s="22" t="s">
        <v>397</v>
      </c>
      <c r="I51" s="22" t="s">
        <v>62</v>
      </c>
      <c r="J51" s="22"/>
      <c r="K51" s="22"/>
      <c r="L51" s="25"/>
      <c r="M51" s="25"/>
      <c r="N51" s="23" t="n">
        <v>3</v>
      </c>
      <c r="O51" s="23" t="n">
        <v>137</v>
      </c>
      <c r="P51" s="24" t="n">
        <f aca="false">IFERROR(N51/O51,"")</f>
        <v>0.0218978102189781</v>
      </c>
      <c r="Q51" s="22" t="s">
        <v>46</v>
      </c>
      <c r="R51" s="22" t="s">
        <v>46</v>
      </c>
      <c r="S51" s="22" t="s">
        <v>160</v>
      </c>
      <c r="T51" s="22" t="s">
        <v>398</v>
      </c>
      <c r="U51" s="22" t="s">
        <v>399</v>
      </c>
      <c r="V51" s="21"/>
      <c r="W51" s="21" t="n">
        <v>46356</v>
      </c>
      <c r="X51" s="22" t="s">
        <v>39</v>
      </c>
      <c r="Y51" s="21"/>
      <c r="Z51" s="22"/>
      <c r="AA51" s="22"/>
      <c r="AB51" s="22" t="s">
        <v>400</v>
      </c>
      <c r="AC51" s="22" t="s">
        <v>333</v>
      </c>
      <c r="AD51" s="22"/>
      <c r="AE51" s="22"/>
      <c r="AF51" s="22" t="s">
        <v>401</v>
      </c>
      <c r="AG51" s="21" t="n">
        <v>46308</v>
      </c>
    </row>
    <row r="52" customFormat="false" ht="23.85" hidden="false" customHeight="false" outlineLevel="0" collapsed="false">
      <c r="A52" s="20" t="s">
        <v>402</v>
      </c>
      <c r="B52" s="21" t="n">
        <v>46301</v>
      </c>
      <c r="C52" s="22" t="s">
        <v>140</v>
      </c>
      <c r="D52" s="22" t="s">
        <v>141</v>
      </c>
      <c r="E52" s="22" t="s">
        <v>142</v>
      </c>
      <c r="F52" s="22" t="s">
        <v>403</v>
      </c>
      <c r="G52" s="22" t="s">
        <v>170</v>
      </c>
      <c r="H52" s="22" t="s">
        <v>404</v>
      </c>
      <c r="I52" s="22" t="s">
        <v>44</v>
      </c>
      <c r="J52" s="22"/>
      <c r="K52" s="22"/>
      <c r="L52" s="25"/>
      <c r="M52" s="25"/>
      <c r="N52" s="23"/>
      <c r="O52" s="23"/>
      <c r="P52" s="24" t="str">
        <f aca="false">IFERROR(N52/O52,"")</f>
        <v/>
      </c>
      <c r="Q52" s="22" t="s">
        <v>40</v>
      </c>
      <c r="R52" s="22" t="s">
        <v>43</v>
      </c>
      <c r="S52" s="22" t="s">
        <v>146</v>
      </c>
      <c r="T52" s="22" t="s">
        <v>405</v>
      </c>
      <c r="U52" s="22" t="s">
        <v>148</v>
      </c>
      <c r="V52" s="21"/>
      <c r="W52" s="21" t="n">
        <v>46311</v>
      </c>
      <c r="X52" s="22" t="s">
        <v>39</v>
      </c>
      <c r="Y52" s="21"/>
      <c r="Z52" s="22"/>
      <c r="AA52" s="22"/>
      <c r="AB52" s="22" t="s">
        <v>406</v>
      </c>
      <c r="AC52" s="22" t="s">
        <v>333</v>
      </c>
      <c r="AD52" s="22"/>
      <c r="AE52" s="22"/>
      <c r="AF52" s="22" t="s">
        <v>407</v>
      </c>
      <c r="AG52" s="21" t="n">
        <v>46308</v>
      </c>
    </row>
    <row r="53" customFormat="false" ht="35.05" hidden="false" customHeight="false" outlineLevel="0" collapsed="false">
      <c r="A53" s="20" t="s">
        <v>408</v>
      </c>
      <c r="B53" s="21" t="n">
        <v>46301</v>
      </c>
      <c r="C53" s="22" t="s">
        <v>140</v>
      </c>
      <c r="D53" s="22" t="s">
        <v>141</v>
      </c>
      <c r="E53" s="22" t="s">
        <v>142</v>
      </c>
      <c r="F53" s="22" t="s">
        <v>409</v>
      </c>
      <c r="G53" s="22" t="s">
        <v>235</v>
      </c>
      <c r="H53" s="22" t="s">
        <v>410</v>
      </c>
      <c r="I53" s="22" t="s">
        <v>47</v>
      </c>
      <c r="J53" s="22"/>
      <c r="K53" s="22"/>
      <c r="L53" s="25"/>
      <c r="M53" s="25"/>
      <c r="N53" s="23"/>
      <c r="O53" s="23"/>
      <c r="P53" s="24" t="str">
        <f aca="false">IFERROR(N53/O53,"")</f>
        <v/>
      </c>
      <c r="Q53" s="22" t="s">
        <v>40</v>
      </c>
      <c r="R53" s="22" t="s">
        <v>43</v>
      </c>
      <c r="S53" s="22" t="s">
        <v>146</v>
      </c>
      <c r="T53" s="22" t="s">
        <v>411</v>
      </c>
      <c r="U53" s="22" t="s">
        <v>148</v>
      </c>
      <c r="V53" s="21"/>
      <c r="W53" s="21" t="n">
        <v>46304</v>
      </c>
      <c r="X53" s="22" t="s">
        <v>39</v>
      </c>
      <c r="Y53" s="21"/>
      <c r="Z53" s="22"/>
      <c r="AA53" s="22"/>
      <c r="AB53" s="22" t="s">
        <v>412</v>
      </c>
      <c r="AC53" s="22" t="s">
        <v>333</v>
      </c>
      <c r="AD53" s="22"/>
      <c r="AE53" s="22"/>
      <c r="AF53" s="22" t="s">
        <v>413</v>
      </c>
      <c r="AG53" s="21" t="n">
        <v>46308</v>
      </c>
    </row>
    <row r="54" customFormat="false" ht="35.05" hidden="false" customHeight="false" outlineLevel="0" collapsed="false">
      <c r="A54" s="20" t="s">
        <v>414</v>
      </c>
      <c r="B54" s="21" t="n">
        <v>46301</v>
      </c>
      <c r="C54" s="22" t="s">
        <v>140</v>
      </c>
      <c r="D54" s="22" t="s">
        <v>141</v>
      </c>
      <c r="E54" s="22" t="s">
        <v>142</v>
      </c>
      <c r="F54" s="22" t="s">
        <v>415</v>
      </c>
      <c r="G54" s="22" t="s">
        <v>235</v>
      </c>
      <c r="H54" s="22" t="s">
        <v>416</v>
      </c>
      <c r="I54" s="22" t="s">
        <v>44</v>
      </c>
      <c r="J54" s="22"/>
      <c r="K54" s="22"/>
      <c r="L54" s="25"/>
      <c r="M54" s="25"/>
      <c r="N54" s="23"/>
      <c r="O54" s="23"/>
      <c r="P54" s="24" t="str">
        <f aca="false">IFERROR(N54/O54,"")</f>
        <v/>
      </c>
      <c r="Q54" s="22" t="s">
        <v>40</v>
      </c>
      <c r="R54" s="22" t="s">
        <v>43</v>
      </c>
      <c r="S54" s="22" t="s">
        <v>160</v>
      </c>
      <c r="T54" s="22" t="s">
        <v>417</v>
      </c>
      <c r="U54" s="22" t="s">
        <v>148</v>
      </c>
      <c r="V54" s="21"/>
      <c r="W54" s="21" t="n">
        <v>46311</v>
      </c>
      <c r="X54" s="22" t="s">
        <v>39</v>
      </c>
      <c r="Y54" s="21"/>
      <c r="Z54" s="22"/>
      <c r="AA54" s="22"/>
      <c r="AB54" s="22" t="s">
        <v>418</v>
      </c>
      <c r="AC54" s="22" t="s">
        <v>333</v>
      </c>
      <c r="AD54" s="22"/>
      <c r="AE54" s="22"/>
      <c r="AF54" s="22" t="s">
        <v>419</v>
      </c>
      <c r="AG54" s="21" t="n">
        <v>46308</v>
      </c>
    </row>
    <row r="55" customFormat="false" ht="35.05" hidden="false" customHeight="false" outlineLevel="0" collapsed="false">
      <c r="A55" s="20" t="s">
        <v>420</v>
      </c>
      <c r="B55" s="21" t="n">
        <v>46301</v>
      </c>
      <c r="C55" s="22" t="s">
        <v>140</v>
      </c>
      <c r="D55" s="22" t="s">
        <v>141</v>
      </c>
      <c r="E55" s="22" t="s">
        <v>142</v>
      </c>
      <c r="F55" s="22" t="s">
        <v>421</v>
      </c>
      <c r="G55" s="22" t="s">
        <v>235</v>
      </c>
      <c r="H55" s="22" t="s">
        <v>422</v>
      </c>
      <c r="I55" s="22" t="s">
        <v>52</v>
      </c>
      <c r="J55" s="22"/>
      <c r="K55" s="22"/>
      <c r="L55" s="25"/>
      <c r="M55" s="25"/>
      <c r="N55" s="23"/>
      <c r="O55" s="23"/>
      <c r="P55" s="24" t="str">
        <f aca="false">IFERROR(N55/O55,"")</f>
        <v/>
      </c>
      <c r="Q55" s="22" t="s">
        <v>43</v>
      </c>
      <c r="R55" s="22" t="s">
        <v>46</v>
      </c>
      <c r="S55" s="22" t="s">
        <v>160</v>
      </c>
      <c r="T55" s="22" t="s">
        <v>423</v>
      </c>
      <c r="U55" s="22" t="s">
        <v>148</v>
      </c>
      <c r="V55" s="21"/>
      <c r="W55" s="21" t="n">
        <v>46318</v>
      </c>
      <c r="X55" s="22" t="s">
        <v>39</v>
      </c>
      <c r="Y55" s="21"/>
      <c r="Z55" s="22"/>
      <c r="AA55" s="22"/>
      <c r="AB55" s="22" t="s">
        <v>424</v>
      </c>
      <c r="AC55" s="22" t="s">
        <v>333</v>
      </c>
      <c r="AD55" s="22"/>
      <c r="AE55" s="22"/>
      <c r="AF55" s="22" t="s">
        <v>425</v>
      </c>
      <c r="AG55" s="21" t="n">
        <v>46308</v>
      </c>
    </row>
    <row r="56" customFormat="false" ht="23.85" hidden="false" customHeight="false" outlineLevel="0" collapsed="false">
      <c r="A56" s="20" t="s">
        <v>426</v>
      </c>
      <c r="B56" s="21" t="n">
        <v>46301</v>
      </c>
      <c r="C56" s="22" t="s">
        <v>140</v>
      </c>
      <c r="D56" s="22" t="s">
        <v>141</v>
      </c>
      <c r="E56" s="22" t="s">
        <v>142</v>
      </c>
      <c r="F56" s="22" t="s">
        <v>427</v>
      </c>
      <c r="G56" s="22" t="s">
        <v>235</v>
      </c>
      <c r="H56" s="22" t="s">
        <v>428</v>
      </c>
      <c r="I56" s="22" t="s">
        <v>68</v>
      </c>
      <c r="J56" s="22"/>
      <c r="K56" s="22"/>
      <c r="L56" s="25"/>
      <c r="M56" s="25"/>
      <c r="N56" s="23"/>
      <c r="O56" s="23"/>
      <c r="P56" s="24" t="str">
        <f aca="false">IFERROR(N56/O56,"")</f>
        <v/>
      </c>
      <c r="Q56" s="22" t="s">
        <v>43</v>
      </c>
      <c r="R56" s="22" t="s">
        <v>43</v>
      </c>
      <c r="S56" s="22" t="s">
        <v>160</v>
      </c>
      <c r="T56" s="22" t="s">
        <v>429</v>
      </c>
      <c r="U56" s="22" t="s">
        <v>148</v>
      </c>
      <c r="V56" s="21"/>
      <c r="W56" s="21" t="n">
        <v>46325</v>
      </c>
      <c r="X56" s="22" t="s">
        <v>39</v>
      </c>
      <c r="Y56" s="21"/>
      <c r="Z56" s="22"/>
      <c r="AA56" s="22"/>
      <c r="AB56" s="22" t="s">
        <v>430</v>
      </c>
      <c r="AC56" s="22" t="s">
        <v>333</v>
      </c>
      <c r="AD56" s="22"/>
      <c r="AE56" s="22"/>
      <c r="AF56" s="22"/>
      <c r="AG56" s="21" t="n">
        <v>46308</v>
      </c>
    </row>
    <row r="57" customFormat="false" ht="35.05" hidden="false" customHeight="false" outlineLevel="0" collapsed="false">
      <c r="A57" s="20" t="s">
        <v>431</v>
      </c>
      <c r="B57" s="21" t="n">
        <v>46301</v>
      </c>
      <c r="C57" s="22" t="s">
        <v>140</v>
      </c>
      <c r="D57" s="22" t="s">
        <v>141</v>
      </c>
      <c r="E57" s="22" t="s">
        <v>142</v>
      </c>
      <c r="F57" s="22" t="s">
        <v>432</v>
      </c>
      <c r="G57" s="22" t="s">
        <v>235</v>
      </c>
      <c r="H57" s="22" t="s">
        <v>433</v>
      </c>
      <c r="I57" s="22" t="s">
        <v>41</v>
      </c>
      <c r="J57" s="22"/>
      <c r="K57" s="22"/>
      <c r="L57" s="25"/>
      <c r="M57" s="25"/>
      <c r="N57" s="23"/>
      <c r="O57" s="23"/>
      <c r="P57" s="24" t="str">
        <f aca="false">IFERROR(N57/O57,"")</f>
        <v/>
      </c>
      <c r="Q57" s="22" t="s">
        <v>43</v>
      </c>
      <c r="R57" s="22" t="s">
        <v>46</v>
      </c>
      <c r="S57" s="22" t="s">
        <v>146</v>
      </c>
      <c r="T57" s="22" t="s">
        <v>434</v>
      </c>
      <c r="U57" s="22" t="s">
        <v>148</v>
      </c>
      <c r="V57" s="21"/>
      <c r="W57" s="21" t="n">
        <v>46311</v>
      </c>
      <c r="X57" s="22" t="s">
        <v>39</v>
      </c>
      <c r="Y57" s="21"/>
      <c r="Z57" s="22"/>
      <c r="AA57" s="22"/>
      <c r="AB57" s="22" t="s">
        <v>435</v>
      </c>
      <c r="AC57" s="22" t="s">
        <v>333</v>
      </c>
      <c r="AD57" s="22"/>
      <c r="AE57" s="22"/>
      <c r="AF57" s="22" t="s">
        <v>436</v>
      </c>
      <c r="AG57" s="21" t="n">
        <v>46308</v>
      </c>
    </row>
    <row r="58" customFormat="false" ht="23.85" hidden="false" customHeight="false" outlineLevel="0" collapsed="false">
      <c r="A58" s="20" t="s">
        <v>437</v>
      </c>
      <c r="B58" s="21" t="n">
        <v>46301</v>
      </c>
      <c r="C58" s="22" t="s">
        <v>140</v>
      </c>
      <c r="D58" s="22" t="s">
        <v>141</v>
      </c>
      <c r="E58" s="22" t="s">
        <v>142</v>
      </c>
      <c r="F58" s="22" t="s">
        <v>438</v>
      </c>
      <c r="G58" s="22" t="s">
        <v>302</v>
      </c>
      <c r="H58" s="22" t="s">
        <v>439</v>
      </c>
      <c r="I58" s="22" t="s">
        <v>47</v>
      </c>
      <c r="J58" s="22"/>
      <c r="K58" s="22"/>
      <c r="L58" s="25"/>
      <c r="M58" s="25"/>
      <c r="N58" s="23"/>
      <c r="O58" s="23"/>
      <c r="P58" s="24" t="str">
        <f aca="false">IFERROR(N58/O58,"")</f>
        <v/>
      </c>
      <c r="Q58" s="22" t="s">
        <v>43</v>
      </c>
      <c r="R58" s="22" t="s">
        <v>46</v>
      </c>
      <c r="S58" s="22" t="s">
        <v>146</v>
      </c>
      <c r="T58" s="22" t="s">
        <v>440</v>
      </c>
      <c r="U58" s="22" t="s">
        <v>217</v>
      </c>
      <c r="V58" s="21"/>
      <c r="W58" s="21" t="n">
        <v>46311</v>
      </c>
      <c r="X58" s="22" t="s">
        <v>39</v>
      </c>
      <c r="Y58" s="21"/>
      <c r="Z58" s="22"/>
      <c r="AA58" s="22"/>
      <c r="AB58" s="22" t="s">
        <v>441</v>
      </c>
      <c r="AC58" s="22" t="s">
        <v>333</v>
      </c>
      <c r="AD58" s="22"/>
      <c r="AE58" s="22"/>
      <c r="AF58" s="22"/>
      <c r="AG58" s="21" t="n">
        <v>46308</v>
      </c>
    </row>
    <row r="59" customFormat="false" ht="23.85" hidden="false" customHeight="false" outlineLevel="0" collapsed="false">
      <c r="A59" s="20" t="s">
        <v>442</v>
      </c>
      <c r="B59" s="21" t="n">
        <v>46301</v>
      </c>
      <c r="C59" s="22" t="s">
        <v>140</v>
      </c>
      <c r="D59" s="22" t="s">
        <v>141</v>
      </c>
      <c r="E59" s="22" t="s">
        <v>142</v>
      </c>
      <c r="F59" s="22" t="s">
        <v>443</v>
      </c>
      <c r="G59" s="22" t="s">
        <v>235</v>
      </c>
      <c r="H59" s="22" t="s">
        <v>444</v>
      </c>
      <c r="I59" s="22" t="s">
        <v>56</v>
      </c>
      <c r="J59" s="22"/>
      <c r="K59" s="22"/>
      <c r="L59" s="25"/>
      <c r="M59" s="25"/>
      <c r="N59" s="23"/>
      <c r="O59" s="23"/>
      <c r="P59" s="24" t="str">
        <f aca="false">IFERROR(N59/O59,"")</f>
        <v/>
      </c>
      <c r="Q59" s="22" t="s">
        <v>43</v>
      </c>
      <c r="R59" s="22" t="s">
        <v>46</v>
      </c>
      <c r="S59" s="22" t="s">
        <v>160</v>
      </c>
      <c r="T59" s="22" t="s">
        <v>445</v>
      </c>
      <c r="U59" s="22" t="s">
        <v>217</v>
      </c>
      <c r="V59" s="21"/>
      <c r="W59" s="21" t="n">
        <v>46342</v>
      </c>
      <c r="X59" s="22" t="s">
        <v>39</v>
      </c>
      <c r="Y59" s="21"/>
      <c r="Z59" s="22"/>
      <c r="AA59" s="22"/>
      <c r="AB59" s="22" t="s">
        <v>446</v>
      </c>
      <c r="AC59" s="22" t="s">
        <v>333</v>
      </c>
      <c r="AD59" s="22"/>
      <c r="AE59" s="22"/>
      <c r="AF59" s="22" t="s">
        <v>447</v>
      </c>
      <c r="AG59" s="21" t="n">
        <v>46308</v>
      </c>
    </row>
    <row r="60" customFormat="false" ht="23.85" hidden="false" customHeight="false" outlineLevel="0" collapsed="false">
      <c r="A60" s="20" t="s">
        <v>448</v>
      </c>
      <c r="B60" s="21" t="n">
        <v>46301</v>
      </c>
      <c r="C60" s="22" t="s">
        <v>140</v>
      </c>
      <c r="D60" s="22" t="s">
        <v>141</v>
      </c>
      <c r="E60" s="22" t="s">
        <v>142</v>
      </c>
      <c r="F60" s="22" t="s">
        <v>449</v>
      </c>
      <c r="G60" s="22" t="s">
        <v>144</v>
      </c>
      <c r="H60" s="22" t="s">
        <v>450</v>
      </c>
      <c r="I60" s="22" t="s">
        <v>41</v>
      </c>
      <c r="J60" s="22"/>
      <c r="K60" s="22"/>
      <c r="L60" s="25"/>
      <c r="M60" s="25"/>
      <c r="N60" s="23"/>
      <c r="O60" s="23"/>
      <c r="P60" s="24" t="str">
        <f aca="false">IFERROR(N60/O60,"")</f>
        <v/>
      </c>
      <c r="Q60" s="22" t="s">
        <v>46</v>
      </c>
      <c r="R60" s="22" t="s">
        <v>49</v>
      </c>
      <c r="S60" s="22" t="s">
        <v>146</v>
      </c>
      <c r="T60" s="22" t="s">
        <v>451</v>
      </c>
      <c r="U60" s="22" t="s">
        <v>148</v>
      </c>
      <c r="V60" s="21"/>
      <c r="W60" s="21" t="n">
        <v>46328</v>
      </c>
      <c r="X60" s="22" t="s">
        <v>39</v>
      </c>
      <c r="Y60" s="21"/>
      <c r="Z60" s="22"/>
      <c r="AA60" s="22"/>
      <c r="AB60" s="22" t="s">
        <v>452</v>
      </c>
      <c r="AC60" s="22" t="s">
        <v>333</v>
      </c>
      <c r="AD60" s="22"/>
      <c r="AE60" s="22"/>
      <c r="AF60" s="22"/>
      <c r="AG60" s="21" t="n">
        <v>46308</v>
      </c>
    </row>
    <row r="61" customFormat="false" ht="15" hidden="false" customHeight="false" outlineLevel="0" collapsed="false">
      <c r="A61" s="22"/>
      <c r="B61" s="21"/>
      <c r="C61" s="22"/>
      <c r="D61" s="22"/>
      <c r="E61" s="22"/>
      <c r="F61" s="22"/>
      <c r="G61" s="22"/>
      <c r="H61" s="22"/>
      <c r="I61" s="22"/>
      <c r="J61" s="22"/>
      <c r="K61" s="22"/>
      <c r="L61" s="25"/>
      <c r="M61" s="25"/>
      <c r="N61" s="25"/>
      <c r="O61" s="25"/>
      <c r="P61" s="24" t="str">
        <f aca="false">IFERROR(N61/O61,"")</f>
        <v/>
      </c>
      <c r="Q61" s="22"/>
      <c r="R61" s="22"/>
      <c r="S61" s="22"/>
      <c r="T61" s="22"/>
      <c r="U61" s="22"/>
      <c r="V61" s="21"/>
      <c r="W61" s="21"/>
      <c r="X61" s="22"/>
      <c r="Y61" s="21"/>
      <c r="Z61" s="22"/>
      <c r="AA61" s="22"/>
      <c r="AB61" s="22"/>
      <c r="AC61" s="22"/>
      <c r="AD61" s="22"/>
      <c r="AE61" s="22"/>
      <c r="AF61" s="22"/>
      <c r="AG61" s="21"/>
    </row>
    <row r="62" customFormat="false" ht="15" hidden="false" customHeight="false" outlineLevel="0" collapsed="false">
      <c r="A62" s="22"/>
      <c r="B62" s="21"/>
      <c r="C62" s="22"/>
      <c r="D62" s="22"/>
      <c r="E62" s="22"/>
      <c r="F62" s="22"/>
      <c r="G62" s="22"/>
      <c r="H62" s="22"/>
      <c r="I62" s="22"/>
      <c r="J62" s="22"/>
      <c r="K62" s="22"/>
      <c r="L62" s="25"/>
      <c r="M62" s="25"/>
      <c r="N62" s="25"/>
      <c r="O62" s="25"/>
      <c r="P62" s="24" t="str">
        <f aca="false">IFERROR(N62/O62,"")</f>
        <v/>
      </c>
      <c r="Q62" s="22"/>
      <c r="R62" s="22"/>
      <c r="S62" s="22"/>
      <c r="T62" s="22"/>
      <c r="U62" s="22"/>
      <c r="V62" s="21"/>
      <c r="W62" s="21"/>
      <c r="X62" s="22"/>
      <c r="Y62" s="21"/>
      <c r="Z62" s="22"/>
      <c r="AA62" s="22"/>
      <c r="AB62" s="22"/>
      <c r="AC62" s="22"/>
      <c r="AD62" s="22"/>
      <c r="AE62" s="22"/>
      <c r="AF62" s="22"/>
      <c r="AG62" s="21"/>
    </row>
    <row r="63" customFormat="false" ht="15" hidden="false" customHeight="false" outlineLevel="0" collapsed="false">
      <c r="A63" s="22"/>
      <c r="B63" s="21"/>
      <c r="C63" s="22"/>
      <c r="D63" s="22"/>
      <c r="E63" s="22"/>
      <c r="F63" s="22"/>
      <c r="G63" s="22"/>
      <c r="H63" s="22"/>
      <c r="I63" s="22"/>
      <c r="J63" s="22"/>
      <c r="K63" s="22"/>
      <c r="L63" s="25"/>
      <c r="M63" s="25"/>
      <c r="N63" s="25"/>
      <c r="O63" s="25"/>
      <c r="P63" s="24" t="str">
        <f aca="false">IFERROR(N63/O63,"")</f>
        <v/>
      </c>
      <c r="Q63" s="22"/>
      <c r="R63" s="22"/>
      <c r="S63" s="22"/>
      <c r="T63" s="22"/>
      <c r="U63" s="22"/>
      <c r="V63" s="21"/>
      <c r="W63" s="21"/>
      <c r="X63" s="22"/>
      <c r="Y63" s="21"/>
      <c r="Z63" s="22"/>
      <c r="AA63" s="22"/>
      <c r="AB63" s="22"/>
      <c r="AC63" s="22"/>
      <c r="AD63" s="22"/>
      <c r="AE63" s="22"/>
      <c r="AF63" s="22"/>
      <c r="AG63" s="21"/>
    </row>
    <row r="64" customFormat="false" ht="15" hidden="false" customHeight="false" outlineLevel="0" collapsed="false">
      <c r="A64" s="22"/>
      <c r="B64" s="21"/>
      <c r="C64" s="22"/>
      <c r="D64" s="22"/>
      <c r="E64" s="22"/>
      <c r="F64" s="22"/>
      <c r="G64" s="22"/>
      <c r="H64" s="22"/>
      <c r="I64" s="22"/>
      <c r="J64" s="22"/>
      <c r="K64" s="22"/>
      <c r="L64" s="25"/>
      <c r="M64" s="25"/>
      <c r="N64" s="25"/>
      <c r="O64" s="25"/>
      <c r="P64" s="24" t="str">
        <f aca="false">IFERROR(N64/O64,"")</f>
        <v/>
      </c>
      <c r="Q64" s="22"/>
      <c r="R64" s="22"/>
      <c r="S64" s="22"/>
      <c r="T64" s="22"/>
      <c r="U64" s="22"/>
      <c r="V64" s="21"/>
      <c r="W64" s="21"/>
      <c r="X64" s="22"/>
      <c r="Y64" s="21"/>
      <c r="Z64" s="22"/>
      <c r="AA64" s="22"/>
      <c r="AB64" s="22"/>
      <c r="AC64" s="22"/>
      <c r="AD64" s="22"/>
      <c r="AE64" s="22"/>
      <c r="AF64" s="22"/>
      <c r="AG64" s="21"/>
    </row>
    <row r="65" customFormat="false" ht="15" hidden="false" customHeight="false" outlineLevel="0" collapsed="false">
      <c r="A65" s="22"/>
      <c r="B65" s="21"/>
      <c r="C65" s="22"/>
      <c r="D65" s="22"/>
      <c r="E65" s="22"/>
      <c r="F65" s="22"/>
      <c r="G65" s="22"/>
      <c r="H65" s="22"/>
      <c r="I65" s="22"/>
      <c r="J65" s="22"/>
      <c r="K65" s="22"/>
      <c r="L65" s="25"/>
      <c r="M65" s="25"/>
      <c r="N65" s="25"/>
      <c r="O65" s="25"/>
      <c r="P65" s="24" t="str">
        <f aca="false">IFERROR(N65/O65,"")</f>
        <v/>
      </c>
      <c r="Q65" s="22"/>
      <c r="R65" s="22"/>
      <c r="S65" s="22"/>
      <c r="T65" s="22"/>
      <c r="U65" s="22"/>
      <c r="V65" s="21"/>
      <c r="W65" s="21"/>
      <c r="X65" s="22"/>
      <c r="Y65" s="21"/>
      <c r="Z65" s="22"/>
      <c r="AA65" s="22"/>
      <c r="AB65" s="22"/>
      <c r="AC65" s="22"/>
      <c r="AD65" s="22"/>
      <c r="AE65" s="22"/>
      <c r="AF65" s="22"/>
      <c r="AG65" s="21"/>
    </row>
    <row r="66" customFormat="false" ht="15" hidden="false" customHeight="false" outlineLevel="0" collapsed="false">
      <c r="A66" s="22"/>
      <c r="B66" s="21"/>
      <c r="C66" s="22"/>
      <c r="D66" s="22"/>
      <c r="E66" s="22"/>
      <c r="F66" s="22"/>
      <c r="G66" s="22"/>
      <c r="H66" s="22"/>
      <c r="I66" s="22"/>
      <c r="J66" s="22"/>
      <c r="K66" s="22"/>
      <c r="L66" s="25"/>
      <c r="M66" s="25"/>
      <c r="N66" s="25"/>
      <c r="O66" s="25"/>
      <c r="P66" s="24" t="str">
        <f aca="false">IFERROR(N66/O66,"")</f>
        <v/>
      </c>
      <c r="Q66" s="22"/>
      <c r="R66" s="22"/>
      <c r="S66" s="22"/>
      <c r="T66" s="22"/>
      <c r="U66" s="22"/>
      <c r="V66" s="21"/>
      <c r="W66" s="21"/>
      <c r="X66" s="22"/>
      <c r="Y66" s="21"/>
      <c r="Z66" s="22"/>
      <c r="AA66" s="22"/>
      <c r="AB66" s="22"/>
      <c r="AC66" s="22"/>
      <c r="AD66" s="22"/>
      <c r="AE66" s="22"/>
      <c r="AF66" s="22"/>
      <c r="AG66" s="21"/>
    </row>
    <row r="67" customFormat="false" ht="15" hidden="false" customHeight="false" outlineLevel="0" collapsed="false">
      <c r="A67" s="22"/>
      <c r="B67" s="21"/>
      <c r="C67" s="22"/>
      <c r="D67" s="22"/>
      <c r="E67" s="22"/>
      <c r="F67" s="22"/>
      <c r="G67" s="22"/>
      <c r="H67" s="22"/>
      <c r="I67" s="22"/>
      <c r="J67" s="22"/>
      <c r="K67" s="22"/>
      <c r="L67" s="25"/>
      <c r="M67" s="25"/>
      <c r="N67" s="25"/>
      <c r="O67" s="25"/>
      <c r="P67" s="24" t="str">
        <f aca="false">IFERROR(N67/O67,"")</f>
        <v/>
      </c>
      <c r="Q67" s="22"/>
      <c r="R67" s="22"/>
      <c r="S67" s="22"/>
      <c r="T67" s="22"/>
      <c r="U67" s="22"/>
      <c r="V67" s="21"/>
      <c r="W67" s="21"/>
      <c r="X67" s="22"/>
      <c r="Y67" s="21"/>
      <c r="Z67" s="22"/>
      <c r="AA67" s="22"/>
      <c r="AB67" s="22"/>
      <c r="AC67" s="22"/>
      <c r="AD67" s="22"/>
      <c r="AE67" s="22"/>
      <c r="AF67" s="22"/>
      <c r="AG67" s="21"/>
    </row>
    <row r="68" customFormat="false" ht="15" hidden="false" customHeight="false" outlineLevel="0" collapsed="false">
      <c r="A68" s="22"/>
      <c r="B68" s="21"/>
      <c r="C68" s="22"/>
      <c r="D68" s="22"/>
      <c r="E68" s="22"/>
      <c r="F68" s="22"/>
      <c r="G68" s="22"/>
      <c r="H68" s="22"/>
      <c r="I68" s="22"/>
      <c r="J68" s="22"/>
      <c r="K68" s="22"/>
      <c r="L68" s="25"/>
      <c r="M68" s="25"/>
      <c r="N68" s="25"/>
      <c r="O68" s="25"/>
      <c r="P68" s="24" t="str">
        <f aca="false">IFERROR(N68/O68,"")</f>
        <v/>
      </c>
      <c r="Q68" s="22"/>
      <c r="R68" s="22"/>
      <c r="S68" s="22"/>
      <c r="T68" s="22"/>
      <c r="U68" s="22"/>
      <c r="V68" s="21"/>
      <c r="W68" s="21"/>
      <c r="X68" s="22"/>
      <c r="Y68" s="21"/>
      <c r="Z68" s="22"/>
      <c r="AA68" s="22"/>
      <c r="AB68" s="22"/>
      <c r="AC68" s="22"/>
      <c r="AD68" s="22"/>
      <c r="AE68" s="22"/>
      <c r="AF68" s="22"/>
      <c r="AG68" s="21"/>
    </row>
    <row r="69" customFormat="false" ht="15" hidden="false" customHeight="false" outlineLevel="0" collapsed="false">
      <c r="A69" s="22"/>
      <c r="B69" s="21"/>
      <c r="C69" s="22"/>
      <c r="D69" s="22"/>
      <c r="E69" s="22"/>
      <c r="F69" s="22"/>
      <c r="G69" s="22"/>
      <c r="H69" s="22"/>
      <c r="I69" s="22"/>
      <c r="J69" s="22"/>
      <c r="K69" s="22"/>
      <c r="L69" s="25"/>
      <c r="M69" s="25"/>
      <c r="N69" s="25"/>
      <c r="O69" s="25"/>
      <c r="P69" s="24" t="str">
        <f aca="false">IFERROR(N69/O69,"")</f>
        <v/>
      </c>
      <c r="Q69" s="22"/>
      <c r="R69" s="22"/>
      <c r="S69" s="22"/>
      <c r="T69" s="22"/>
      <c r="U69" s="22"/>
      <c r="V69" s="21"/>
      <c r="W69" s="21"/>
      <c r="X69" s="22"/>
      <c r="Y69" s="21"/>
      <c r="Z69" s="22"/>
      <c r="AA69" s="22"/>
      <c r="AB69" s="22"/>
      <c r="AC69" s="22"/>
      <c r="AD69" s="22"/>
      <c r="AE69" s="22"/>
      <c r="AF69" s="22"/>
      <c r="AG69" s="21"/>
    </row>
    <row r="70" customFormat="false" ht="15" hidden="false" customHeight="false" outlineLevel="0" collapsed="false">
      <c r="A70" s="22"/>
      <c r="B70" s="21"/>
      <c r="C70" s="22"/>
      <c r="D70" s="22"/>
      <c r="E70" s="22"/>
      <c r="F70" s="22"/>
      <c r="G70" s="22"/>
      <c r="H70" s="22"/>
      <c r="I70" s="22"/>
      <c r="J70" s="22"/>
      <c r="K70" s="22"/>
      <c r="L70" s="25"/>
      <c r="M70" s="25"/>
      <c r="N70" s="25"/>
      <c r="O70" s="25"/>
      <c r="P70" s="24" t="str">
        <f aca="false">IFERROR(N70/O70,"")</f>
        <v/>
      </c>
      <c r="Q70" s="22"/>
      <c r="R70" s="22"/>
      <c r="S70" s="22"/>
      <c r="T70" s="22"/>
      <c r="U70" s="22"/>
      <c r="V70" s="21"/>
      <c r="W70" s="21"/>
      <c r="X70" s="22"/>
      <c r="Y70" s="21"/>
      <c r="Z70" s="22"/>
      <c r="AA70" s="22"/>
      <c r="AB70" s="22"/>
      <c r="AC70" s="22"/>
      <c r="AD70" s="22"/>
      <c r="AE70" s="22"/>
      <c r="AF70" s="22"/>
      <c r="AG70" s="21"/>
    </row>
    <row r="71" customFormat="false" ht="15" hidden="false" customHeight="false" outlineLevel="0" collapsed="false">
      <c r="A71" s="22"/>
      <c r="B71" s="21"/>
      <c r="C71" s="22"/>
      <c r="D71" s="22"/>
      <c r="E71" s="22"/>
      <c r="F71" s="22"/>
      <c r="G71" s="22"/>
      <c r="H71" s="22"/>
      <c r="I71" s="22"/>
      <c r="J71" s="22"/>
      <c r="K71" s="22"/>
      <c r="L71" s="25"/>
      <c r="M71" s="25"/>
      <c r="N71" s="25"/>
      <c r="O71" s="25"/>
      <c r="P71" s="24" t="str">
        <f aca="false">IFERROR(N71/O71,"")</f>
        <v/>
      </c>
      <c r="Q71" s="22"/>
      <c r="R71" s="22"/>
      <c r="S71" s="22"/>
      <c r="T71" s="22"/>
      <c r="U71" s="22"/>
      <c r="V71" s="21"/>
      <c r="W71" s="21"/>
      <c r="X71" s="22"/>
      <c r="Y71" s="21"/>
      <c r="Z71" s="22"/>
      <c r="AA71" s="22"/>
      <c r="AB71" s="22"/>
      <c r="AC71" s="22"/>
      <c r="AD71" s="22"/>
      <c r="AE71" s="22"/>
      <c r="AF71" s="22"/>
      <c r="AG71" s="21"/>
    </row>
    <row r="72" customFormat="false" ht="15" hidden="false" customHeight="false" outlineLevel="0" collapsed="false">
      <c r="A72" s="22"/>
      <c r="B72" s="21"/>
      <c r="C72" s="22"/>
      <c r="D72" s="22"/>
      <c r="E72" s="22"/>
      <c r="F72" s="22"/>
      <c r="G72" s="22"/>
      <c r="H72" s="22"/>
      <c r="I72" s="22"/>
      <c r="J72" s="22"/>
      <c r="K72" s="22"/>
      <c r="L72" s="25"/>
      <c r="M72" s="25"/>
      <c r="N72" s="25"/>
      <c r="O72" s="25"/>
      <c r="P72" s="24" t="str">
        <f aca="false">IFERROR(N72/O72,"")</f>
        <v/>
      </c>
      <c r="Q72" s="22"/>
      <c r="R72" s="22"/>
      <c r="S72" s="22"/>
      <c r="T72" s="22"/>
      <c r="U72" s="22"/>
      <c r="V72" s="21"/>
      <c r="W72" s="21"/>
      <c r="X72" s="22"/>
      <c r="Y72" s="21"/>
      <c r="Z72" s="22"/>
      <c r="AA72" s="22"/>
      <c r="AB72" s="22"/>
      <c r="AC72" s="22"/>
      <c r="AD72" s="22"/>
      <c r="AE72" s="22"/>
      <c r="AF72" s="22"/>
      <c r="AG72" s="21"/>
    </row>
    <row r="73" customFormat="false" ht="15" hidden="false" customHeight="false" outlineLevel="0" collapsed="false">
      <c r="A73" s="22"/>
      <c r="B73" s="21"/>
      <c r="C73" s="22"/>
      <c r="D73" s="22"/>
      <c r="E73" s="22"/>
      <c r="F73" s="22"/>
      <c r="G73" s="22"/>
      <c r="H73" s="22"/>
      <c r="I73" s="22"/>
      <c r="J73" s="22"/>
      <c r="K73" s="22"/>
      <c r="L73" s="25"/>
      <c r="M73" s="25"/>
      <c r="N73" s="25"/>
      <c r="O73" s="25"/>
      <c r="P73" s="24" t="str">
        <f aca="false">IFERROR(N73/O73,"")</f>
        <v/>
      </c>
      <c r="Q73" s="22"/>
      <c r="R73" s="22"/>
      <c r="S73" s="22"/>
      <c r="T73" s="22"/>
      <c r="U73" s="22"/>
      <c r="V73" s="21"/>
      <c r="W73" s="21"/>
      <c r="X73" s="22"/>
      <c r="Y73" s="21"/>
      <c r="Z73" s="22"/>
      <c r="AA73" s="22"/>
      <c r="AB73" s="22"/>
      <c r="AC73" s="22"/>
      <c r="AD73" s="22"/>
      <c r="AE73" s="22"/>
      <c r="AF73" s="22"/>
      <c r="AG73" s="21"/>
    </row>
    <row r="74" customFormat="false" ht="15" hidden="false" customHeight="false" outlineLevel="0" collapsed="false">
      <c r="A74" s="22"/>
      <c r="B74" s="21"/>
      <c r="C74" s="22"/>
      <c r="D74" s="22"/>
      <c r="E74" s="22"/>
      <c r="F74" s="22"/>
      <c r="G74" s="22"/>
      <c r="H74" s="22"/>
      <c r="I74" s="22"/>
      <c r="J74" s="22"/>
      <c r="K74" s="22"/>
      <c r="L74" s="25"/>
      <c r="M74" s="25"/>
      <c r="N74" s="25"/>
      <c r="O74" s="25"/>
      <c r="P74" s="24" t="str">
        <f aca="false">IFERROR(N74/O74,"")</f>
        <v/>
      </c>
      <c r="Q74" s="22"/>
      <c r="R74" s="22"/>
      <c r="S74" s="22"/>
      <c r="T74" s="22"/>
      <c r="U74" s="22"/>
      <c r="V74" s="21"/>
      <c r="W74" s="21"/>
      <c r="X74" s="22"/>
      <c r="Y74" s="21"/>
      <c r="Z74" s="22"/>
      <c r="AA74" s="22"/>
      <c r="AB74" s="22"/>
      <c r="AC74" s="22"/>
      <c r="AD74" s="22"/>
      <c r="AE74" s="22"/>
      <c r="AF74" s="22"/>
      <c r="AG74" s="21"/>
    </row>
    <row r="75" customFormat="false" ht="15" hidden="false" customHeight="false" outlineLevel="0" collapsed="false">
      <c r="A75" s="22"/>
      <c r="B75" s="21"/>
      <c r="C75" s="22"/>
      <c r="D75" s="22"/>
      <c r="E75" s="22"/>
      <c r="F75" s="22"/>
      <c r="G75" s="22"/>
      <c r="H75" s="22"/>
      <c r="I75" s="22"/>
      <c r="J75" s="22"/>
      <c r="K75" s="22"/>
      <c r="L75" s="25"/>
      <c r="M75" s="25"/>
      <c r="N75" s="25"/>
      <c r="O75" s="25"/>
      <c r="P75" s="24" t="str">
        <f aca="false">IFERROR(N75/O75,"")</f>
        <v/>
      </c>
      <c r="Q75" s="22"/>
      <c r="R75" s="22"/>
      <c r="S75" s="22"/>
      <c r="T75" s="22"/>
      <c r="U75" s="22"/>
      <c r="V75" s="21"/>
      <c r="W75" s="21"/>
      <c r="X75" s="22"/>
      <c r="Y75" s="21"/>
      <c r="Z75" s="22"/>
      <c r="AA75" s="22"/>
      <c r="AB75" s="22"/>
      <c r="AC75" s="22"/>
      <c r="AD75" s="22"/>
      <c r="AE75" s="22"/>
      <c r="AF75" s="22"/>
      <c r="AG75" s="21"/>
    </row>
    <row r="76" customFormat="false" ht="15" hidden="false" customHeight="false" outlineLevel="0" collapsed="false">
      <c r="A76" s="22"/>
      <c r="B76" s="21"/>
      <c r="C76" s="22"/>
      <c r="D76" s="22"/>
      <c r="E76" s="22"/>
      <c r="F76" s="22"/>
      <c r="G76" s="22"/>
      <c r="H76" s="22"/>
      <c r="I76" s="22"/>
      <c r="J76" s="22"/>
      <c r="K76" s="22"/>
      <c r="L76" s="25"/>
      <c r="M76" s="25"/>
      <c r="N76" s="25"/>
      <c r="O76" s="25"/>
      <c r="P76" s="24" t="str">
        <f aca="false">IFERROR(N76/O76,"")</f>
        <v/>
      </c>
      <c r="Q76" s="22"/>
      <c r="R76" s="22"/>
      <c r="S76" s="22"/>
      <c r="T76" s="22"/>
      <c r="U76" s="22"/>
      <c r="V76" s="21"/>
      <c r="W76" s="21"/>
      <c r="X76" s="22"/>
      <c r="Y76" s="21"/>
      <c r="Z76" s="22"/>
      <c r="AA76" s="22"/>
      <c r="AB76" s="22"/>
      <c r="AC76" s="22"/>
      <c r="AD76" s="22"/>
      <c r="AE76" s="22"/>
      <c r="AF76" s="22"/>
      <c r="AG76" s="21"/>
    </row>
    <row r="77" customFormat="false" ht="15" hidden="false" customHeight="false" outlineLevel="0" collapsed="false">
      <c r="A77" s="22"/>
      <c r="B77" s="21"/>
      <c r="C77" s="22"/>
      <c r="D77" s="22"/>
      <c r="E77" s="22"/>
      <c r="F77" s="22"/>
      <c r="G77" s="22"/>
      <c r="H77" s="22"/>
      <c r="I77" s="22"/>
      <c r="J77" s="22"/>
      <c r="K77" s="22"/>
      <c r="L77" s="25"/>
      <c r="M77" s="25"/>
      <c r="N77" s="25"/>
      <c r="O77" s="25"/>
      <c r="P77" s="24" t="str">
        <f aca="false">IFERROR(N77/O77,"")</f>
        <v/>
      </c>
      <c r="Q77" s="22"/>
      <c r="R77" s="22"/>
      <c r="S77" s="22"/>
      <c r="T77" s="22"/>
      <c r="U77" s="22"/>
      <c r="V77" s="21"/>
      <c r="W77" s="21"/>
      <c r="X77" s="22"/>
      <c r="Y77" s="21"/>
      <c r="Z77" s="22"/>
      <c r="AA77" s="22"/>
      <c r="AB77" s="22"/>
      <c r="AC77" s="22"/>
      <c r="AD77" s="22"/>
      <c r="AE77" s="22"/>
      <c r="AF77" s="22"/>
      <c r="AG77" s="21"/>
    </row>
    <row r="78" customFormat="false" ht="15" hidden="false" customHeight="false" outlineLevel="0" collapsed="false">
      <c r="A78" s="22"/>
      <c r="B78" s="21"/>
      <c r="C78" s="22"/>
      <c r="D78" s="22"/>
      <c r="E78" s="22"/>
      <c r="F78" s="22"/>
      <c r="G78" s="22"/>
      <c r="H78" s="22"/>
      <c r="I78" s="22"/>
      <c r="J78" s="22"/>
      <c r="K78" s="22"/>
      <c r="L78" s="25"/>
      <c r="M78" s="25"/>
      <c r="N78" s="25"/>
      <c r="O78" s="25"/>
      <c r="P78" s="24" t="str">
        <f aca="false">IFERROR(N78/O78,"")</f>
        <v/>
      </c>
      <c r="Q78" s="22"/>
      <c r="R78" s="22"/>
      <c r="S78" s="22"/>
      <c r="T78" s="22"/>
      <c r="U78" s="22"/>
      <c r="V78" s="21"/>
      <c r="W78" s="21"/>
      <c r="X78" s="22"/>
      <c r="Y78" s="21"/>
      <c r="Z78" s="22"/>
      <c r="AA78" s="22"/>
      <c r="AB78" s="22"/>
      <c r="AC78" s="22"/>
      <c r="AD78" s="22"/>
      <c r="AE78" s="22"/>
      <c r="AF78" s="22"/>
      <c r="AG78" s="21"/>
    </row>
    <row r="79" customFormat="false" ht="15" hidden="false" customHeight="false" outlineLevel="0" collapsed="false">
      <c r="A79" s="22"/>
      <c r="B79" s="21"/>
      <c r="C79" s="22"/>
      <c r="D79" s="22"/>
      <c r="E79" s="22"/>
      <c r="F79" s="22"/>
      <c r="G79" s="22"/>
      <c r="H79" s="22"/>
      <c r="I79" s="22"/>
      <c r="J79" s="22"/>
      <c r="K79" s="22"/>
      <c r="L79" s="25"/>
      <c r="M79" s="25"/>
      <c r="N79" s="25"/>
      <c r="O79" s="25"/>
      <c r="P79" s="24" t="str">
        <f aca="false">IFERROR(N79/O79,"")</f>
        <v/>
      </c>
      <c r="Q79" s="22"/>
      <c r="R79" s="22"/>
      <c r="S79" s="22"/>
      <c r="T79" s="22"/>
      <c r="U79" s="22"/>
      <c r="V79" s="21"/>
      <c r="W79" s="21"/>
      <c r="X79" s="22"/>
      <c r="Y79" s="21"/>
      <c r="Z79" s="22"/>
      <c r="AA79" s="22"/>
      <c r="AB79" s="22"/>
      <c r="AC79" s="22"/>
      <c r="AD79" s="22"/>
      <c r="AE79" s="22"/>
      <c r="AF79" s="22"/>
      <c r="AG79" s="21"/>
    </row>
    <row r="80" customFormat="false" ht="15" hidden="false" customHeight="false" outlineLevel="0" collapsed="false">
      <c r="A80" s="22"/>
      <c r="B80" s="21"/>
      <c r="C80" s="22"/>
      <c r="D80" s="22"/>
      <c r="E80" s="22"/>
      <c r="F80" s="22"/>
      <c r="G80" s="22"/>
      <c r="H80" s="22"/>
      <c r="I80" s="22"/>
      <c r="J80" s="22"/>
      <c r="K80" s="22"/>
      <c r="L80" s="25"/>
      <c r="M80" s="25"/>
      <c r="N80" s="25"/>
      <c r="O80" s="25"/>
      <c r="P80" s="24" t="str">
        <f aca="false">IFERROR(N80/O80,"")</f>
        <v/>
      </c>
      <c r="Q80" s="22"/>
      <c r="R80" s="22"/>
      <c r="S80" s="22"/>
      <c r="T80" s="22"/>
      <c r="U80" s="22"/>
      <c r="V80" s="21"/>
      <c r="W80" s="21"/>
      <c r="X80" s="22"/>
      <c r="Y80" s="21"/>
      <c r="Z80" s="22"/>
      <c r="AA80" s="22"/>
      <c r="AB80" s="22"/>
      <c r="AC80" s="22"/>
      <c r="AD80" s="22"/>
      <c r="AE80" s="22"/>
      <c r="AF80" s="22"/>
      <c r="AG80" s="21"/>
    </row>
    <row r="81" customFormat="false" ht="15" hidden="false" customHeight="false" outlineLevel="0" collapsed="false">
      <c r="A81" s="22"/>
      <c r="B81" s="21"/>
      <c r="C81" s="22"/>
      <c r="D81" s="22"/>
      <c r="E81" s="22"/>
      <c r="F81" s="22"/>
      <c r="G81" s="22"/>
      <c r="H81" s="22"/>
      <c r="I81" s="22"/>
      <c r="J81" s="22"/>
      <c r="K81" s="22"/>
      <c r="L81" s="25"/>
      <c r="M81" s="25"/>
      <c r="N81" s="25"/>
      <c r="O81" s="25"/>
      <c r="P81" s="24" t="str">
        <f aca="false">IFERROR(N81/O81,"")</f>
        <v/>
      </c>
      <c r="Q81" s="22"/>
      <c r="R81" s="22"/>
      <c r="S81" s="22"/>
      <c r="T81" s="22"/>
      <c r="U81" s="22"/>
      <c r="V81" s="21"/>
      <c r="W81" s="21"/>
      <c r="X81" s="22"/>
      <c r="Y81" s="21"/>
      <c r="Z81" s="22"/>
      <c r="AA81" s="22"/>
      <c r="AB81" s="22"/>
      <c r="AC81" s="22"/>
      <c r="AD81" s="22"/>
      <c r="AE81" s="22"/>
      <c r="AF81" s="22"/>
      <c r="AG81" s="21"/>
    </row>
    <row r="82" customFormat="false" ht="15" hidden="false" customHeight="false" outlineLevel="0" collapsed="false">
      <c r="A82" s="22"/>
      <c r="B82" s="21"/>
      <c r="C82" s="22"/>
      <c r="D82" s="22"/>
      <c r="E82" s="22"/>
      <c r="F82" s="22"/>
      <c r="G82" s="22"/>
      <c r="H82" s="22"/>
      <c r="I82" s="22"/>
      <c r="J82" s="22"/>
      <c r="K82" s="22"/>
      <c r="L82" s="25"/>
      <c r="M82" s="25"/>
      <c r="N82" s="25"/>
      <c r="O82" s="25"/>
      <c r="P82" s="24" t="str">
        <f aca="false">IFERROR(N82/O82,"")</f>
        <v/>
      </c>
      <c r="Q82" s="22"/>
      <c r="R82" s="22"/>
      <c r="S82" s="22"/>
      <c r="T82" s="22"/>
      <c r="U82" s="22"/>
      <c r="V82" s="21"/>
      <c r="W82" s="21"/>
      <c r="X82" s="22"/>
      <c r="Y82" s="21"/>
      <c r="Z82" s="22"/>
      <c r="AA82" s="22"/>
      <c r="AB82" s="22"/>
      <c r="AC82" s="22"/>
      <c r="AD82" s="22"/>
      <c r="AE82" s="22"/>
      <c r="AF82" s="22"/>
      <c r="AG82" s="21"/>
    </row>
    <row r="83" customFormat="false" ht="15" hidden="false" customHeight="false" outlineLevel="0" collapsed="false">
      <c r="A83" s="22"/>
      <c r="B83" s="21"/>
      <c r="C83" s="22"/>
      <c r="D83" s="22"/>
      <c r="E83" s="22"/>
      <c r="F83" s="22"/>
      <c r="G83" s="22"/>
      <c r="H83" s="22"/>
      <c r="I83" s="22"/>
      <c r="J83" s="22"/>
      <c r="K83" s="22"/>
      <c r="L83" s="25"/>
      <c r="M83" s="25"/>
      <c r="N83" s="25"/>
      <c r="O83" s="25"/>
      <c r="P83" s="24" t="str">
        <f aca="false">IFERROR(N83/O83,"")</f>
        <v/>
      </c>
      <c r="Q83" s="22"/>
      <c r="R83" s="22"/>
      <c r="S83" s="22"/>
      <c r="T83" s="22"/>
      <c r="U83" s="22"/>
      <c r="V83" s="21"/>
      <c r="W83" s="21"/>
      <c r="X83" s="22"/>
      <c r="Y83" s="21"/>
      <c r="Z83" s="22"/>
      <c r="AA83" s="22"/>
      <c r="AB83" s="22"/>
      <c r="AC83" s="22"/>
      <c r="AD83" s="22"/>
      <c r="AE83" s="22"/>
      <c r="AF83" s="22"/>
      <c r="AG83" s="21"/>
    </row>
    <row r="84" customFormat="false" ht="15" hidden="false" customHeight="false" outlineLevel="0" collapsed="false">
      <c r="A84" s="22"/>
      <c r="B84" s="21"/>
      <c r="C84" s="22"/>
      <c r="D84" s="22"/>
      <c r="E84" s="22"/>
      <c r="F84" s="22"/>
      <c r="G84" s="22"/>
      <c r="H84" s="22"/>
      <c r="I84" s="22"/>
      <c r="J84" s="22"/>
      <c r="K84" s="22"/>
      <c r="L84" s="25"/>
      <c r="M84" s="25"/>
      <c r="N84" s="25"/>
      <c r="O84" s="25"/>
      <c r="P84" s="24" t="str">
        <f aca="false">IFERROR(N84/O84,"")</f>
        <v/>
      </c>
      <c r="Q84" s="22"/>
      <c r="R84" s="22"/>
      <c r="S84" s="22"/>
      <c r="T84" s="22"/>
      <c r="U84" s="22"/>
      <c r="V84" s="21"/>
      <c r="W84" s="21"/>
      <c r="X84" s="22"/>
      <c r="Y84" s="21"/>
      <c r="Z84" s="22"/>
      <c r="AA84" s="22"/>
      <c r="AB84" s="22"/>
      <c r="AC84" s="22"/>
      <c r="AD84" s="22"/>
      <c r="AE84" s="22"/>
      <c r="AF84" s="22"/>
      <c r="AG84" s="21"/>
    </row>
    <row r="85" customFormat="false" ht="15" hidden="false" customHeight="false" outlineLevel="0" collapsed="false">
      <c r="A85" s="22"/>
      <c r="B85" s="21"/>
      <c r="C85" s="22"/>
      <c r="D85" s="22"/>
      <c r="E85" s="22"/>
      <c r="F85" s="22"/>
      <c r="G85" s="22"/>
      <c r="H85" s="22"/>
      <c r="I85" s="22"/>
      <c r="J85" s="22"/>
      <c r="K85" s="22"/>
      <c r="L85" s="25"/>
      <c r="M85" s="25"/>
      <c r="N85" s="25"/>
      <c r="O85" s="25"/>
      <c r="P85" s="24" t="str">
        <f aca="false">IFERROR(N85/O85,"")</f>
        <v/>
      </c>
      <c r="Q85" s="22"/>
      <c r="R85" s="22"/>
      <c r="S85" s="22"/>
      <c r="T85" s="22"/>
      <c r="U85" s="22"/>
      <c r="V85" s="21"/>
      <c r="W85" s="21"/>
      <c r="X85" s="22"/>
      <c r="Y85" s="21"/>
      <c r="Z85" s="22"/>
      <c r="AA85" s="22"/>
      <c r="AB85" s="22"/>
      <c r="AC85" s="22"/>
      <c r="AD85" s="22"/>
      <c r="AE85" s="22"/>
      <c r="AF85" s="22"/>
      <c r="AG85" s="21"/>
    </row>
    <row r="86" customFormat="false" ht="15" hidden="false" customHeight="false" outlineLevel="0" collapsed="false">
      <c r="A86" s="22"/>
      <c r="B86" s="21"/>
      <c r="C86" s="22"/>
      <c r="D86" s="22"/>
      <c r="E86" s="22"/>
      <c r="F86" s="22"/>
      <c r="G86" s="22"/>
      <c r="H86" s="22"/>
      <c r="I86" s="22"/>
      <c r="J86" s="22"/>
      <c r="K86" s="22"/>
      <c r="L86" s="25"/>
      <c r="M86" s="25"/>
      <c r="N86" s="25"/>
      <c r="O86" s="25"/>
      <c r="P86" s="24" t="str">
        <f aca="false">IFERROR(N86/O86,"")</f>
        <v/>
      </c>
      <c r="Q86" s="22"/>
      <c r="R86" s="22"/>
      <c r="S86" s="22"/>
      <c r="T86" s="22"/>
      <c r="U86" s="22"/>
      <c r="V86" s="21"/>
      <c r="W86" s="21"/>
      <c r="X86" s="22"/>
      <c r="Y86" s="21"/>
      <c r="Z86" s="22"/>
      <c r="AA86" s="22"/>
      <c r="AB86" s="22"/>
      <c r="AC86" s="22"/>
      <c r="AD86" s="22"/>
      <c r="AE86" s="22"/>
      <c r="AF86" s="22"/>
      <c r="AG86" s="21"/>
    </row>
    <row r="87" customFormat="false" ht="15" hidden="false" customHeight="false" outlineLevel="0" collapsed="false">
      <c r="A87" s="22"/>
      <c r="B87" s="21"/>
      <c r="C87" s="22"/>
      <c r="D87" s="22"/>
      <c r="E87" s="22"/>
      <c r="F87" s="22"/>
      <c r="G87" s="22"/>
      <c r="H87" s="22"/>
      <c r="I87" s="22"/>
      <c r="J87" s="22"/>
      <c r="K87" s="22"/>
      <c r="L87" s="25"/>
      <c r="M87" s="25"/>
      <c r="N87" s="25"/>
      <c r="O87" s="25"/>
      <c r="P87" s="24" t="str">
        <f aca="false">IFERROR(N87/O87,"")</f>
        <v/>
      </c>
      <c r="Q87" s="22"/>
      <c r="R87" s="22"/>
      <c r="S87" s="22"/>
      <c r="T87" s="22"/>
      <c r="U87" s="22"/>
      <c r="V87" s="21"/>
      <c r="W87" s="21"/>
      <c r="X87" s="22"/>
      <c r="Y87" s="21"/>
      <c r="Z87" s="22"/>
      <c r="AA87" s="22"/>
      <c r="AB87" s="22"/>
      <c r="AC87" s="22"/>
      <c r="AD87" s="22"/>
      <c r="AE87" s="22"/>
      <c r="AF87" s="22"/>
      <c r="AG87" s="21"/>
    </row>
    <row r="88" customFormat="false" ht="15" hidden="false" customHeight="false" outlineLevel="0" collapsed="false">
      <c r="A88" s="22"/>
      <c r="B88" s="21"/>
      <c r="C88" s="22"/>
      <c r="D88" s="22"/>
      <c r="E88" s="22"/>
      <c r="F88" s="22"/>
      <c r="G88" s="22"/>
      <c r="H88" s="22"/>
      <c r="I88" s="22"/>
      <c r="J88" s="22"/>
      <c r="K88" s="22"/>
      <c r="L88" s="25"/>
      <c r="M88" s="25"/>
      <c r="N88" s="25"/>
      <c r="O88" s="25"/>
      <c r="P88" s="24" t="str">
        <f aca="false">IFERROR(N88/O88,"")</f>
        <v/>
      </c>
      <c r="Q88" s="22"/>
      <c r="R88" s="22"/>
      <c r="S88" s="22"/>
      <c r="T88" s="22"/>
      <c r="U88" s="22"/>
      <c r="V88" s="21"/>
      <c r="W88" s="21"/>
      <c r="X88" s="22"/>
      <c r="Y88" s="21"/>
      <c r="Z88" s="22"/>
      <c r="AA88" s="22"/>
      <c r="AB88" s="22"/>
      <c r="AC88" s="22"/>
      <c r="AD88" s="22"/>
      <c r="AE88" s="22"/>
      <c r="AF88" s="22"/>
      <c r="AG88" s="21"/>
    </row>
    <row r="89" customFormat="false" ht="15" hidden="false" customHeight="false" outlineLevel="0" collapsed="false">
      <c r="A89" s="22"/>
      <c r="B89" s="21"/>
      <c r="C89" s="22"/>
      <c r="D89" s="22"/>
      <c r="E89" s="22"/>
      <c r="F89" s="22"/>
      <c r="G89" s="22"/>
      <c r="H89" s="22"/>
      <c r="I89" s="22"/>
      <c r="J89" s="22"/>
      <c r="K89" s="22"/>
      <c r="L89" s="25"/>
      <c r="M89" s="25"/>
      <c r="N89" s="25"/>
      <c r="O89" s="25"/>
      <c r="P89" s="24" t="str">
        <f aca="false">IFERROR(N89/O89,"")</f>
        <v/>
      </c>
      <c r="Q89" s="22"/>
      <c r="R89" s="22"/>
      <c r="S89" s="22"/>
      <c r="T89" s="22"/>
      <c r="U89" s="22"/>
      <c r="V89" s="21"/>
      <c r="W89" s="21"/>
      <c r="X89" s="22"/>
      <c r="Y89" s="21"/>
      <c r="Z89" s="22"/>
      <c r="AA89" s="22"/>
      <c r="AB89" s="22"/>
      <c r="AC89" s="22"/>
      <c r="AD89" s="22"/>
      <c r="AE89" s="22"/>
      <c r="AF89" s="22"/>
      <c r="AG89" s="21"/>
    </row>
    <row r="90" customFormat="false" ht="15" hidden="false" customHeight="false" outlineLevel="0" collapsed="false">
      <c r="A90" s="22"/>
      <c r="B90" s="21"/>
      <c r="C90" s="22"/>
      <c r="D90" s="22"/>
      <c r="E90" s="22"/>
      <c r="F90" s="22"/>
      <c r="G90" s="22"/>
      <c r="H90" s="22"/>
      <c r="I90" s="22"/>
      <c r="J90" s="22"/>
      <c r="K90" s="22"/>
      <c r="L90" s="25"/>
      <c r="M90" s="25"/>
      <c r="N90" s="25"/>
      <c r="O90" s="25"/>
      <c r="P90" s="24" t="str">
        <f aca="false">IFERROR(N90/O90,"")</f>
        <v/>
      </c>
      <c r="Q90" s="22"/>
      <c r="R90" s="22"/>
      <c r="S90" s="22"/>
      <c r="T90" s="22"/>
      <c r="U90" s="22"/>
      <c r="V90" s="21"/>
      <c r="W90" s="21"/>
      <c r="X90" s="22"/>
      <c r="Y90" s="21"/>
      <c r="Z90" s="22"/>
      <c r="AA90" s="22"/>
      <c r="AB90" s="22"/>
      <c r="AC90" s="22"/>
      <c r="AD90" s="22"/>
      <c r="AE90" s="22"/>
      <c r="AF90" s="22"/>
      <c r="AG90" s="21"/>
    </row>
    <row r="91" customFormat="false" ht="15" hidden="false" customHeight="false" outlineLevel="0" collapsed="false">
      <c r="A91" s="22"/>
      <c r="B91" s="21"/>
      <c r="C91" s="22"/>
      <c r="D91" s="22"/>
      <c r="E91" s="22"/>
      <c r="F91" s="22"/>
      <c r="G91" s="22"/>
      <c r="H91" s="22"/>
      <c r="I91" s="22"/>
      <c r="J91" s="22"/>
      <c r="K91" s="22"/>
      <c r="L91" s="25"/>
      <c r="M91" s="25"/>
      <c r="N91" s="25"/>
      <c r="O91" s="25"/>
      <c r="P91" s="24" t="str">
        <f aca="false">IFERROR(N91/O91,"")</f>
        <v/>
      </c>
      <c r="Q91" s="22"/>
      <c r="R91" s="22"/>
      <c r="S91" s="22"/>
      <c r="T91" s="22"/>
      <c r="U91" s="22"/>
      <c r="V91" s="21"/>
      <c r="W91" s="21"/>
      <c r="X91" s="22"/>
      <c r="Y91" s="21"/>
      <c r="Z91" s="22"/>
      <c r="AA91" s="22"/>
      <c r="AB91" s="22"/>
      <c r="AC91" s="22"/>
      <c r="AD91" s="22"/>
      <c r="AE91" s="22"/>
      <c r="AF91" s="22"/>
      <c r="AG91" s="21"/>
    </row>
    <row r="92" customFormat="false" ht="15" hidden="false" customHeight="false" outlineLevel="0" collapsed="false">
      <c r="A92" s="22"/>
      <c r="B92" s="21"/>
      <c r="C92" s="22"/>
      <c r="D92" s="22"/>
      <c r="E92" s="22"/>
      <c r="F92" s="22"/>
      <c r="G92" s="22"/>
      <c r="H92" s="22"/>
      <c r="I92" s="22"/>
      <c r="J92" s="22"/>
      <c r="K92" s="22"/>
      <c r="L92" s="25"/>
      <c r="M92" s="25"/>
      <c r="N92" s="25"/>
      <c r="O92" s="25"/>
      <c r="P92" s="24" t="str">
        <f aca="false">IFERROR(N92/O92,"")</f>
        <v/>
      </c>
      <c r="Q92" s="22"/>
      <c r="R92" s="22"/>
      <c r="S92" s="22"/>
      <c r="T92" s="22"/>
      <c r="U92" s="22"/>
      <c r="V92" s="21"/>
      <c r="W92" s="21"/>
      <c r="X92" s="22"/>
      <c r="Y92" s="21"/>
      <c r="Z92" s="22"/>
      <c r="AA92" s="22"/>
      <c r="AB92" s="22"/>
      <c r="AC92" s="22"/>
      <c r="AD92" s="22"/>
      <c r="AE92" s="22"/>
      <c r="AF92" s="22"/>
      <c r="AG92" s="21"/>
    </row>
    <row r="93" customFormat="false" ht="15" hidden="false" customHeight="false" outlineLevel="0" collapsed="false">
      <c r="A93" s="22"/>
      <c r="B93" s="21"/>
      <c r="C93" s="22"/>
      <c r="D93" s="22"/>
      <c r="E93" s="22"/>
      <c r="F93" s="22"/>
      <c r="G93" s="22"/>
      <c r="H93" s="22"/>
      <c r="I93" s="22"/>
      <c r="J93" s="22"/>
      <c r="K93" s="22"/>
      <c r="L93" s="25"/>
      <c r="M93" s="25"/>
      <c r="N93" s="25"/>
      <c r="O93" s="25"/>
      <c r="P93" s="24" t="str">
        <f aca="false">IFERROR(N93/O93,"")</f>
        <v/>
      </c>
      <c r="Q93" s="22"/>
      <c r="R93" s="22"/>
      <c r="S93" s="22"/>
      <c r="T93" s="22"/>
      <c r="U93" s="22"/>
      <c r="V93" s="21"/>
      <c r="W93" s="21"/>
      <c r="X93" s="22"/>
      <c r="Y93" s="21"/>
      <c r="Z93" s="22"/>
      <c r="AA93" s="22"/>
      <c r="AB93" s="22"/>
      <c r="AC93" s="22"/>
      <c r="AD93" s="22"/>
      <c r="AE93" s="22"/>
      <c r="AF93" s="22"/>
      <c r="AG93" s="21"/>
    </row>
    <row r="94" customFormat="false" ht="15" hidden="false" customHeight="false" outlineLevel="0" collapsed="false">
      <c r="A94" s="22"/>
      <c r="B94" s="21"/>
      <c r="C94" s="22"/>
      <c r="D94" s="22"/>
      <c r="E94" s="22"/>
      <c r="F94" s="22"/>
      <c r="G94" s="22"/>
      <c r="H94" s="22"/>
      <c r="I94" s="22"/>
      <c r="J94" s="22"/>
      <c r="K94" s="22"/>
      <c r="L94" s="25"/>
      <c r="M94" s="25"/>
      <c r="N94" s="25"/>
      <c r="O94" s="25"/>
      <c r="P94" s="24" t="str">
        <f aca="false">IFERROR(N94/O94,"")</f>
        <v/>
      </c>
      <c r="Q94" s="22"/>
      <c r="R94" s="22"/>
      <c r="S94" s="22"/>
      <c r="T94" s="22"/>
      <c r="U94" s="22"/>
      <c r="V94" s="21"/>
      <c r="W94" s="21"/>
      <c r="X94" s="22"/>
      <c r="Y94" s="21"/>
      <c r="Z94" s="22"/>
      <c r="AA94" s="22"/>
      <c r="AB94" s="22"/>
      <c r="AC94" s="22"/>
      <c r="AD94" s="22"/>
      <c r="AE94" s="22"/>
      <c r="AF94" s="22"/>
      <c r="AG94" s="21"/>
    </row>
    <row r="95" customFormat="false" ht="15" hidden="false" customHeight="false" outlineLevel="0" collapsed="false">
      <c r="A95" s="22"/>
      <c r="B95" s="21"/>
      <c r="C95" s="22"/>
      <c r="D95" s="22"/>
      <c r="E95" s="22"/>
      <c r="F95" s="22"/>
      <c r="G95" s="22"/>
      <c r="H95" s="22"/>
      <c r="I95" s="22"/>
      <c r="J95" s="22"/>
      <c r="K95" s="22"/>
      <c r="L95" s="25"/>
      <c r="M95" s="25"/>
      <c r="N95" s="25"/>
      <c r="O95" s="25"/>
      <c r="P95" s="24" t="str">
        <f aca="false">IFERROR(N95/O95,"")</f>
        <v/>
      </c>
      <c r="Q95" s="22"/>
      <c r="R95" s="22"/>
      <c r="S95" s="22"/>
      <c r="T95" s="22"/>
      <c r="U95" s="22"/>
      <c r="V95" s="21"/>
      <c r="W95" s="21"/>
      <c r="X95" s="22"/>
      <c r="Y95" s="21"/>
      <c r="Z95" s="22"/>
      <c r="AA95" s="22"/>
      <c r="AB95" s="22"/>
      <c r="AC95" s="22"/>
      <c r="AD95" s="22"/>
      <c r="AE95" s="22"/>
      <c r="AF95" s="22"/>
      <c r="AG95" s="21"/>
    </row>
    <row r="96" customFormat="false" ht="15" hidden="false" customHeight="false" outlineLevel="0" collapsed="false">
      <c r="A96" s="22"/>
      <c r="B96" s="21"/>
      <c r="C96" s="22"/>
      <c r="D96" s="22"/>
      <c r="E96" s="22"/>
      <c r="F96" s="22"/>
      <c r="G96" s="22"/>
      <c r="H96" s="22"/>
      <c r="I96" s="22"/>
      <c r="J96" s="22"/>
      <c r="K96" s="22"/>
      <c r="L96" s="25"/>
      <c r="M96" s="25"/>
      <c r="N96" s="25"/>
      <c r="O96" s="25"/>
      <c r="P96" s="24" t="str">
        <f aca="false">IFERROR(N96/O96,"")</f>
        <v/>
      </c>
      <c r="Q96" s="22"/>
      <c r="R96" s="22"/>
      <c r="S96" s="22"/>
      <c r="T96" s="22"/>
      <c r="U96" s="22"/>
      <c r="V96" s="21"/>
      <c r="W96" s="21"/>
      <c r="X96" s="22"/>
      <c r="Y96" s="21"/>
      <c r="Z96" s="22"/>
      <c r="AA96" s="22"/>
      <c r="AB96" s="22"/>
      <c r="AC96" s="22"/>
      <c r="AD96" s="22"/>
      <c r="AE96" s="22"/>
      <c r="AF96" s="22"/>
      <c r="AG96" s="21"/>
    </row>
    <row r="97" customFormat="false" ht="15" hidden="false" customHeight="false" outlineLevel="0" collapsed="false">
      <c r="A97" s="22"/>
      <c r="B97" s="21"/>
      <c r="C97" s="22"/>
      <c r="D97" s="22"/>
      <c r="E97" s="22"/>
      <c r="F97" s="22"/>
      <c r="G97" s="22"/>
      <c r="H97" s="22"/>
      <c r="I97" s="22"/>
      <c r="J97" s="22"/>
      <c r="K97" s="22"/>
      <c r="L97" s="25"/>
      <c r="M97" s="25"/>
      <c r="N97" s="25"/>
      <c r="O97" s="25"/>
      <c r="P97" s="24" t="str">
        <f aca="false">IFERROR(N97/O97,"")</f>
        <v/>
      </c>
      <c r="Q97" s="22"/>
      <c r="R97" s="22"/>
      <c r="S97" s="22"/>
      <c r="T97" s="22"/>
      <c r="U97" s="22"/>
      <c r="V97" s="21"/>
      <c r="W97" s="21"/>
      <c r="X97" s="22"/>
      <c r="Y97" s="21"/>
      <c r="Z97" s="22"/>
      <c r="AA97" s="22"/>
      <c r="AB97" s="22"/>
      <c r="AC97" s="22"/>
      <c r="AD97" s="22"/>
      <c r="AE97" s="22"/>
      <c r="AF97" s="22"/>
      <c r="AG97" s="21"/>
    </row>
    <row r="98" customFormat="false" ht="15" hidden="false" customHeight="false" outlineLevel="0" collapsed="false">
      <c r="A98" s="22"/>
      <c r="B98" s="21"/>
      <c r="C98" s="22"/>
      <c r="D98" s="22"/>
      <c r="E98" s="22"/>
      <c r="F98" s="22"/>
      <c r="G98" s="22"/>
      <c r="H98" s="22"/>
      <c r="I98" s="22"/>
      <c r="J98" s="22"/>
      <c r="K98" s="22"/>
      <c r="L98" s="25"/>
      <c r="M98" s="25"/>
      <c r="N98" s="25"/>
      <c r="O98" s="25"/>
      <c r="P98" s="24" t="str">
        <f aca="false">IFERROR(N98/O98,"")</f>
        <v/>
      </c>
      <c r="Q98" s="22"/>
      <c r="R98" s="22"/>
      <c r="S98" s="22"/>
      <c r="T98" s="22"/>
      <c r="U98" s="22"/>
      <c r="V98" s="21"/>
      <c r="W98" s="21"/>
      <c r="X98" s="22"/>
      <c r="Y98" s="21"/>
      <c r="Z98" s="22"/>
      <c r="AA98" s="22"/>
      <c r="AB98" s="22"/>
      <c r="AC98" s="22"/>
      <c r="AD98" s="22"/>
      <c r="AE98" s="22"/>
      <c r="AF98" s="22"/>
      <c r="AG98" s="21"/>
    </row>
    <row r="99" customFormat="false" ht="15" hidden="false" customHeight="false" outlineLevel="0" collapsed="false">
      <c r="A99" s="22"/>
      <c r="B99" s="21"/>
      <c r="C99" s="22"/>
      <c r="D99" s="22"/>
      <c r="E99" s="22"/>
      <c r="F99" s="22"/>
      <c r="G99" s="22"/>
      <c r="H99" s="22"/>
      <c r="I99" s="22"/>
      <c r="J99" s="22"/>
      <c r="K99" s="22"/>
      <c r="L99" s="25"/>
      <c r="M99" s="25"/>
      <c r="N99" s="25"/>
      <c r="O99" s="25"/>
      <c r="P99" s="24" t="str">
        <f aca="false">IFERROR(N99/O99,"")</f>
        <v/>
      </c>
      <c r="Q99" s="22"/>
      <c r="R99" s="22"/>
      <c r="S99" s="22"/>
      <c r="T99" s="22"/>
      <c r="U99" s="22"/>
      <c r="V99" s="21"/>
      <c r="W99" s="21"/>
      <c r="X99" s="22"/>
      <c r="Y99" s="21"/>
      <c r="Z99" s="22"/>
      <c r="AA99" s="22"/>
      <c r="AB99" s="22"/>
      <c r="AC99" s="22"/>
      <c r="AD99" s="22"/>
      <c r="AE99" s="22"/>
      <c r="AF99" s="22"/>
      <c r="AG99" s="21"/>
    </row>
    <row r="100" customFormat="false" ht="15" hidden="false" customHeight="false" outlineLevel="0" collapsed="false">
      <c r="A100" s="22"/>
      <c r="B100" s="21"/>
      <c r="C100" s="22"/>
      <c r="D100" s="22"/>
      <c r="E100" s="22"/>
      <c r="F100" s="22"/>
      <c r="G100" s="22"/>
      <c r="H100" s="22"/>
      <c r="I100" s="22"/>
      <c r="J100" s="22"/>
      <c r="K100" s="22"/>
      <c r="L100" s="25"/>
      <c r="M100" s="25"/>
      <c r="N100" s="25"/>
      <c r="O100" s="25"/>
      <c r="P100" s="24" t="str">
        <f aca="false">IFERROR(N100/O100,"")</f>
        <v/>
      </c>
      <c r="Q100" s="22"/>
      <c r="R100" s="22"/>
      <c r="S100" s="22"/>
      <c r="T100" s="22"/>
      <c r="U100" s="22"/>
      <c r="V100" s="21"/>
      <c r="W100" s="21"/>
      <c r="X100" s="22"/>
      <c r="Y100" s="21"/>
      <c r="Z100" s="22"/>
      <c r="AA100" s="22"/>
      <c r="AB100" s="22"/>
      <c r="AC100" s="22"/>
      <c r="AD100" s="22"/>
      <c r="AE100" s="22"/>
      <c r="AF100" s="22"/>
      <c r="AG100" s="21"/>
    </row>
    <row r="101" customFormat="false" ht="15" hidden="false" customHeight="false" outlineLevel="0" collapsed="false">
      <c r="A101" s="22"/>
      <c r="B101" s="21"/>
      <c r="C101" s="22"/>
      <c r="D101" s="22"/>
      <c r="E101" s="22"/>
      <c r="F101" s="22"/>
      <c r="G101" s="22"/>
      <c r="H101" s="22"/>
      <c r="I101" s="22"/>
      <c r="J101" s="22"/>
      <c r="K101" s="22"/>
      <c r="L101" s="25"/>
      <c r="M101" s="25"/>
      <c r="N101" s="25"/>
      <c r="O101" s="25"/>
      <c r="P101" s="24" t="str">
        <f aca="false">IFERROR(N101/O101,"")</f>
        <v/>
      </c>
      <c r="Q101" s="22"/>
      <c r="R101" s="22"/>
      <c r="S101" s="22"/>
      <c r="T101" s="22"/>
      <c r="U101" s="22"/>
      <c r="V101" s="21"/>
      <c r="W101" s="21"/>
      <c r="X101" s="22"/>
      <c r="Y101" s="21"/>
      <c r="Z101" s="22"/>
      <c r="AA101" s="22"/>
      <c r="AB101" s="22"/>
      <c r="AC101" s="22"/>
      <c r="AD101" s="22"/>
      <c r="AE101" s="22"/>
      <c r="AF101" s="22"/>
      <c r="AG101" s="21"/>
    </row>
    <row r="102" customFormat="false" ht="15" hidden="false" customHeight="false" outlineLevel="0" collapsed="false">
      <c r="A102" s="22"/>
      <c r="B102" s="21"/>
      <c r="C102" s="22"/>
      <c r="D102" s="22"/>
      <c r="E102" s="22"/>
      <c r="F102" s="22"/>
      <c r="G102" s="22"/>
      <c r="H102" s="22"/>
      <c r="I102" s="22"/>
      <c r="J102" s="22"/>
      <c r="K102" s="22"/>
      <c r="L102" s="25"/>
      <c r="M102" s="25"/>
      <c r="N102" s="25"/>
      <c r="O102" s="25"/>
      <c r="P102" s="24" t="str">
        <f aca="false">IFERROR(N102/O102,"")</f>
        <v/>
      </c>
      <c r="Q102" s="22"/>
      <c r="R102" s="22"/>
      <c r="S102" s="22"/>
      <c r="T102" s="22"/>
      <c r="U102" s="22"/>
      <c r="V102" s="21"/>
      <c r="W102" s="21"/>
      <c r="X102" s="22"/>
      <c r="Y102" s="21"/>
      <c r="Z102" s="22"/>
      <c r="AA102" s="22"/>
      <c r="AB102" s="22"/>
      <c r="AC102" s="22"/>
      <c r="AD102" s="22"/>
      <c r="AE102" s="22"/>
      <c r="AF102" s="22"/>
      <c r="AG102" s="21"/>
    </row>
    <row r="103" customFormat="false" ht="15" hidden="false" customHeight="false" outlineLevel="0" collapsed="false">
      <c r="A103" s="22"/>
      <c r="B103" s="21"/>
      <c r="C103" s="22"/>
      <c r="D103" s="22"/>
      <c r="E103" s="22"/>
      <c r="F103" s="22"/>
      <c r="G103" s="22"/>
      <c r="H103" s="22"/>
      <c r="I103" s="22"/>
      <c r="J103" s="22"/>
      <c r="K103" s="22"/>
      <c r="L103" s="25"/>
      <c r="M103" s="25"/>
      <c r="N103" s="25"/>
      <c r="O103" s="25"/>
      <c r="P103" s="24" t="str">
        <f aca="false">IFERROR(N103/O103,"")</f>
        <v/>
      </c>
      <c r="Q103" s="22"/>
      <c r="R103" s="22"/>
      <c r="S103" s="22"/>
      <c r="T103" s="22"/>
      <c r="U103" s="22"/>
      <c r="V103" s="21"/>
      <c r="W103" s="21"/>
      <c r="X103" s="22"/>
      <c r="Y103" s="21"/>
      <c r="Z103" s="22"/>
      <c r="AA103" s="22"/>
      <c r="AB103" s="22"/>
      <c r="AC103" s="22"/>
      <c r="AD103" s="22"/>
      <c r="AE103" s="22"/>
      <c r="AF103" s="22"/>
      <c r="AG103" s="21"/>
    </row>
    <row r="104" customFormat="false" ht="15" hidden="false" customHeight="false" outlineLevel="0" collapsed="false">
      <c r="A104" s="22"/>
      <c r="B104" s="21"/>
      <c r="C104" s="22"/>
      <c r="D104" s="22"/>
      <c r="E104" s="22"/>
      <c r="F104" s="22"/>
      <c r="G104" s="22"/>
      <c r="H104" s="22"/>
      <c r="I104" s="22"/>
      <c r="J104" s="22"/>
      <c r="K104" s="22"/>
      <c r="L104" s="25"/>
      <c r="M104" s="25"/>
      <c r="N104" s="25"/>
      <c r="O104" s="25"/>
      <c r="P104" s="24" t="str">
        <f aca="false">IFERROR(N104/O104,"")</f>
        <v/>
      </c>
      <c r="Q104" s="22"/>
      <c r="R104" s="22"/>
      <c r="S104" s="22"/>
      <c r="T104" s="22"/>
      <c r="U104" s="22"/>
      <c r="V104" s="21"/>
      <c r="W104" s="21"/>
      <c r="X104" s="22"/>
      <c r="Y104" s="21"/>
      <c r="Z104" s="22"/>
      <c r="AA104" s="22"/>
      <c r="AB104" s="22"/>
      <c r="AC104" s="22"/>
      <c r="AD104" s="22"/>
      <c r="AE104" s="22"/>
      <c r="AF104" s="22"/>
      <c r="AG104" s="21"/>
    </row>
    <row r="105" customFormat="false" ht="15" hidden="false" customHeight="false" outlineLevel="0" collapsed="false">
      <c r="A105" s="22"/>
      <c r="B105" s="21"/>
      <c r="C105" s="22"/>
      <c r="D105" s="22"/>
      <c r="E105" s="22"/>
      <c r="F105" s="22"/>
      <c r="G105" s="22"/>
      <c r="H105" s="22"/>
      <c r="I105" s="22"/>
      <c r="J105" s="22"/>
      <c r="K105" s="22"/>
      <c r="L105" s="25"/>
      <c r="M105" s="25"/>
      <c r="N105" s="25"/>
      <c r="O105" s="25"/>
      <c r="P105" s="24" t="str">
        <f aca="false">IFERROR(N105/O105,"")</f>
        <v/>
      </c>
      <c r="Q105" s="22"/>
      <c r="R105" s="22"/>
      <c r="S105" s="22"/>
      <c r="T105" s="22"/>
      <c r="U105" s="22"/>
      <c r="V105" s="21"/>
      <c r="W105" s="21"/>
      <c r="X105" s="22"/>
      <c r="Y105" s="21"/>
      <c r="Z105" s="22"/>
      <c r="AA105" s="22"/>
      <c r="AB105" s="22"/>
      <c r="AC105" s="22"/>
      <c r="AD105" s="22"/>
      <c r="AE105" s="22"/>
      <c r="AF105" s="22"/>
      <c r="AG105" s="21"/>
    </row>
    <row r="106" customFormat="false" ht="15" hidden="false" customHeight="false" outlineLevel="0" collapsed="false">
      <c r="A106" s="22"/>
      <c r="B106" s="21"/>
      <c r="C106" s="22"/>
      <c r="D106" s="22"/>
      <c r="E106" s="22"/>
      <c r="F106" s="22"/>
      <c r="G106" s="22"/>
      <c r="H106" s="22"/>
      <c r="I106" s="22"/>
      <c r="J106" s="22"/>
      <c r="K106" s="22"/>
      <c r="L106" s="25"/>
      <c r="M106" s="25"/>
      <c r="N106" s="25"/>
      <c r="O106" s="25"/>
      <c r="P106" s="24" t="str">
        <f aca="false">IFERROR(N106/O106,"")</f>
        <v/>
      </c>
      <c r="Q106" s="22"/>
      <c r="R106" s="22"/>
      <c r="S106" s="22"/>
      <c r="T106" s="22"/>
      <c r="U106" s="22"/>
      <c r="V106" s="21"/>
      <c r="W106" s="21"/>
      <c r="X106" s="22"/>
      <c r="Y106" s="21"/>
      <c r="Z106" s="22"/>
      <c r="AA106" s="22"/>
      <c r="AB106" s="22"/>
      <c r="AC106" s="22"/>
      <c r="AD106" s="22"/>
      <c r="AE106" s="22"/>
      <c r="AF106" s="22"/>
      <c r="AG106" s="21"/>
    </row>
    <row r="107" customFormat="false" ht="15" hidden="false" customHeight="false" outlineLevel="0" collapsed="false">
      <c r="A107" s="22"/>
      <c r="B107" s="21"/>
      <c r="C107" s="22"/>
      <c r="D107" s="22"/>
      <c r="E107" s="22"/>
      <c r="F107" s="22"/>
      <c r="G107" s="22"/>
      <c r="H107" s="22"/>
      <c r="I107" s="22"/>
      <c r="J107" s="22"/>
      <c r="K107" s="22"/>
      <c r="L107" s="25"/>
      <c r="M107" s="25"/>
      <c r="N107" s="25"/>
      <c r="O107" s="25"/>
      <c r="P107" s="24" t="str">
        <f aca="false">IFERROR(N107/O107,"")</f>
        <v/>
      </c>
      <c r="Q107" s="22"/>
      <c r="R107" s="22"/>
      <c r="S107" s="22"/>
      <c r="T107" s="22"/>
      <c r="U107" s="22"/>
      <c r="V107" s="21"/>
      <c r="W107" s="21"/>
      <c r="X107" s="22"/>
      <c r="Y107" s="21"/>
      <c r="Z107" s="22"/>
      <c r="AA107" s="22"/>
      <c r="AB107" s="22"/>
      <c r="AC107" s="22"/>
      <c r="AD107" s="22"/>
      <c r="AE107" s="22"/>
      <c r="AF107" s="22"/>
      <c r="AG107" s="21"/>
    </row>
    <row r="108" customFormat="false" ht="15" hidden="false" customHeight="false" outlineLevel="0" collapsed="false">
      <c r="A108" s="22"/>
      <c r="B108" s="21"/>
      <c r="C108" s="22"/>
      <c r="D108" s="22"/>
      <c r="E108" s="22"/>
      <c r="F108" s="22"/>
      <c r="G108" s="22"/>
      <c r="H108" s="22"/>
      <c r="I108" s="22"/>
      <c r="J108" s="22"/>
      <c r="K108" s="22"/>
      <c r="L108" s="25"/>
      <c r="M108" s="25"/>
      <c r="N108" s="25"/>
      <c r="O108" s="25"/>
      <c r="P108" s="24" t="str">
        <f aca="false">IFERROR(N108/O108,"")</f>
        <v/>
      </c>
      <c r="Q108" s="22"/>
      <c r="R108" s="22"/>
      <c r="S108" s="22"/>
      <c r="T108" s="22"/>
      <c r="U108" s="22"/>
      <c r="V108" s="21"/>
      <c r="W108" s="21"/>
      <c r="X108" s="22"/>
      <c r="Y108" s="21"/>
      <c r="Z108" s="22"/>
      <c r="AA108" s="22"/>
      <c r="AB108" s="22"/>
      <c r="AC108" s="22"/>
      <c r="AD108" s="22"/>
      <c r="AE108" s="22"/>
      <c r="AF108" s="22"/>
      <c r="AG108" s="21"/>
    </row>
    <row r="109" customFormat="false" ht="15" hidden="false" customHeight="false" outlineLevel="0" collapsed="false">
      <c r="A109" s="22"/>
      <c r="B109" s="21"/>
      <c r="C109" s="22"/>
      <c r="D109" s="22"/>
      <c r="E109" s="22"/>
      <c r="F109" s="22"/>
      <c r="G109" s="22"/>
      <c r="H109" s="22"/>
      <c r="I109" s="22"/>
      <c r="J109" s="22"/>
      <c r="K109" s="22"/>
      <c r="L109" s="25"/>
      <c r="M109" s="25"/>
      <c r="N109" s="25"/>
      <c r="O109" s="25"/>
      <c r="P109" s="24" t="str">
        <f aca="false">IFERROR(N109/O109,"")</f>
        <v/>
      </c>
      <c r="Q109" s="22"/>
      <c r="R109" s="22"/>
      <c r="S109" s="22"/>
      <c r="T109" s="22"/>
      <c r="U109" s="22"/>
      <c r="V109" s="21"/>
      <c r="W109" s="21"/>
      <c r="X109" s="22"/>
      <c r="Y109" s="21"/>
      <c r="Z109" s="22"/>
      <c r="AA109" s="22"/>
      <c r="AB109" s="22"/>
      <c r="AC109" s="22"/>
      <c r="AD109" s="22"/>
      <c r="AE109" s="22"/>
      <c r="AF109" s="22"/>
      <c r="AG109" s="21"/>
    </row>
    <row r="110" customFormat="false" ht="15" hidden="false" customHeight="false" outlineLevel="0" collapsed="false">
      <c r="A110" s="22"/>
      <c r="B110" s="21"/>
      <c r="C110" s="22"/>
      <c r="D110" s="22"/>
      <c r="E110" s="22"/>
      <c r="F110" s="22"/>
      <c r="G110" s="22"/>
      <c r="H110" s="22"/>
      <c r="I110" s="22"/>
      <c r="J110" s="22"/>
      <c r="K110" s="22"/>
      <c r="L110" s="25"/>
      <c r="M110" s="25"/>
      <c r="N110" s="25"/>
      <c r="O110" s="25"/>
      <c r="P110" s="24" t="str">
        <f aca="false">IFERROR(N110/O110,"")</f>
        <v/>
      </c>
      <c r="Q110" s="22"/>
      <c r="R110" s="22"/>
      <c r="S110" s="22"/>
      <c r="T110" s="22"/>
      <c r="U110" s="22"/>
      <c r="V110" s="21"/>
      <c r="W110" s="21"/>
      <c r="X110" s="22"/>
      <c r="Y110" s="21"/>
      <c r="Z110" s="22"/>
      <c r="AA110" s="22"/>
      <c r="AB110" s="22"/>
      <c r="AC110" s="22"/>
      <c r="AD110" s="22"/>
      <c r="AE110" s="22"/>
      <c r="AF110" s="22"/>
      <c r="AG110" s="21"/>
    </row>
    <row r="111" customFormat="false" ht="15" hidden="false" customHeight="false" outlineLevel="0" collapsed="false">
      <c r="A111" s="22"/>
      <c r="B111" s="21"/>
      <c r="C111" s="22"/>
      <c r="D111" s="22"/>
      <c r="E111" s="22"/>
      <c r="F111" s="22"/>
      <c r="G111" s="22"/>
      <c r="H111" s="22"/>
      <c r="I111" s="22"/>
      <c r="J111" s="22"/>
      <c r="K111" s="22"/>
      <c r="L111" s="25"/>
      <c r="M111" s="25"/>
      <c r="N111" s="25"/>
      <c r="O111" s="25"/>
      <c r="P111" s="24" t="str">
        <f aca="false">IFERROR(N111/O111,"")</f>
        <v/>
      </c>
      <c r="Q111" s="22"/>
      <c r="R111" s="22"/>
      <c r="S111" s="22"/>
      <c r="T111" s="22"/>
      <c r="U111" s="22"/>
      <c r="V111" s="21"/>
      <c r="W111" s="21"/>
      <c r="X111" s="22"/>
      <c r="Y111" s="21"/>
      <c r="Z111" s="22"/>
      <c r="AA111" s="22"/>
      <c r="AB111" s="22"/>
      <c r="AC111" s="22"/>
      <c r="AD111" s="22"/>
      <c r="AE111" s="22"/>
      <c r="AF111" s="22"/>
      <c r="AG111" s="21"/>
    </row>
    <row r="112" customFormat="false" ht="15" hidden="false" customHeight="false" outlineLevel="0" collapsed="false">
      <c r="A112" s="22"/>
      <c r="B112" s="21"/>
      <c r="C112" s="22"/>
      <c r="D112" s="22"/>
      <c r="E112" s="22"/>
      <c r="F112" s="22"/>
      <c r="G112" s="22"/>
      <c r="H112" s="22"/>
      <c r="I112" s="22"/>
      <c r="J112" s="22"/>
      <c r="K112" s="22"/>
      <c r="L112" s="25"/>
      <c r="M112" s="25"/>
      <c r="N112" s="25"/>
      <c r="O112" s="25"/>
      <c r="P112" s="24" t="str">
        <f aca="false">IFERROR(N112/O112,"")</f>
        <v/>
      </c>
      <c r="Q112" s="22"/>
      <c r="R112" s="22"/>
      <c r="S112" s="22"/>
      <c r="T112" s="22"/>
      <c r="U112" s="22"/>
      <c r="V112" s="21"/>
      <c r="W112" s="21"/>
      <c r="X112" s="22"/>
      <c r="Y112" s="21"/>
      <c r="Z112" s="22"/>
      <c r="AA112" s="22"/>
      <c r="AB112" s="22"/>
      <c r="AC112" s="22"/>
      <c r="AD112" s="22"/>
      <c r="AE112" s="22"/>
      <c r="AF112" s="22"/>
      <c r="AG112" s="21"/>
    </row>
    <row r="113" customFormat="false" ht="15" hidden="false" customHeight="false" outlineLevel="0" collapsed="false">
      <c r="A113" s="22"/>
      <c r="B113" s="21"/>
      <c r="C113" s="22"/>
      <c r="D113" s="22"/>
      <c r="E113" s="22"/>
      <c r="F113" s="22"/>
      <c r="G113" s="22"/>
      <c r="H113" s="22"/>
      <c r="I113" s="22"/>
      <c r="J113" s="22"/>
      <c r="K113" s="22"/>
      <c r="L113" s="25"/>
      <c r="M113" s="25"/>
      <c r="N113" s="25"/>
      <c r="O113" s="25"/>
      <c r="P113" s="24" t="str">
        <f aca="false">IFERROR(N113/O113,"")</f>
        <v/>
      </c>
      <c r="Q113" s="22"/>
      <c r="R113" s="22"/>
      <c r="S113" s="22"/>
      <c r="T113" s="22"/>
      <c r="U113" s="22"/>
      <c r="V113" s="21"/>
      <c r="W113" s="21"/>
      <c r="X113" s="22"/>
      <c r="Y113" s="21"/>
      <c r="Z113" s="22"/>
      <c r="AA113" s="22"/>
      <c r="AB113" s="22"/>
      <c r="AC113" s="22"/>
      <c r="AD113" s="22"/>
      <c r="AE113" s="22"/>
      <c r="AF113" s="22"/>
      <c r="AG113" s="21"/>
    </row>
    <row r="114" customFormat="false" ht="15" hidden="false" customHeight="false" outlineLevel="0" collapsed="false">
      <c r="A114" s="22"/>
      <c r="B114" s="21"/>
      <c r="C114" s="22"/>
      <c r="D114" s="22"/>
      <c r="E114" s="22"/>
      <c r="F114" s="22"/>
      <c r="G114" s="22"/>
      <c r="H114" s="22"/>
      <c r="I114" s="22"/>
      <c r="J114" s="22"/>
      <c r="K114" s="22"/>
      <c r="L114" s="25"/>
      <c r="M114" s="25"/>
      <c r="N114" s="25"/>
      <c r="O114" s="25"/>
      <c r="P114" s="24" t="str">
        <f aca="false">IFERROR(N114/O114,"")</f>
        <v/>
      </c>
      <c r="Q114" s="22"/>
      <c r="R114" s="22"/>
      <c r="S114" s="22"/>
      <c r="T114" s="22"/>
      <c r="U114" s="22"/>
      <c r="V114" s="21"/>
      <c r="W114" s="21"/>
      <c r="X114" s="22"/>
      <c r="Y114" s="21"/>
      <c r="Z114" s="22"/>
      <c r="AA114" s="22"/>
      <c r="AB114" s="22"/>
      <c r="AC114" s="22"/>
      <c r="AD114" s="22"/>
      <c r="AE114" s="22"/>
      <c r="AF114" s="22"/>
      <c r="AG114" s="21"/>
    </row>
    <row r="115" customFormat="false" ht="15" hidden="false" customHeight="false" outlineLevel="0" collapsed="false">
      <c r="A115" s="22"/>
      <c r="B115" s="21"/>
      <c r="C115" s="22"/>
      <c r="D115" s="22"/>
      <c r="E115" s="22"/>
      <c r="F115" s="22"/>
      <c r="G115" s="22"/>
      <c r="H115" s="22"/>
      <c r="I115" s="22"/>
      <c r="J115" s="22"/>
      <c r="K115" s="22"/>
      <c r="L115" s="25"/>
      <c r="M115" s="25"/>
      <c r="N115" s="25"/>
      <c r="O115" s="25"/>
      <c r="P115" s="24" t="str">
        <f aca="false">IFERROR(N115/O115,"")</f>
        <v/>
      </c>
      <c r="Q115" s="22"/>
      <c r="R115" s="22"/>
      <c r="S115" s="22"/>
      <c r="T115" s="22"/>
      <c r="U115" s="22"/>
      <c r="V115" s="21"/>
      <c r="W115" s="21"/>
      <c r="X115" s="22"/>
      <c r="Y115" s="21"/>
      <c r="Z115" s="22"/>
      <c r="AA115" s="22"/>
      <c r="AB115" s="22"/>
      <c r="AC115" s="22"/>
      <c r="AD115" s="22"/>
      <c r="AE115" s="22"/>
      <c r="AF115" s="22"/>
      <c r="AG115" s="21"/>
    </row>
    <row r="116" customFormat="false" ht="15" hidden="false" customHeight="false" outlineLevel="0" collapsed="false">
      <c r="A116" s="22"/>
      <c r="B116" s="21"/>
      <c r="C116" s="22"/>
      <c r="D116" s="22"/>
      <c r="E116" s="22"/>
      <c r="F116" s="22"/>
      <c r="G116" s="22"/>
      <c r="H116" s="22"/>
      <c r="I116" s="22"/>
      <c r="J116" s="22"/>
      <c r="K116" s="22"/>
      <c r="L116" s="25"/>
      <c r="M116" s="25"/>
      <c r="N116" s="25"/>
      <c r="O116" s="25"/>
      <c r="P116" s="24" t="str">
        <f aca="false">IFERROR(N116/O116,"")</f>
        <v/>
      </c>
      <c r="Q116" s="22"/>
      <c r="R116" s="22"/>
      <c r="S116" s="22"/>
      <c r="T116" s="22"/>
      <c r="U116" s="22"/>
      <c r="V116" s="21"/>
      <c r="W116" s="21"/>
      <c r="X116" s="22"/>
      <c r="Y116" s="21"/>
      <c r="Z116" s="22"/>
      <c r="AA116" s="22"/>
      <c r="AB116" s="22"/>
      <c r="AC116" s="22"/>
      <c r="AD116" s="22"/>
      <c r="AE116" s="22"/>
      <c r="AF116" s="22"/>
      <c r="AG116" s="21"/>
    </row>
    <row r="117" customFormat="false" ht="15" hidden="false" customHeight="false" outlineLevel="0" collapsed="false">
      <c r="A117" s="22"/>
      <c r="B117" s="21"/>
      <c r="C117" s="22"/>
      <c r="D117" s="22"/>
      <c r="E117" s="22"/>
      <c r="F117" s="22"/>
      <c r="G117" s="22"/>
      <c r="H117" s="22"/>
      <c r="I117" s="22"/>
      <c r="J117" s="22"/>
      <c r="K117" s="22"/>
      <c r="L117" s="25"/>
      <c r="M117" s="25"/>
      <c r="N117" s="25"/>
      <c r="O117" s="25"/>
      <c r="P117" s="24" t="str">
        <f aca="false">IFERROR(N117/O117,"")</f>
        <v/>
      </c>
      <c r="Q117" s="22"/>
      <c r="R117" s="22"/>
      <c r="S117" s="22"/>
      <c r="T117" s="22"/>
      <c r="U117" s="22"/>
      <c r="V117" s="21"/>
      <c r="W117" s="21"/>
      <c r="X117" s="22"/>
      <c r="Y117" s="21"/>
      <c r="Z117" s="22"/>
      <c r="AA117" s="22"/>
      <c r="AB117" s="22"/>
      <c r="AC117" s="22"/>
      <c r="AD117" s="22"/>
      <c r="AE117" s="22"/>
      <c r="AF117" s="22"/>
      <c r="AG117" s="21"/>
    </row>
    <row r="118" customFormat="false" ht="15" hidden="false" customHeight="false" outlineLevel="0" collapsed="false">
      <c r="A118" s="22"/>
      <c r="B118" s="21"/>
      <c r="C118" s="22"/>
      <c r="D118" s="22"/>
      <c r="E118" s="22"/>
      <c r="F118" s="22"/>
      <c r="G118" s="22"/>
      <c r="H118" s="22"/>
      <c r="I118" s="22"/>
      <c r="J118" s="22"/>
      <c r="K118" s="22"/>
      <c r="L118" s="25"/>
      <c r="M118" s="25"/>
      <c r="N118" s="25"/>
      <c r="O118" s="25"/>
      <c r="P118" s="24" t="str">
        <f aca="false">IFERROR(N118/O118,"")</f>
        <v/>
      </c>
      <c r="Q118" s="22"/>
      <c r="R118" s="22"/>
      <c r="S118" s="22"/>
      <c r="T118" s="22"/>
      <c r="U118" s="22"/>
      <c r="V118" s="21"/>
      <c r="W118" s="21"/>
      <c r="X118" s="22"/>
      <c r="Y118" s="21"/>
      <c r="Z118" s="22"/>
      <c r="AA118" s="22"/>
      <c r="AB118" s="22"/>
      <c r="AC118" s="22"/>
      <c r="AD118" s="22"/>
      <c r="AE118" s="22"/>
      <c r="AF118" s="22"/>
      <c r="AG118" s="21"/>
    </row>
    <row r="119" customFormat="false" ht="15" hidden="false" customHeight="false" outlineLevel="0" collapsed="false">
      <c r="A119" s="22"/>
      <c r="B119" s="21"/>
      <c r="C119" s="22"/>
      <c r="D119" s="22"/>
      <c r="E119" s="22"/>
      <c r="F119" s="22"/>
      <c r="G119" s="22"/>
      <c r="H119" s="22"/>
      <c r="I119" s="22"/>
      <c r="J119" s="22"/>
      <c r="K119" s="22"/>
      <c r="L119" s="25"/>
      <c r="M119" s="25"/>
      <c r="N119" s="25"/>
      <c r="O119" s="25"/>
      <c r="P119" s="24" t="str">
        <f aca="false">IFERROR(N119/O119,"")</f>
        <v/>
      </c>
      <c r="Q119" s="22"/>
      <c r="R119" s="22"/>
      <c r="S119" s="22"/>
      <c r="T119" s="22"/>
      <c r="U119" s="22"/>
      <c r="V119" s="21"/>
      <c r="W119" s="21"/>
      <c r="X119" s="22"/>
      <c r="Y119" s="21"/>
      <c r="Z119" s="22"/>
      <c r="AA119" s="22"/>
      <c r="AB119" s="22"/>
      <c r="AC119" s="22"/>
      <c r="AD119" s="22"/>
      <c r="AE119" s="22"/>
      <c r="AF119" s="22"/>
      <c r="AG119" s="21"/>
    </row>
    <row r="120" customFormat="false" ht="15" hidden="false" customHeight="false" outlineLevel="0" collapsed="false">
      <c r="A120" s="22"/>
      <c r="B120" s="21"/>
      <c r="C120" s="22"/>
      <c r="D120" s="22"/>
      <c r="E120" s="22"/>
      <c r="F120" s="22"/>
      <c r="G120" s="22"/>
      <c r="H120" s="22"/>
      <c r="I120" s="22"/>
      <c r="J120" s="22"/>
      <c r="K120" s="22"/>
      <c r="L120" s="25"/>
      <c r="M120" s="25"/>
      <c r="N120" s="25"/>
      <c r="O120" s="25"/>
      <c r="P120" s="24" t="str">
        <f aca="false">IFERROR(N120/O120,"")</f>
        <v/>
      </c>
      <c r="Q120" s="22"/>
      <c r="R120" s="22"/>
      <c r="S120" s="22"/>
      <c r="T120" s="22"/>
      <c r="U120" s="22"/>
      <c r="V120" s="21"/>
      <c r="W120" s="21"/>
      <c r="X120" s="22"/>
      <c r="Y120" s="21"/>
      <c r="Z120" s="22"/>
      <c r="AA120" s="22"/>
      <c r="AB120" s="22"/>
      <c r="AC120" s="22"/>
      <c r="AD120" s="22"/>
      <c r="AE120" s="22"/>
      <c r="AF120" s="22"/>
      <c r="AG120" s="21"/>
    </row>
    <row r="121" customFormat="false" ht="15" hidden="false" customHeight="false" outlineLevel="0" collapsed="false">
      <c r="A121" s="22"/>
      <c r="B121" s="21"/>
      <c r="C121" s="22"/>
      <c r="D121" s="22"/>
      <c r="E121" s="22"/>
      <c r="F121" s="22"/>
      <c r="G121" s="22"/>
      <c r="H121" s="22"/>
      <c r="I121" s="22"/>
      <c r="J121" s="22"/>
      <c r="K121" s="22"/>
      <c r="L121" s="25"/>
      <c r="M121" s="25"/>
      <c r="N121" s="25"/>
      <c r="O121" s="25"/>
      <c r="P121" s="24" t="str">
        <f aca="false">IFERROR(N121/O121,"")</f>
        <v/>
      </c>
      <c r="Q121" s="22"/>
      <c r="R121" s="22"/>
      <c r="S121" s="22"/>
      <c r="T121" s="22"/>
      <c r="U121" s="22"/>
      <c r="V121" s="21"/>
      <c r="W121" s="21"/>
      <c r="X121" s="22"/>
      <c r="Y121" s="21"/>
      <c r="Z121" s="22"/>
      <c r="AA121" s="22"/>
      <c r="AB121" s="22"/>
      <c r="AC121" s="22"/>
      <c r="AD121" s="22"/>
      <c r="AE121" s="22"/>
      <c r="AF121" s="22"/>
      <c r="AG121" s="21"/>
    </row>
    <row r="122" customFormat="false" ht="15" hidden="false" customHeight="false" outlineLevel="0" collapsed="false">
      <c r="A122" s="22"/>
      <c r="B122" s="21"/>
      <c r="C122" s="22"/>
      <c r="D122" s="22"/>
      <c r="E122" s="22"/>
      <c r="F122" s="22"/>
      <c r="G122" s="22"/>
      <c r="H122" s="22"/>
      <c r="I122" s="22"/>
      <c r="J122" s="22"/>
      <c r="K122" s="22"/>
      <c r="L122" s="25"/>
      <c r="M122" s="25"/>
      <c r="N122" s="25"/>
      <c r="O122" s="25"/>
      <c r="P122" s="24" t="str">
        <f aca="false">IFERROR(N122/O122,"")</f>
        <v/>
      </c>
      <c r="Q122" s="22"/>
      <c r="R122" s="22"/>
      <c r="S122" s="22"/>
      <c r="T122" s="22"/>
      <c r="U122" s="22"/>
      <c r="V122" s="21"/>
      <c r="W122" s="21"/>
      <c r="X122" s="22"/>
      <c r="Y122" s="21"/>
      <c r="Z122" s="22"/>
      <c r="AA122" s="22"/>
      <c r="AB122" s="22"/>
      <c r="AC122" s="22"/>
      <c r="AD122" s="22"/>
      <c r="AE122" s="22"/>
      <c r="AF122" s="22"/>
      <c r="AG122" s="21"/>
    </row>
    <row r="123" customFormat="false" ht="15" hidden="false" customHeight="false" outlineLevel="0" collapsed="false">
      <c r="A123" s="22"/>
      <c r="B123" s="21"/>
      <c r="C123" s="22"/>
      <c r="D123" s="22"/>
      <c r="E123" s="22"/>
      <c r="F123" s="22"/>
      <c r="G123" s="22"/>
      <c r="H123" s="22"/>
      <c r="I123" s="22"/>
      <c r="J123" s="22"/>
      <c r="K123" s="22"/>
      <c r="L123" s="25"/>
      <c r="M123" s="25"/>
      <c r="N123" s="25"/>
      <c r="O123" s="25"/>
      <c r="P123" s="24" t="str">
        <f aca="false">IFERROR(N123/O123,"")</f>
        <v/>
      </c>
      <c r="Q123" s="22"/>
      <c r="R123" s="22"/>
      <c r="S123" s="22"/>
      <c r="T123" s="22"/>
      <c r="U123" s="22"/>
      <c r="V123" s="21"/>
      <c r="W123" s="21"/>
      <c r="X123" s="22"/>
      <c r="Y123" s="21"/>
      <c r="Z123" s="22"/>
      <c r="AA123" s="22"/>
      <c r="AB123" s="22"/>
      <c r="AC123" s="22"/>
      <c r="AD123" s="22"/>
      <c r="AE123" s="22"/>
      <c r="AF123" s="22"/>
      <c r="AG123" s="21"/>
    </row>
    <row r="124" customFormat="false" ht="15" hidden="false" customHeight="false" outlineLevel="0" collapsed="false">
      <c r="A124" s="22"/>
      <c r="B124" s="21"/>
      <c r="C124" s="22"/>
      <c r="D124" s="22"/>
      <c r="E124" s="22"/>
      <c r="F124" s="22"/>
      <c r="G124" s="22"/>
      <c r="H124" s="22"/>
      <c r="I124" s="22"/>
      <c r="J124" s="22"/>
      <c r="K124" s="22"/>
      <c r="L124" s="25"/>
      <c r="M124" s="25"/>
      <c r="N124" s="25"/>
      <c r="O124" s="25"/>
      <c r="P124" s="24" t="str">
        <f aca="false">IFERROR(N124/O124,"")</f>
        <v/>
      </c>
      <c r="Q124" s="22"/>
      <c r="R124" s="22"/>
      <c r="S124" s="22"/>
      <c r="T124" s="22"/>
      <c r="U124" s="22"/>
      <c r="V124" s="21"/>
      <c r="W124" s="21"/>
      <c r="X124" s="22"/>
      <c r="Y124" s="21"/>
      <c r="Z124" s="22"/>
      <c r="AA124" s="22"/>
      <c r="AB124" s="22"/>
      <c r="AC124" s="22"/>
      <c r="AD124" s="22"/>
      <c r="AE124" s="22"/>
      <c r="AF124" s="22"/>
      <c r="AG124" s="21"/>
    </row>
    <row r="125" customFormat="false" ht="15" hidden="false" customHeight="false" outlineLevel="0" collapsed="false">
      <c r="A125" s="22"/>
      <c r="B125" s="21"/>
      <c r="C125" s="22"/>
      <c r="D125" s="22"/>
      <c r="E125" s="22"/>
      <c r="F125" s="22"/>
      <c r="G125" s="22"/>
      <c r="H125" s="22"/>
      <c r="I125" s="22"/>
      <c r="J125" s="22"/>
      <c r="K125" s="22"/>
      <c r="L125" s="25"/>
      <c r="M125" s="25"/>
      <c r="N125" s="25"/>
      <c r="O125" s="25"/>
      <c r="P125" s="24" t="str">
        <f aca="false">IFERROR(N125/O125,"")</f>
        <v/>
      </c>
      <c r="Q125" s="22"/>
      <c r="R125" s="22"/>
      <c r="S125" s="22"/>
      <c r="T125" s="22"/>
      <c r="U125" s="22"/>
      <c r="V125" s="21"/>
      <c r="W125" s="21"/>
      <c r="X125" s="22"/>
      <c r="Y125" s="21"/>
      <c r="Z125" s="22"/>
      <c r="AA125" s="22"/>
      <c r="AB125" s="22"/>
      <c r="AC125" s="22"/>
      <c r="AD125" s="22"/>
      <c r="AE125" s="22"/>
      <c r="AF125" s="22"/>
      <c r="AG125" s="21"/>
    </row>
    <row r="126" customFormat="false" ht="15" hidden="false" customHeight="false" outlineLevel="0" collapsed="false">
      <c r="A126" s="22"/>
      <c r="B126" s="21"/>
      <c r="C126" s="22"/>
      <c r="D126" s="22"/>
      <c r="E126" s="22"/>
      <c r="F126" s="22"/>
      <c r="G126" s="22"/>
      <c r="H126" s="22"/>
      <c r="I126" s="22"/>
      <c r="J126" s="22"/>
      <c r="K126" s="22"/>
      <c r="L126" s="25"/>
      <c r="M126" s="25"/>
      <c r="N126" s="25"/>
      <c r="O126" s="25"/>
      <c r="P126" s="24" t="str">
        <f aca="false">IFERROR(N126/O126,"")</f>
        <v/>
      </c>
      <c r="Q126" s="22"/>
      <c r="R126" s="22"/>
      <c r="S126" s="22"/>
      <c r="T126" s="22"/>
      <c r="U126" s="22"/>
      <c r="V126" s="21"/>
      <c r="W126" s="21"/>
      <c r="X126" s="22"/>
      <c r="Y126" s="21"/>
      <c r="Z126" s="22"/>
      <c r="AA126" s="22"/>
      <c r="AB126" s="22"/>
      <c r="AC126" s="22"/>
      <c r="AD126" s="22"/>
      <c r="AE126" s="22"/>
      <c r="AF126" s="22"/>
      <c r="AG126" s="21"/>
    </row>
    <row r="127" customFormat="false" ht="15" hidden="false" customHeight="false" outlineLevel="0" collapsed="false">
      <c r="A127" s="22"/>
      <c r="B127" s="21"/>
      <c r="C127" s="22"/>
      <c r="D127" s="22"/>
      <c r="E127" s="22"/>
      <c r="F127" s="22"/>
      <c r="G127" s="22"/>
      <c r="H127" s="22"/>
      <c r="I127" s="22"/>
      <c r="J127" s="22"/>
      <c r="K127" s="22"/>
      <c r="L127" s="25"/>
      <c r="M127" s="25"/>
      <c r="N127" s="25"/>
      <c r="O127" s="25"/>
      <c r="P127" s="24" t="str">
        <f aca="false">IFERROR(N127/O127,"")</f>
        <v/>
      </c>
      <c r="Q127" s="22"/>
      <c r="R127" s="22"/>
      <c r="S127" s="22"/>
      <c r="T127" s="22"/>
      <c r="U127" s="22"/>
      <c r="V127" s="21"/>
      <c r="W127" s="21"/>
      <c r="X127" s="22"/>
      <c r="Y127" s="21"/>
      <c r="Z127" s="22"/>
      <c r="AA127" s="22"/>
      <c r="AB127" s="22"/>
      <c r="AC127" s="22"/>
      <c r="AD127" s="22"/>
      <c r="AE127" s="22"/>
      <c r="AF127" s="22"/>
      <c r="AG127" s="21"/>
    </row>
    <row r="128" customFormat="false" ht="15" hidden="false" customHeight="false" outlineLevel="0" collapsed="false">
      <c r="A128" s="22"/>
      <c r="B128" s="21"/>
      <c r="C128" s="22"/>
      <c r="D128" s="22"/>
      <c r="E128" s="22"/>
      <c r="F128" s="22"/>
      <c r="G128" s="22"/>
      <c r="H128" s="22"/>
      <c r="I128" s="22"/>
      <c r="J128" s="22"/>
      <c r="K128" s="22"/>
      <c r="L128" s="25"/>
      <c r="M128" s="25"/>
      <c r="N128" s="25"/>
      <c r="O128" s="25"/>
      <c r="P128" s="24" t="str">
        <f aca="false">IFERROR(N128/O128,"")</f>
        <v/>
      </c>
      <c r="Q128" s="22"/>
      <c r="R128" s="22"/>
      <c r="S128" s="22"/>
      <c r="T128" s="22"/>
      <c r="U128" s="22"/>
      <c r="V128" s="21"/>
      <c r="W128" s="21"/>
      <c r="X128" s="22"/>
      <c r="Y128" s="21"/>
      <c r="Z128" s="22"/>
      <c r="AA128" s="22"/>
      <c r="AB128" s="22"/>
      <c r="AC128" s="22"/>
      <c r="AD128" s="22"/>
      <c r="AE128" s="22"/>
      <c r="AF128" s="22"/>
      <c r="AG128" s="21"/>
    </row>
    <row r="129" customFormat="false" ht="15" hidden="false" customHeight="false" outlineLevel="0" collapsed="false">
      <c r="A129" s="22"/>
      <c r="B129" s="21"/>
      <c r="C129" s="22"/>
      <c r="D129" s="22"/>
      <c r="E129" s="22"/>
      <c r="F129" s="22"/>
      <c r="G129" s="22"/>
      <c r="H129" s="22"/>
      <c r="I129" s="22"/>
      <c r="J129" s="22"/>
      <c r="K129" s="22"/>
      <c r="L129" s="25"/>
      <c r="M129" s="25"/>
      <c r="N129" s="25"/>
      <c r="O129" s="25"/>
      <c r="P129" s="24" t="str">
        <f aca="false">IFERROR(N129/O129,"")</f>
        <v/>
      </c>
      <c r="Q129" s="22"/>
      <c r="R129" s="22"/>
      <c r="S129" s="22"/>
      <c r="T129" s="22"/>
      <c r="U129" s="22"/>
      <c r="V129" s="21"/>
      <c r="W129" s="21"/>
      <c r="X129" s="22"/>
      <c r="Y129" s="21"/>
      <c r="Z129" s="22"/>
      <c r="AA129" s="22"/>
      <c r="AB129" s="22"/>
      <c r="AC129" s="22"/>
      <c r="AD129" s="22"/>
      <c r="AE129" s="22"/>
      <c r="AF129" s="22"/>
      <c r="AG129" s="21"/>
    </row>
    <row r="130" customFormat="false" ht="15" hidden="false" customHeight="false" outlineLevel="0" collapsed="false">
      <c r="A130" s="22"/>
      <c r="B130" s="21"/>
      <c r="C130" s="22"/>
      <c r="D130" s="22"/>
      <c r="E130" s="22"/>
      <c r="F130" s="22"/>
      <c r="G130" s="22"/>
      <c r="H130" s="22"/>
      <c r="I130" s="22"/>
      <c r="J130" s="22"/>
      <c r="K130" s="22"/>
      <c r="L130" s="25"/>
      <c r="M130" s="25"/>
      <c r="N130" s="25"/>
      <c r="O130" s="25"/>
      <c r="P130" s="24" t="str">
        <f aca="false">IFERROR(N130/O130,"")</f>
        <v/>
      </c>
      <c r="Q130" s="22"/>
      <c r="R130" s="22"/>
      <c r="S130" s="22"/>
      <c r="T130" s="22"/>
      <c r="U130" s="22"/>
      <c r="V130" s="21"/>
      <c r="W130" s="21"/>
      <c r="X130" s="22"/>
      <c r="Y130" s="21"/>
      <c r="Z130" s="22"/>
      <c r="AA130" s="22"/>
      <c r="AB130" s="22"/>
      <c r="AC130" s="22"/>
      <c r="AD130" s="22"/>
      <c r="AE130" s="22"/>
      <c r="AF130" s="22"/>
      <c r="AG130" s="21"/>
    </row>
    <row r="131" customFormat="false" ht="15" hidden="false" customHeight="false" outlineLevel="0" collapsed="false">
      <c r="A131" s="22"/>
      <c r="B131" s="21"/>
      <c r="C131" s="22"/>
      <c r="D131" s="22"/>
      <c r="E131" s="22"/>
      <c r="F131" s="22"/>
      <c r="G131" s="22"/>
      <c r="H131" s="22"/>
      <c r="I131" s="22"/>
      <c r="J131" s="22"/>
      <c r="K131" s="22"/>
      <c r="L131" s="25"/>
      <c r="M131" s="25"/>
      <c r="N131" s="25"/>
      <c r="O131" s="25"/>
      <c r="P131" s="24" t="str">
        <f aca="false">IFERROR(N131/O131,"")</f>
        <v/>
      </c>
      <c r="Q131" s="22"/>
      <c r="R131" s="22"/>
      <c r="S131" s="22"/>
      <c r="T131" s="22"/>
      <c r="U131" s="22"/>
      <c r="V131" s="21"/>
      <c r="W131" s="21"/>
      <c r="X131" s="22"/>
      <c r="Y131" s="21"/>
      <c r="Z131" s="22"/>
      <c r="AA131" s="22"/>
      <c r="AB131" s="22"/>
      <c r="AC131" s="22"/>
      <c r="AD131" s="22"/>
      <c r="AE131" s="22"/>
      <c r="AF131" s="22"/>
      <c r="AG131" s="21"/>
    </row>
    <row r="132" customFormat="false" ht="15" hidden="false" customHeight="false" outlineLevel="0" collapsed="false">
      <c r="A132" s="22"/>
      <c r="B132" s="21"/>
      <c r="C132" s="22"/>
      <c r="D132" s="22"/>
      <c r="E132" s="22"/>
      <c r="F132" s="22"/>
      <c r="G132" s="22"/>
      <c r="H132" s="22"/>
      <c r="I132" s="22"/>
      <c r="J132" s="22"/>
      <c r="K132" s="22"/>
      <c r="L132" s="25"/>
      <c r="M132" s="25"/>
      <c r="N132" s="25"/>
      <c r="O132" s="25"/>
      <c r="P132" s="24" t="str">
        <f aca="false">IFERROR(N132/O132,"")</f>
        <v/>
      </c>
      <c r="Q132" s="22"/>
      <c r="R132" s="22"/>
      <c r="S132" s="22"/>
      <c r="T132" s="22"/>
      <c r="U132" s="22"/>
      <c r="V132" s="21"/>
      <c r="W132" s="21"/>
      <c r="X132" s="22"/>
      <c r="Y132" s="21"/>
      <c r="Z132" s="22"/>
      <c r="AA132" s="22"/>
      <c r="AB132" s="22"/>
      <c r="AC132" s="22"/>
      <c r="AD132" s="22"/>
      <c r="AE132" s="22"/>
      <c r="AF132" s="22"/>
      <c r="AG132" s="21"/>
    </row>
    <row r="133" customFormat="false" ht="15" hidden="false" customHeight="false" outlineLevel="0" collapsed="false">
      <c r="A133" s="22"/>
      <c r="B133" s="21"/>
      <c r="C133" s="22"/>
      <c r="D133" s="22"/>
      <c r="E133" s="22"/>
      <c r="F133" s="22"/>
      <c r="G133" s="22"/>
      <c r="H133" s="22"/>
      <c r="I133" s="22"/>
      <c r="J133" s="22"/>
      <c r="K133" s="22"/>
      <c r="L133" s="25"/>
      <c r="M133" s="25"/>
      <c r="N133" s="25"/>
      <c r="O133" s="25"/>
      <c r="P133" s="24" t="str">
        <f aca="false">IFERROR(N133/O133,"")</f>
        <v/>
      </c>
      <c r="Q133" s="22"/>
      <c r="R133" s="22"/>
      <c r="S133" s="22"/>
      <c r="T133" s="22"/>
      <c r="U133" s="22"/>
      <c r="V133" s="21"/>
      <c r="W133" s="21"/>
      <c r="X133" s="22"/>
      <c r="Y133" s="21"/>
      <c r="Z133" s="22"/>
      <c r="AA133" s="22"/>
      <c r="AB133" s="22"/>
      <c r="AC133" s="22"/>
      <c r="AD133" s="22"/>
      <c r="AE133" s="22"/>
      <c r="AF133" s="22"/>
      <c r="AG133" s="21"/>
    </row>
    <row r="134" customFormat="false" ht="15" hidden="false" customHeight="false" outlineLevel="0" collapsed="false">
      <c r="A134" s="22"/>
      <c r="B134" s="21"/>
      <c r="C134" s="22"/>
      <c r="D134" s="22"/>
      <c r="E134" s="22"/>
      <c r="F134" s="22"/>
      <c r="G134" s="22"/>
      <c r="H134" s="22"/>
      <c r="I134" s="22"/>
      <c r="J134" s="22"/>
      <c r="K134" s="22"/>
      <c r="L134" s="25"/>
      <c r="M134" s="25"/>
      <c r="N134" s="25"/>
      <c r="O134" s="25"/>
      <c r="P134" s="24" t="str">
        <f aca="false">IFERROR(N134/O134,"")</f>
        <v/>
      </c>
      <c r="Q134" s="22"/>
      <c r="R134" s="22"/>
      <c r="S134" s="22"/>
      <c r="T134" s="22"/>
      <c r="U134" s="22"/>
      <c r="V134" s="21"/>
      <c r="W134" s="21"/>
      <c r="X134" s="22"/>
      <c r="Y134" s="21"/>
      <c r="Z134" s="22"/>
      <c r="AA134" s="22"/>
      <c r="AB134" s="22"/>
      <c r="AC134" s="22"/>
      <c r="AD134" s="22"/>
      <c r="AE134" s="22"/>
      <c r="AF134" s="22"/>
      <c r="AG134" s="21"/>
    </row>
    <row r="135" customFormat="false" ht="15" hidden="false" customHeight="false" outlineLevel="0" collapsed="false">
      <c r="A135" s="22"/>
      <c r="B135" s="21"/>
      <c r="C135" s="22"/>
      <c r="D135" s="22"/>
      <c r="E135" s="22"/>
      <c r="F135" s="22"/>
      <c r="G135" s="22"/>
      <c r="H135" s="22"/>
      <c r="I135" s="22"/>
      <c r="J135" s="22"/>
      <c r="K135" s="22"/>
      <c r="L135" s="25"/>
      <c r="M135" s="25"/>
      <c r="N135" s="25"/>
      <c r="O135" s="25"/>
      <c r="P135" s="24" t="str">
        <f aca="false">IFERROR(N135/O135,"")</f>
        <v/>
      </c>
      <c r="Q135" s="22"/>
      <c r="R135" s="22"/>
      <c r="S135" s="22"/>
      <c r="T135" s="22"/>
      <c r="U135" s="22"/>
      <c r="V135" s="21"/>
      <c r="W135" s="21"/>
      <c r="X135" s="22"/>
      <c r="Y135" s="21"/>
      <c r="Z135" s="22"/>
      <c r="AA135" s="22"/>
      <c r="AB135" s="22"/>
      <c r="AC135" s="22"/>
      <c r="AD135" s="22"/>
      <c r="AE135" s="22"/>
      <c r="AF135" s="22"/>
      <c r="AG135" s="21"/>
    </row>
    <row r="136" customFormat="false" ht="15" hidden="false" customHeight="false" outlineLevel="0" collapsed="false">
      <c r="A136" s="22"/>
      <c r="B136" s="21"/>
      <c r="C136" s="22"/>
      <c r="D136" s="22"/>
      <c r="E136" s="22"/>
      <c r="F136" s="22"/>
      <c r="G136" s="22"/>
      <c r="H136" s="22"/>
      <c r="I136" s="22"/>
      <c r="J136" s="22"/>
      <c r="K136" s="22"/>
      <c r="L136" s="25"/>
      <c r="M136" s="25"/>
      <c r="N136" s="25"/>
      <c r="O136" s="25"/>
      <c r="P136" s="24" t="str">
        <f aca="false">IFERROR(N136/O136,"")</f>
        <v/>
      </c>
      <c r="Q136" s="22"/>
      <c r="R136" s="22"/>
      <c r="S136" s="22"/>
      <c r="T136" s="22"/>
      <c r="U136" s="22"/>
      <c r="V136" s="21"/>
      <c r="W136" s="21"/>
      <c r="X136" s="22"/>
      <c r="Y136" s="21"/>
      <c r="Z136" s="22"/>
      <c r="AA136" s="22"/>
      <c r="AB136" s="22"/>
      <c r="AC136" s="22"/>
      <c r="AD136" s="22"/>
      <c r="AE136" s="22"/>
      <c r="AF136" s="22"/>
      <c r="AG136" s="21"/>
    </row>
    <row r="137" customFormat="false" ht="15" hidden="false" customHeight="false" outlineLevel="0" collapsed="false">
      <c r="A137" s="22"/>
      <c r="B137" s="21"/>
      <c r="C137" s="22"/>
      <c r="D137" s="22"/>
      <c r="E137" s="22"/>
      <c r="F137" s="22"/>
      <c r="G137" s="22"/>
      <c r="H137" s="22"/>
      <c r="I137" s="22"/>
      <c r="J137" s="22"/>
      <c r="K137" s="22"/>
      <c r="L137" s="25"/>
      <c r="M137" s="25"/>
      <c r="N137" s="25"/>
      <c r="O137" s="25"/>
      <c r="P137" s="24" t="str">
        <f aca="false">IFERROR(N137/O137,"")</f>
        <v/>
      </c>
      <c r="Q137" s="22"/>
      <c r="R137" s="22"/>
      <c r="S137" s="22"/>
      <c r="T137" s="22"/>
      <c r="U137" s="22"/>
      <c r="V137" s="21"/>
      <c r="W137" s="21"/>
      <c r="X137" s="22"/>
      <c r="Y137" s="21"/>
      <c r="Z137" s="22"/>
      <c r="AA137" s="22"/>
      <c r="AB137" s="22"/>
      <c r="AC137" s="22"/>
      <c r="AD137" s="22"/>
      <c r="AE137" s="22"/>
      <c r="AF137" s="22"/>
      <c r="AG137" s="21"/>
    </row>
    <row r="138" customFormat="false" ht="15" hidden="false" customHeight="false" outlineLevel="0" collapsed="false">
      <c r="A138" s="22"/>
      <c r="B138" s="21"/>
      <c r="C138" s="22"/>
      <c r="D138" s="22"/>
      <c r="E138" s="22"/>
      <c r="F138" s="22"/>
      <c r="G138" s="22"/>
      <c r="H138" s="22"/>
      <c r="I138" s="22"/>
      <c r="J138" s="22"/>
      <c r="K138" s="22"/>
      <c r="L138" s="25"/>
      <c r="M138" s="25"/>
      <c r="N138" s="25"/>
      <c r="O138" s="25"/>
      <c r="P138" s="24" t="str">
        <f aca="false">IFERROR(N138/O138,"")</f>
        <v/>
      </c>
      <c r="Q138" s="22"/>
      <c r="R138" s="22"/>
      <c r="S138" s="22"/>
      <c r="T138" s="22"/>
      <c r="U138" s="22"/>
      <c r="V138" s="21"/>
      <c r="W138" s="21"/>
      <c r="X138" s="22"/>
      <c r="Y138" s="21"/>
      <c r="Z138" s="22"/>
      <c r="AA138" s="22"/>
      <c r="AB138" s="22"/>
      <c r="AC138" s="22"/>
      <c r="AD138" s="22"/>
      <c r="AE138" s="22"/>
      <c r="AF138" s="22"/>
      <c r="AG138" s="21"/>
    </row>
    <row r="139" customFormat="false" ht="15" hidden="false" customHeight="false" outlineLevel="0" collapsed="false">
      <c r="A139" s="22"/>
      <c r="B139" s="21"/>
      <c r="C139" s="22"/>
      <c r="D139" s="22"/>
      <c r="E139" s="22"/>
      <c r="F139" s="22"/>
      <c r="G139" s="22"/>
      <c r="H139" s="22"/>
      <c r="I139" s="22"/>
      <c r="J139" s="22"/>
      <c r="K139" s="22"/>
      <c r="L139" s="25"/>
      <c r="M139" s="25"/>
      <c r="N139" s="25"/>
      <c r="O139" s="25"/>
      <c r="P139" s="24" t="str">
        <f aca="false">IFERROR(N139/O139,"")</f>
        <v/>
      </c>
      <c r="Q139" s="22"/>
      <c r="R139" s="22"/>
      <c r="S139" s="22"/>
      <c r="T139" s="22"/>
      <c r="U139" s="22"/>
      <c r="V139" s="21"/>
      <c r="W139" s="21"/>
      <c r="X139" s="22"/>
      <c r="Y139" s="21"/>
      <c r="Z139" s="22"/>
      <c r="AA139" s="22"/>
      <c r="AB139" s="22"/>
      <c r="AC139" s="22"/>
      <c r="AD139" s="22"/>
      <c r="AE139" s="22"/>
      <c r="AF139" s="22"/>
      <c r="AG139" s="21"/>
    </row>
    <row r="140" customFormat="false" ht="15" hidden="false" customHeight="false" outlineLevel="0" collapsed="false">
      <c r="A140" s="22"/>
      <c r="B140" s="21"/>
      <c r="C140" s="22"/>
      <c r="D140" s="22"/>
      <c r="E140" s="22"/>
      <c r="F140" s="22"/>
      <c r="G140" s="22"/>
      <c r="H140" s="22"/>
      <c r="I140" s="22"/>
      <c r="J140" s="22"/>
      <c r="K140" s="22"/>
      <c r="L140" s="25"/>
      <c r="M140" s="25"/>
      <c r="N140" s="25"/>
      <c r="O140" s="25"/>
      <c r="P140" s="24" t="str">
        <f aca="false">IFERROR(N140/O140,"")</f>
        <v/>
      </c>
      <c r="Q140" s="22"/>
      <c r="R140" s="22"/>
      <c r="S140" s="22"/>
      <c r="T140" s="22"/>
      <c r="U140" s="22"/>
      <c r="V140" s="21"/>
      <c r="W140" s="21"/>
      <c r="X140" s="22"/>
      <c r="Y140" s="21"/>
      <c r="Z140" s="22"/>
      <c r="AA140" s="22"/>
      <c r="AB140" s="22"/>
      <c r="AC140" s="22"/>
      <c r="AD140" s="22"/>
      <c r="AE140" s="22"/>
      <c r="AF140" s="22"/>
      <c r="AG140" s="21"/>
    </row>
    <row r="141" customFormat="false" ht="15" hidden="false" customHeight="false" outlineLevel="0" collapsed="false">
      <c r="A141" s="22"/>
      <c r="B141" s="21"/>
      <c r="C141" s="22"/>
      <c r="D141" s="22"/>
      <c r="E141" s="22"/>
      <c r="F141" s="22"/>
      <c r="G141" s="22"/>
      <c r="H141" s="22"/>
      <c r="I141" s="22"/>
      <c r="J141" s="22"/>
      <c r="K141" s="22"/>
      <c r="L141" s="25"/>
      <c r="M141" s="25"/>
      <c r="N141" s="25"/>
      <c r="O141" s="25"/>
      <c r="P141" s="24" t="str">
        <f aca="false">IFERROR(N141/O141,"")</f>
        <v/>
      </c>
      <c r="Q141" s="22"/>
      <c r="R141" s="22"/>
      <c r="S141" s="22"/>
      <c r="T141" s="22"/>
      <c r="U141" s="22"/>
      <c r="V141" s="21"/>
      <c r="W141" s="21"/>
      <c r="X141" s="22"/>
      <c r="Y141" s="21"/>
      <c r="Z141" s="22"/>
      <c r="AA141" s="22"/>
      <c r="AB141" s="22"/>
      <c r="AC141" s="22"/>
      <c r="AD141" s="22"/>
      <c r="AE141" s="22"/>
      <c r="AF141" s="22"/>
      <c r="AG141" s="21"/>
    </row>
    <row r="142" customFormat="false" ht="15" hidden="false" customHeight="false" outlineLevel="0" collapsed="false">
      <c r="A142" s="22"/>
      <c r="B142" s="21"/>
      <c r="C142" s="22"/>
      <c r="D142" s="22"/>
      <c r="E142" s="22"/>
      <c r="F142" s="22"/>
      <c r="G142" s="22"/>
      <c r="H142" s="22"/>
      <c r="I142" s="22"/>
      <c r="J142" s="22"/>
      <c r="K142" s="22"/>
      <c r="L142" s="25"/>
      <c r="M142" s="25"/>
      <c r="N142" s="25"/>
      <c r="O142" s="25"/>
      <c r="P142" s="24" t="str">
        <f aca="false">IFERROR(N142/O142,"")</f>
        <v/>
      </c>
      <c r="Q142" s="22"/>
      <c r="R142" s="22"/>
      <c r="S142" s="22"/>
      <c r="T142" s="22"/>
      <c r="U142" s="22"/>
      <c r="V142" s="21"/>
      <c r="W142" s="21"/>
      <c r="X142" s="22"/>
      <c r="Y142" s="21"/>
      <c r="Z142" s="22"/>
      <c r="AA142" s="22"/>
      <c r="AB142" s="22"/>
      <c r="AC142" s="22"/>
      <c r="AD142" s="22"/>
      <c r="AE142" s="22"/>
      <c r="AF142" s="22"/>
      <c r="AG142" s="21"/>
    </row>
    <row r="143" customFormat="false" ht="15" hidden="false" customHeight="false" outlineLevel="0" collapsed="false">
      <c r="A143" s="22"/>
      <c r="B143" s="21"/>
      <c r="C143" s="22"/>
      <c r="D143" s="22"/>
      <c r="E143" s="22"/>
      <c r="F143" s="22"/>
      <c r="G143" s="22"/>
      <c r="H143" s="22"/>
      <c r="I143" s="22"/>
      <c r="J143" s="22"/>
      <c r="K143" s="22"/>
      <c r="L143" s="25"/>
      <c r="M143" s="25"/>
      <c r="N143" s="25"/>
      <c r="O143" s="25"/>
      <c r="P143" s="24" t="str">
        <f aca="false">IFERROR(N143/O143,"")</f>
        <v/>
      </c>
      <c r="Q143" s="22"/>
      <c r="R143" s="22"/>
      <c r="S143" s="22"/>
      <c r="T143" s="22"/>
      <c r="U143" s="22"/>
      <c r="V143" s="21"/>
      <c r="W143" s="21"/>
      <c r="X143" s="22"/>
      <c r="Y143" s="21"/>
      <c r="Z143" s="22"/>
      <c r="AA143" s="22"/>
      <c r="AB143" s="22"/>
      <c r="AC143" s="22"/>
      <c r="AD143" s="22"/>
      <c r="AE143" s="22"/>
      <c r="AF143" s="22"/>
      <c r="AG143" s="21"/>
    </row>
    <row r="144" customFormat="false" ht="15" hidden="false" customHeight="false" outlineLevel="0" collapsed="false">
      <c r="A144" s="22"/>
      <c r="B144" s="21"/>
      <c r="C144" s="22"/>
      <c r="D144" s="22"/>
      <c r="E144" s="22"/>
      <c r="F144" s="22"/>
      <c r="G144" s="22"/>
      <c r="H144" s="22"/>
      <c r="I144" s="22"/>
      <c r="J144" s="22"/>
      <c r="K144" s="22"/>
      <c r="L144" s="25"/>
      <c r="M144" s="25"/>
      <c r="N144" s="25"/>
      <c r="O144" s="25"/>
      <c r="P144" s="24" t="str">
        <f aca="false">IFERROR(N144/O144,"")</f>
        <v/>
      </c>
      <c r="Q144" s="22"/>
      <c r="R144" s="22"/>
      <c r="S144" s="22"/>
      <c r="T144" s="22"/>
      <c r="U144" s="22"/>
      <c r="V144" s="21"/>
      <c r="W144" s="21"/>
      <c r="X144" s="22"/>
      <c r="Y144" s="21"/>
      <c r="Z144" s="22"/>
      <c r="AA144" s="22"/>
      <c r="AB144" s="22"/>
      <c r="AC144" s="22"/>
      <c r="AD144" s="22"/>
      <c r="AE144" s="22"/>
      <c r="AF144" s="22"/>
      <c r="AG144" s="21"/>
    </row>
    <row r="145" customFormat="false" ht="15" hidden="false" customHeight="false" outlineLevel="0" collapsed="false">
      <c r="A145" s="22"/>
      <c r="B145" s="21"/>
      <c r="C145" s="22"/>
      <c r="D145" s="22"/>
      <c r="E145" s="22"/>
      <c r="F145" s="22"/>
      <c r="G145" s="22"/>
      <c r="H145" s="22"/>
      <c r="I145" s="22"/>
      <c r="J145" s="22"/>
      <c r="K145" s="22"/>
      <c r="L145" s="25"/>
      <c r="M145" s="25"/>
      <c r="N145" s="25"/>
      <c r="O145" s="25"/>
      <c r="P145" s="24" t="str">
        <f aca="false">IFERROR(N145/O145,"")</f>
        <v/>
      </c>
      <c r="Q145" s="22"/>
      <c r="R145" s="22"/>
      <c r="S145" s="22"/>
      <c r="T145" s="22"/>
      <c r="U145" s="22"/>
      <c r="V145" s="21"/>
      <c r="W145" s="21"/>
      <c r="X145" s="22"/>
      <c r="Y145" s="21"/>
      <c r="Z145" s="22"/>
      <c r="AA145" s="22"/>
      <c r="AB145" s="22"/>
      <c r="AC145" s="22"/>
      <c r="AD145" s="22"/>
      <c r="AE145" s="22"/>
      <c r="AF145" s="22"/>
      <c r="AG145" s="21"/>
    </row>
    <row r="146" customFormat="false" ht="15" hidden="false" customHeight="false" outlineLevel="0" collapsed="false">
      <c r="A146" s="22"/>
      <c r="B146" s="21"/>
      <c r="C146" s="22"/>
      <c r="D146" s="22"/>
      <c r="E146" s="22"/>
      <c r="F146" s="22"/>
      <c r="G146" s="22"/>
      <c r="H146" s="22"/>
      <c r="I146" s="22"/>
      <c r="J146" s="22"/>
      <c r="K146" s="22"/>
      <c r="L146" s="25"/>
      <c r="M146" s="25"/>
      <c r="N146" s="25"/>
      <c r="O146" s="25"/>
      <c r="P146" s="24" t="str">
        <f aca="false">IFERROR(N146/O146,"")</f>
        <v/>
      </c>
      <c r="Q146" s="22"/>
      <c r="R146" s="22"/>
      <c r="S146" s="22"/>
      <c r="T146" s="22"/>
      <c r="U146" s="22"/>
      <c r="V146" s="21"/>
      <c r="W146" s="21"/>
      <c r="X146" s="22"/>
      <c r="Y146" s="21"/>
      <c r="Z146" s="22"/>
      <c r="AA146" s="22"/>
      <c r="AB146" s="22"/>
      <c r="AC146" s="22"/>
      <c r="AD146" s="22"/>
      <c r="AE146" s="22"/>
      <c r="AF146" s="22"/>
      <c r="AG146" s="21"/>
    </row>
    <row r="147" customFormat="false" ht="15" hidden="false" customHeight="false" outlineLevel="0" collapsed="false">
      <c r="A147" s="22"/>
      <c r="B147" s="21"/>
      <c r="C147" s="22"/>
      <c r="D147" s="22"/>
      <c r="E147" s="22"/>
      <c r="F147" s="22"/>
      <c r="G147" s="22"/>
      <c r="H147" s="22"/>
      <c r="I147" s="22"/>
      <c r="J147" s="22"/>
      <c r="K147" s="22"/>
      <c r="L147" s="25"/>
      <c r="M147" s="25"/>
      <c r="N147" s="25"/>
      <c r="O147" s="25"/>
      <c r="P147" s="24" t="str">
        <f aca="false">IFERROR(N147/O147,"")</f>
        <v/>
      </c>
      <c r="Q147" s="22"/>
      <c r="R147" s="22"/>
      <c r="S147" s="22"/>
      <c r="T147" s="22"/>
      <c r="U147" s="22"/>
      <c r="V147" s="21"/>
      <c r="W147" s="21"/>
      <c r="X147" s="22"/>
      <c r="Y147" s="21"/>
      <c r="Z147" s="22"/>
      <c r="AA147" s="22"/>
      <c r="AB147" s="22"/>
      <c r="AC147" s="22"/>
      <c r="AD147" s="22"/>
      <c r="AE147" s="22"/>
      <c r="AF147" s="22"/>
      <c r="AG147" s="21"/>
    </row>
    <row r="148" customFormat="false" ht="15" hidden="false" customHeight="false" outlineLevel="0" collapsed="false">
      <c r="A148" s="22"/>
      <c r="B148" s="21"/>
      <c r="C148" s="22"/>
      <c r="D148" s="22"/>
      <c r="E148" s="22"/>
      <c r="F148" s="22"/>
      <c r="G148" s="22"/>
      <c r="H148" s="22"/>
      <c r="I148" s="22"/>
      <c r="J148" s="22"/>
      <c r="K148" s="22"/>
      <c r="L148" s="25"/>
      <c r="M148" s="25"/>
      <c r="N148" s="25"/>
      <c r="O148" s="25"/>
      <c r="P148" s="24" t="str">
        <f aca="false">IFERROR(N148/O148,"")</f>
        <v/>
      </c>
      <c r="Q148" s="22"/>
      <c r="R148" s="22"/>
      <c r="S148" s="22"/>
      <c r="T148" s="22"/>
      <c r="U148" s="22"/>
      <c r="V148" s="21"/>
      <c r="W148" s="21"/>
      <c r="X148" s="22"/>
      <c r="Y148" s="21"/>
      <c r="Z148" s="22"/>
      <c r="AA148" s="22"/>
      <c r="AB148" s="22"/>
      <c r="AC148" s="22"/>
      <c r="AD148" s="22"/>
      <c r="AE148" s="22"/>
      <c r="AF148" s="22"/>
      <c r="AG148" s="21"/>
    </row>
    <row r="149" customFormat="false" ht="15" hidden="false" customHeight="false" outlineLevel="0" collapsed="false">
      <c r="A149" s="22"/>
      <c r="B149" s="21"/>
      <c r="C149" s="22"/>
      <c r="D149" s="22"/>
      <c r="E149" s="22"/>
      <c r="F149" s="22"/>
      <c r="G149" s="22"/>
      <c r="H149" s="22"/>
      <c r="I149" s="22"/>
      <c r="J149" s="22"/>
      <c r="K149" s="22"/>
      <c r="L149" s="25"/>
      <c r="M149" s="25"/>
      <c r="N149" s="25"/>
      <c r="O149" s="25"/>
      <c r="P149" s="24" t="str">
        <f aca="false">IFERROR(N149/O149,"")</f>
        <v/>
      </c>
      <c r="Q149" s="22"/>
      <c r="R149" s="22"/>
      <c r="S149" s="22"/>
      <c r="T149" s="22"/>
      <c r="U149" s="22"/>
      <c r="V149" s="21"/>
      <c r="W149" s="21"/>
      <c r="X149" s="22"/>
      <c r="Y149" s="21"/>
      <c r="Z149" s="22"/>
      <c r="AA149" s="22"/>
      <c r="AB149" s="22"/>
      <c r="AC149" s="22"/>
      <c r="AD149" s="22"/>
      <c r="AE149" s="22"/>
      <c r="AF149" s="22"/>
      <c r="AG149" s="21"/>
    </row>
    <row r="150" customFormat="false" ht="15" hidden="false" customHeight="false" outlineLevel="0" collapsed="false">
      <c r="A150" s="22"/>
      <c r="B150" s="21"/>
      <c r="C150" s="22"/>
      <c r="D150" s="22"/>
      <c r="E150" s="22"/>
      <c r="F150" s="22"/>
      <c r="G150" s="22"/>
      <c r="H150" s="22"/>
      <c r="I150" s="22"/>
      <c r="J150" s="22"/>
      <c r="K150" s="22"/>
      <c r="L150" s="25"/>
      <c r="M150" s="25"/>
      <c r="N150" s="25"/>
      <c r="O150" s="25"/>
      <c r="P150" s="24" t="str">
        <f aca="false">IFERROR(N150/O150,"")</f>
        <v/>
      </c>
      <c r="Q150" s="22"/>
      <c r="R150" s="22"/>
      <c r="S150" s="22"/>
      <c r="T150" s="22"/>
      <c r="U150" s="22"/>
      <c r="V150" s="21"/>
      <c r="W150" s="21"/>
      <c r="X150" s="22"/>
      <c r="Y150" s="21"/>
      <c r="Z150" s="22"/>
      <c r="AA150" s="22"/>
      <c r="AB150" s="22"/>
      <c r="AC150" s="22"/>
      <c r="AD150" s="22"/>
      <c r="AE150" s="22"/>
      <c r="AF150" s="22"/>
      <c r="AG150" s="21"/>
    </row>
    <row r="151" customFormat="false" ht="15" hidden="false" customHeight="false" outlineLevel="0" collapsed="false">
      <c r="A151" s="22"/>
      <c r="B151" s="21"/>
      <c r="C151" s="22"/>
      <c r="D151" s="22"/>
      <c r="E151" s="22"/>
      <c r="F151" s="22"/>
      <c r="G151" s="22"/>
      <c r="H151" s="22"/>
      <c r="I151" s="22"/>
      <c r="J151" s="22"/>
      <c r="K151" s="22"/>
      <c r="L151" s="25"/>
      <c r="M151" s="25"/>
      <c r="N151" s="25"/>
      <c r="O151" s="25"/>
      <c r="P151" s="24" t="str">
        <f aca="false">IFERROR(N151/O151,"")</f>
        <v/>
      </c>
      <c r="Q151" s="22"/>
      <c r="R151" s="22"/>
      <c r="S151" s="22"/>
      <c r="T151" s="22"/>
      <c r="U151" s="22"/>
      <c r="V151" s="21"/>
      <c r="W151" s="21"/>
      <c r="X151" s="22"/>
      <c r="Y151" s="21"/>
      <c r="Z151" s="22"/>
      <c r="AA151" s="22"/>
      <c r="AB151" s="22"/>
      <c r="AC151" s="22"/>
      <c r="AD151" s="22"/>
      <c r="AE151" s="22"/>
      <c r="AF151" s="22"/>
      <c r="AG151" s="21"/>
    </row>
    <row r="152" customFormat="false" ht="15" hidden="false" customHeight="false" outlineLevel="0" collapsed="false">
      <c r="A152" s="22"/>
      <c r="B152" s="21"/>
      <c r="C152" s="22"/>
      <c r="D152" s="22"/>
      <c r="E152" s="22"/>
      <c r="F152" s="22"/>
      <c r="G152" s="22"/>
      <c r="H152" s="22"/>
      <c r="I152" s="22"/>
      <c r="J152" s="22"/>
      <c r="K152" s="22"/>
      <c r="L152" s="25"/>
      <c r="M152" s="25"/>
      <c r="N152" s="25"/>
      <c r="O152" s="25"/>
      <c r="P152" s="24" t="str">
        <f aca="false">IFERROR(N152/O152,"")</f>
        <v/>
      </c>
      <c r="Q152" s="22"/>
      <c r="R152" s="22"/>
      <c r="S152" s="22"/>
      <c r="T152" s="22"/>
      <c r="U152" s="22"/>
      <c r="V152" s="21"/>
      <c r="W152" s="21"/>
      <c r="X152" s="22"/>
      <c r="Y152" s="21"/>
      <c r="Z152" s="22"/>
      <c r="AA152" s="22"/>
      <c r="AB152" s="22"/>
      <c r="AC152" s="22"/>
      <c r="AD152" s="22"/>
      <c r="AE152" s="22"/>
      <c r="AF152" s="22"/>
      <c r="AG152" s="21"/>
    </row>
    <row r="153" customFormat="false" ht="15" hidden="false" customHeight="false" outlineLevel="0" collapsed="false">
      <c r="A153" s="22"/>
      <c r="B153" s="21"/>
      <c r="C153" s="22"/>
      <c r="D153" s="22"/>
      <c r="E153" s="22"/>
      <c r="F153" s="22"/>
      <c r="G153" s="22"/>
      <c r="H153" s="22"/>
      <c r="I153" s="22"/>
      <c r="J153" s="22"/>
      <c r="K153" s="22"/>
      <c r="L153" s="25"/>
      <c r="M153" s="25"/>
      <c r="N153" s="25"/>
      <c r="O153" s="25"/>
      <c r="P153" s="24" t="str">
        <f aca="false">IFERROR(N153/O153,"")</f>
        <v/>
      </c>
      <c r="Q153" s="22"/>
      <c r="R153" s="22"/>
      <c r="S153" s="22"/>
      <c r="T153" s="22"/>
      <c r="U153" s="22"/>
      <c r="V153" s="21"/>
      <c r="W153" s="21"/>
      <c r="X153" s="22"/>
      <c r="Y153" s="21"/>
      <c r="Z153" s="22"/>
      <c r="AA153" s="22"/>
      <c r="AB153" s="22"/>
      <c r="AC153" s="22"/>
      <c r="AD153" s="22"/>
      <c r="AE153" s="22"/>
      <c r="AF153" s="22"/>
      <c r="AG153" s="21"/>
    </row>
    <row r="154" customFormat="false" ht="15" hidden="false" customHeight="false" outlineLevel="0" collapsed="false">
      <c r="A154" s="22"/>
      <c r="B154" s="21"/>
      <c r="C154" s="22"/>
      <c r="D154" s="22"/>
      <c r="E154" s="22"/>
      <c r="F154" s="22"/>
      <c r="G154" s="22"/>
      <c r="H154" s="22"/>
      <c r="I154" s="22"/>
      <c r="J154" s="22"/>
      <c r="K154" s="22"/>
      <c r="L154" s="25"/>
      <c r="M154" s="25"/>
      <c r="N154" s="25"/>
      <c r="O154" s="25"/>
      <c r="P154" s="24" t="str">
        <f aca="false">IFERROR(N154/O154,"")</f>
        <v/>
      </c>
      <c r="Q154" s="22"/>
      <c r="R154" s="22"/>
      <c r="S154" s="22"/>
      <c r="T154" s="22"/>
      <c r="U154" s="22"/>
      <c r="V154" s="21"/>
      <c r="W154" s="21"/>
      <c r="X154" s="22"/>
      <c r="Y154" s="21"/>
      <c r="Z154" s="22"/>
      <c r="AA154" s="22"/>
      <c r="AB154" s="22"/>
      <c r="AC154" s="22"/>
      <c r="AD154" s="22"/>
      <c r="AE154" s="22"/>
      <c r="AF154" s="22"/>
      <c r="AG154" s="21"/>
    </row>
    <row r="155" customFormat="false" ht="15" hidden="false" customHeight="false" outlineLevel="0" collapsed="false">
      <c r="A155" s="22"/>
      <c r="B155" s="21"/>
      <c r="C155" s="22"/>
      <c r="D155" s="22"/>
      <c r="E155" s="22"/>
      <c r="F155" s="22"/>
      <c r="G155" s="22"/>
      <c r="H155" s="22"/>
      <c r="I155" s="22"/>
      <c r="J155" s="22"/>
      <c r="K155" s="22"/>
      <c r="L155" s="25"/>
      <c r="M155" s="25"/>
      <c r="N155" s="25"/>
      <c r="O155" s="25"/>
      <c r="P155" s="24" t="str">
        <f aca="false">IFERROR(N155/O155,"")</f>
        <v/>
      </c>
      <c r="Q155" s="22"/>
      <c r="R155" s="22"/>
      <c r="S155" s="22"/>
      <c r="T155" s="22"/>
      <c r="U155" s="22"/>
      <c r="V155" s="21"/>
      <c r="W155" s="21"/>
      <c r="X155" s="22"/>
      <c r="Y155" s="21"/>
      <c r="Z155" s="22"/>
      <c r="AA155" s="22"/>
      <c r="AB155" s="22"/>
      <c r="AC155" s="22"/>
      <c r="AD155" s="22"/>
      <c r="AE155" s="22"/>
      <c r="AF155" s="22"/>
      <c r="AG155" s="21"/>
    </row>
    <row r="156" customFormat="false" ht="15" hidden="false" customHeight="false" outlineLevel="0" collapsed="false">
      <c r="A156" s="22"/>
      <c r="B156" s="21"/>
      <c r="C156" s="22"/>
      <c r="D156" s="22"/>
      <c r="E156" s="22"/>
      <c r="F156" s="22"/>
      <c r="G156" s="22"/>
      <c r="H156" s="22"/>
      <c r="I156" s="22"/>
      <c r="J156" s="22"/>
      <c r="K156" s="22"/>
      <c r="L156" s="25"/>
      <c r="M156" s="25"/>
      <c r="N156" s="25"/>
      <c r="O156" s="25"/>
      <c r="P156" s="24" t="str">
        <f aca="false">IFERROR(N156/O156,"")</f>
        <v/>
      </c>
      <c r="Q156" s="22"/>
      <c r="R156" s="22"/>
      <c r="S156" s="22"/>
      <c r="T156" s="22"/>
      <c r="U156" s="22"/>
      <c r="V156" s="21"/>
      <c r="W156" s="21"/>
      <c r="X156" s="22"/>
      <c r="Y156" s="21"/>
      <c r="Z156" s="22"/>
      <c r="AA156" s="22"/>
      <c r="AB156" s="22"/>
      <c r="AC156" s="22"/>
      <c r="AD156" s="22"/>
      <c r="AE156" s="22"/>
      <c r="AF156" s="22"/>
      <c r="AG156" s="21"/>
    </row>
    <row r="157" customFormat="false" ht="15" hidden="false" customHeight="false" outlineLevel="0" collapsed="false">
      <c r="A157" s="22"/>
      <c r="B157" s="21"/>
      <c r="C157" s="22"/>
      <c r="D157" s="22"/>
      <c r="E157" s="22"/>
      <c r="F157" s="22"/>
      <c r="G157" s="22"/>
      <c r="H157" s="22"/>
      <c r="I157" s="22"/>
      <c r="J157" s="22"/>
      <c r="K157" s="22"/>
      <c r="L157" s="25"/>
      <c r="M157" s="25"/>
      <c r="N157" s="25"/>
      <c r="O157" s="25"/>
      <c r="P157" s="24" t="str">
        <f aca="false">IFERROR(N157/O157,"")</f>
        <v/>
      </c>
      <c r="Q157" s="22"/>
      <c r="R157" s="22"/>
      <c r="S157" s="22"/>
      <c r="T157" s="22"/>
      <c r="U157" s="22"/>
      <c r="V157" s="21"/>
      <c r="W157" s="21"/>
      <c r="X157" s="22"/>
      <c r="Y157" s="21"/>
      <c r="Z157" s="22"/>
      <c r="AA157" s="22"/>
      <c r="AB157" s="22"/>
      <c r="AC157" s="22"/>
      <c r="AD157" s="22"/>
      <c r="AE157" s="22"/>
      <c r="AF157" s="22"/>
      <c r="AG157" s="21"/>
    </row>
    <row r="158" customFormat="false" ht="15" hidden="false" customHeight="false" outlineLevel="0" collapsed="false">
      <c r="A158" s="22"/>
      <c r="B158" s="21"/>
      <c r="C158" s="22"/>
      <c r="D158" s="22"/>
      <c r="E158" s="22"/>
      <c r="F158" s="22"/>
      <c r="G158" s="22"/>
      <c r="H158" s="22"/>
      <c r="I158" s="22"/>
      <c r="J158" s="22"/>
      <c r="K158" s="22"/>
      <c r="L158" s="25"/>
      <c r="M158" s="25"/>
      <c r="N158" s="25"/>
      <c r="O158" s="25"/>
      <c r="P158" s="24" t="str">
        <f aca="false">IFERROR(N158/O158,"")</f>
        <v/>
      </c>
      <c r="Q158" s="22"/>
      <c r="R158" s="22"/>
      <c r="S158" s="22"/>
      <c r="T158" s="22"/>
      <c r="U158" s="22"/>
      <c r="V158" s="21"/>
      <c r="W158" s="21"/>
      <c r="X158" s="22"/>
      <c r="Y158" s="21"/>
      <c r="Z158" s="22"/>
      <c r="AA158" s="22"/>
      <c r="AB158" s="22"/>
      <c r="AC158" s="22"/>
      <c r="AD158" s="22"/>
      <c r="AE158" s="22"/>
      <c r="AF158" s="22"/>
      <c r="AG158" s="21"/>
    </row>
    <row r="159" customFormat="false" ht="15" hidden="false" customHeight="false" outlineLevel="0" collapsed="false">
      <c r="A159" s="22"/>
      <c r="B159" s="21"/>
      <c r="C159" s="22"/>
      <c r="D159" s="22"/>
      <c r="E159" s="22"/>
      <c r="F159" s="22"/>
      <c r="G159" s="22"/>
      <c r="H159" s="22"/>
      <c r="I159" s="22"/>
      <c r="J159" s="22"/>
      <c r="K159" s="22"/>
      <c r="L159" s="25"/>
      <c r="M159" s="25"/>
      <c r="N159" s="25"/>
      <c r="O159" s="25"/>
      <c r="P159" s="24" t="str">
        <f aca="false">IFERROR(N159/O159,"")</f>
        <v/>
      </c>
      <c r="Q159" s="22"/>
      <c r="R159" s="22"/>
      <c r="S159" s="22"/>
      <c r="T159" s="22"/>
      <c r="U159" s="22"/>
      <c r="V159" s="21"/>
      <c r="W159" s="21"/>
      <c r="X159" s="22"/>
      <c r="Y159" s="21"/>
      <c r="Z159" s="22"/>
      <c r="AA159" s="22"/>
      <c r="AB159" s="22"/>
      <c r="AC159" s="22"/>
      <c r="AD159" s="22"/>
      <c r="AE159" s="22"/>
      <c r="AF159" s="22"/>
      <c r="AG159" s="21"/>
    </row>
    <row r="160" customFormat="false" ht="15" hidden="false" customHeight="false" outlineLevel="0" collapsed="false">
      <c r="A160" s="22"/>
      <c r="B160" s="21"/>
      <c r="C160" s="22"/>
      <c r="D160" s="22"/>
      <c r="E160" s="22"/>
      <c r="F160" s="22"/>
      <c r="G160" s="22"/>
      <c r="H160" s="22"/>
      <c r="I160" s="22"/>
      <c r="J160" s="22"/>
      <c r="K160" s="22"/>
      <c r="L160" s="25"/>
      <c r="M160" s="25"/>
      <c r="N160" s="25"/>
      <c r="O160" s="25"/>
      <c r="P160" s="24" t="str">
        <f aca="false">IFERROR(N160/O160,"")</f>
        <v/>
      </c>
      <c r="Q160" s="22"/>
      <c r="R160" s="22"/>
      <c r="S160" s="22"/>
      <c r="T160" s="22"/>
      <c r="U160" s="22"/>
      <c r="V160" s="21"/>
      <c r="W160" s="21"/>
      <c r="X160" s="22"/>
      <c r="Y160" s="21"/>
      <c r="Z160" s="22"/>
      <c r="AA160" s="22"/>
      <c r="AB160" s="22"/>
      <c r="AC160" s="22"/>
      <c r="AD160" s="22"/>
      <c r="AE160" s="22"/>
      <c r="AF160" s="22"/>
      <c r="AG160" s="21"/>
    </row>
    <row r="161" customFormat="false" ht="15" hidden="false" customHeight="false" outlineLevel="0" collapsed="false">
      <c r="A161" s="22"/>
      <c r="B161" s="21"/>
      <c r="C161" s="22"/>
      <c r="D161" s="22"/>
      <c r="E161" s="22"/>
      <c r="F161" s="22"/>
      <c r="G161" s="22"/>
      <c r="H161" s="22"/>
      <c r="I161" s="22"/>
      <c r="J161" s="22"/>
      <c r="K161" s="22"/>
      <c r="L161" s="25"/>
      <c r="M161" s="25"/>
      <c r="N161" s="25"/>
      <c r="O161" s="25"/>
      <c r="P161" s="24" t="str">
        <f aca="false">IFERROR(N161/O161,"")</f>
        <v/>
      </c>
      <c r="Q161" s="22"/>
      <c r="R161" s="22"/>
      <c r="S161" s="22"/>
      <c r="T161" s="22"/>
      <c r="U161" s="22"/>
      <c r="V161" s="21"/>
      <c r="W161" s="21"/>
      <c r="X161" s="22"/>
      <c r="Y161" s="21"/>
      <c r="Z161" s="22"/>
      <c r="AA161" s="22"/>
      <c r="AB161" s="22"/>
      <c r="AC161" s="22"/>
      <c r="AD161" s="22"/>
      <c r="AE161" s="22"/>
      <c r="AF161" s="22"/>
      <c r="AG161" s="21"/>
    </row>
    <row r="162" customFormat="false" ht="15" hidden="false" customHeight="false" outlineLevel="0" collapsed="false">
      <c r="A162" s="22"/>
      <c r="B162" s="21"/>
      <c r="C162" s="22"/>
      <c r="D162" s="22"/>
      <c r="E162" s="22"/>
      <c r="F162" s="22"/>
      <c r="G162" s="22"/>
      <c r="H162" s="22"/>
      <c r="I162" s="22"/>
      <c r="J162" s="22"/>
      <c r="K162" s="22"/>
      <c r="L162" s="25"/>
      <c r="M162" s="25"/>
      <c r="N162" s="25"/>
      <c r="O162" s="25"/>
      <c r="P162" s="24" t="str">
        <f aca="false">IFERROR(N162/O162,"")</f>
        <v/>
      </c>
      <c r="Q162" s="22"/>
      <c r="R162" s="22"/>
      <c r="S162" s="22"/>
      <c r="T162" s="22"/>
      <c r="U162" s="22"/>
      <c r="V162" s="21"/>
      <c r="W162" s="21"/>
      <c r="X162" s="22"/>
      <c r="Y162" s="21"/>
      <c r="Z162" s="22"/>
      <c r="AA162" s="22"/>
      <c r="AB162" s="22"/>
      <c r="AC162" s="22"/>
      <c r="AD162" s="22"/>
      <c r="AE162" s="22"/>
      <c r="AF162" s="22"/>
      <c r="AG162" s="21"/>
    </row>
    <row r="163" customFormat="false" ht="15" hidden="false" customHeight="false" outlineLevel="0" collapsed="false">
      <c r="A163" s="22"/>
      <c r="B163" s="21"/>
      <c r="C163" s="22"/>
      <c r="D163" s="22"/>
      <c r="E163" s="22"/>
      <c r="F163" s="22"/>
      <c r="G163" s="22"/>
      <c r="H163" s="22"/>
      <c r="I163" s="22"/>
      <c r="J163" s="22"/>
      <c r="K163" s="22"/>
      <c r="L163" s="25"/>
      <c r="M163" s="25"/>
      <c r="N163" s="25"/>
      <c r="O163" s="25"/>
      <c r="P163" s="24" t="str">
        <f aca="false">IFERROR(N163/O163,"")</f>
        <v/>
      </c>
      <c r="Q163" s="22"/>
      <c r="R163" s="22"/>
      <c r="S163" s="22"/>
      <c r="T163" s="22"/>
      <c r="U163" s="22"/>
      <c r="V163" s="21"/>
      <c r="W163" s="21"/>
      <c r="X163" s="22"/>
      <c r="Y163" s="21"/>
      <c r="Z163" s="22"/>
      <c r="AA163" s="22"/>
      <c r="AB163" s="22"/>
      <c r="AC163" s="22"/>
      <c r="AD163" s="22"/>
      <c r="AE163" s="22"/>
      <c r="AF163" s="22"/>
      <c r="AG163" s="21"/>
    </row>
    <row r="164" customFormat="false" ht="15" hidden="false" customHeight="false" outlineLevel="0" collapsed="false">
      <c r="A164" s="22"/>
      <c r="B164" s="21"/>
      <c r="C164" s="22"/>
      <c r="D164" s="22"/>
      <c r="E164" s="22"/>
      <c r="F164" s="22"/>
      <c r="G164" s="22"/>
      <c r="H164" s="22"/>
      <c r="I164" s="22"/>
      <c r="J164" s="22"/>
      <c r="K164" s="22"/>
      <c r="L164" s="25"/>
      <c r="M164" s="25"/>
      <c r="N164" s="25"/>
      <c r="O164" s="25"/>
      <c r="P164" s="24" t="str">
        <f aca="false">IFERROR(N164/O164,"")</f>
        <v/>
      </c>
      <c r="Q164" s="22"/>
      <c r="R164" s="22"/>
      <c r="S164" s="22"/>
      <c r="T164" s="22"/>
      <c r="U164" s="22"/>
      <c r="V164" s="21"/>
      <c r="W164" s="21"/>
      <c r="X164" s="22"/>
      <c r="Y164" s="21"/>
      <c r="Z164" s="22"/>
      <c r="AA164" s="22"/>
      <c r="AB164" s="22"/>
      <c r="AC164" s="22"/>
      <c r="AD164" s="22"/>
      <c r="AE164" s="22"/>
      <c r="AF164" s="22"/>
      <c r="AG164" s="21"/>
    </row>
    <row r="165" customFormat="false" ht="15" hidden="false" customHeight="false" outlineLevel="0" collapsed="false">
      <c r="A165" s="22"/>
      <c r="B165" s="21"/>
      <c r="C165" s="22"/>
      <c r="D165" s="22"/>
      <c r="E165" s="22"/>
      <c r="F165" s="22"/>
      <c r="G165" s="22"/>
      <c r="H165" s="22"/>
      <c r="I165" s="22"/>
      <c r="J165" s="22"/>
      <c r="K165" s="22"/>
      <c r="L165" s="25"/>
      <c r="M165" s="25"/>
      <c r="N165" s="25"/>
      <c r="O165" s="25"/>
      <c r="P165" s="24" t="str">
        <f aca="false">IFERROR(N165/O165,"")</f>
        <v/>
      </c>
      <c r="Q165" s="22"/>
      <c r="R165" s="22"/>
      <c r="S165" s="22"/>
      <c r="T165" s="22"/>
      <c r="U165" s="22"/>
      <c r="V165" s="21"/>
      <c r="W165" s="21"/>
      <c r="X165" s="22"/>
      <c r="Y165" s="21"/>
      <c r="Z165" s="22"/>
      <c r="AA165" s="22"/>
      <c r="AB165" s="22"/>
      <c r="AC165" s="22"/>
      <c r="AD165" s="22"/>
      <c r="AE165" s="22"/>
      <c r="AF165" s="22"/>
      <c r="AG165" s="21"/>
    </row>
    <row r="166" customFormat="false" ht="15" hidden="false" customHeight="false" outlineLevel="0" collapsed="false">
      <c r="A166" s="22"/>
      <c r="B166" s="21"/>
      <c r="C166" s="22"/>
      <c r="D166" s="22"/>
      <c r="E166" s="22"/>
      <c r="F166" s="22"/>
      <c r="G166" s="22"/>
      <c r="H166" s="22"/>
      <c r="I166" s="22"/>
      <c r="J166" s="22"/>
      <c r="K166" s="22"/>
      <c r="L166" s="25"/>
      <c r="M166" s="25"/>
      <c r="N166" s="25"/>
      <c r="O166" s="25"/>
      <c r="P166" s="24" t="str">
        <f aca="false">IFERROR(N166/O166,"")</f>
        <v/>
      </c>
      <c r="Q166" s="22"/>
      <c r="R166" s="22"/>
      <c r="S166" s="22"/>
      <c r="T166" s="22"/>
      <c r="U166" s="22"/>
      <c r="V166" s="21"/>
      <c r="W166" s="21"/>
      <c r="X166" s="22"/>
      <c r="Y166" s="21"/>
      <c r="Z166" s="22"/>
      <c r="AA166" s="22"/>
      <c r="AB166" s="22"/>
      <c r="AC166" s="22"/>
      <c r="AD166" s="22"/>
      <c r="AE166" s="22"/>
      <c r="AF166" s="22"/>
      <c r="AG166" s="21"/>
    </row>
    <row r="167" customFormat="false" ht="15" hidden="false" customHeight="false" outlineLevel="0" collapsed="false">
      <c r="A167" s="22"/>
      <c r="B167" s="21"/>
      <c r="C167" s="22"/>
      <c r="D167" s="22"/>
      <c r="E167" s="22"/>
      <c r="F167" s="22"/>
      <c r="G167" s="22"/>
      <c r="H167" s="22"/>
      <c r="I167" s="22"/>
      <c r="J167" s="22"/>
      <c r="K167" s="22"/>
      <c r="L167" s="25"/>
      <c r="M167" s="25"/>
      <c r="N167" s="25"/>
      <c r="O167" s="25"/>
      <c r="P167" s="24" t="str">
        <f aca="false">IFERROR(N167/O167,"")</f>
        <v/>
      </c>
      <c r="Q167" s="22"/>
      <c r="R167" s="22"/>
      <c r="S167" s="22"/>
      <c r="T167" s="22"/>
      <c r="U167" s="22"/>
      <c r="V167" s="21"/>
      <c r="W167" s="21"/>
      <c r="X167" s="22"/>
      <c r="Y167" s="21"/>
      <c r="Z167" s="22"/>
      <c r="AA167" s="22"/>
      <c r="AB167" s="22"/>
      <c r="AC167" s="22"/>
      <c r="AD167" s="22"/>
      <c r="AE167" s="22"/>
      <c r="AF167" s="22"/>
      <c r="AG167" s="21"/>
    </row>
    <row r="168" customFormat="false" ht="15" hidden="false" customHeight="false" outlineLevel="0" collapsed="false">
      <c r="A168" s="22"/>
      <c r="B168" s="21"/>
      <c r="C168" s="22"/>
      <c r="D168" s="22"/>
      <c r="E168" s="22"/>
      <c r="F168" s="22"/>
      <c r="G168" s="22"/>
      <c r="H168" s="22"/>
      <c r="I168" s="22"/>
      <c r="J168" s="22"/>
      <c r="K168" s="22"/>
      <c r="L168" s="25"/>
      <c r="M168" s="25"/>
      <c r="N168" s="25"/>
      <c r="O168" s="25"/>
      <c r="P168" s="24" t="str">
        <f aca="false">IFERROR(N168/O168,"")</f>
        <v/>
      </c>
      <c r="Q168" s="22"/>
      <c r="R168" s="22"/>
      <c r="S168" s="22"/>
      <c r="T168" s="22"/>
      <c r="U168" s="22"/>
      <c r="V168" s="21"/>
      <c r="W168" s="21"/>
      <c r="X168" s="22"/>
      <c r="Y168" s="21"/>
      <c r="Z168" s="22"/>
      <c r="AA168" s="22"/>
      <c r="AB168" s="22"/>
      <c r="AC168" s="22"/>
      <c r="AD168" s="22"/>
      <c r="AE168" s="22"/>
      <c r="AF168" s="22"/>
      <c r="AG168" s="21"/>
    </row>
    <row r="169" customFormat="false" ht="15" hidden="false" customHeight="false" outlineLevel="0" collapsed="false">
      <c r="A169" s="22"/>
      <c r="B169" s="21"/>
      <c r="C169" s="22"/>
      <c r="D169" s="22"/>
      <c r="E169" s="22"/>
      <c r="F169" s="22"/>
      <c r="G169" s="22"/>
      <c r="H169" s="22"/>
      <c r="I169" s="22"/>
      <c r="J169" s="22"/>
      <c r="K169" s="22"/>
      <c r="L169" s="25"/>
      <c r="M169" s="25"/>
      <c r="N169" s="25"/>
      <c r="O169" s="25"/>
      <c r="P169" s="24" t="str">
        <f aca="false">IFERROR(N169/O169,"")</f>
        <v/>
      </c>
      <c r="Q169" s="22"/>
      <c r="R169" s="22"/>
      <c r="S169" s="22"/>
      <c r="T169" s="22"/>
      <c r="U169" s="22"/>
      <c r="V169" s="21"/>
      <c r="W169" s="21"/>
      <c r="X169" s="22"/>
      <c r="Y169" s="21"/>
      <c r="Z169" s="22"/>
      <c r="AA169" s="22"/>
      <c r="AB169" s="22"/>
      <c r="AC169" s="22"/>
      <c r="AD169" s="22"/>
      <c r="AE169" s="22"/>
      <c r="AF169" s="22"/>
      <c r="AG169" s="21"/>
    </row>
    <row r="170" customFormat="false" ht="15" hidden="false" customHeight="false" outlineLevel="0" collapsed="false">
      <c r="A170" s="22"/>
      <c r="B170" s="21"/>
      <c r="C170" s="22"/>
      <c r="D170" s="22"/>
      <c r="E170" s="22"/>
      <c r="F170" s="22"/>
      <c r="G170" s="22"/>
      <c r="H170" s="22"/>
      <c r="I170" s="22"/>
      <c r="J170" s="22"/>
      <c r="K170" s="22"/>
      <c r="L170" s="25"/>
      <c r="M170" s="25"/>
      <c r="N170" s="25"/>
      <c r="O170" s="25"/>
      <c r="P170" s="24" t="str">
        <f aca="false">IFERROR(N170/O170,"")</f>
        <v/>
      </c>
      <c r="Q170" s="22"/>
      <c r="R170" s="22"/>
      <c r="S170" s="22"/>
      <c r="T170" s="22"/>
      <c r="U170" s="22"/>
      <c r="V170" s="21"/>
      <c r="W170" s="21"/>
      <c r="X170" s="22"/>
      <c r="Y170" s="21"/>
      <c r="Z170" s="22"/>
      <c r="AA170" s="22"/>
      <c r="AB170" s="22"/>
      <c r="AC170" s="22"/>
      <c r="AD170" s="22"/>
      <c r="AE170" s="22"/>
      <c r="AF170" s="22"/>
      <c r="AG170" s="21"/>
    </row>
    <row r="171" customFormat="false" ht="15" hidden="false" customHeight="false" outlineLevel="0" collapsed="false">
      <c r="A171" s="22"/>
      <c r="B171" s="21"/>
      <c r="C171" s="22"/>
      <c r="D171" s="22"/>
      <c r="E171" s="22"/>
      <c r="F171" s="22"/>
      <c r="G171" s="22"/>
      <c r="H171" s="22"/>
      <c r="I171" s="22"/>
      <c r="J171" s="22"/>
      <c r="K171" s="22"/>
      <c r="L171" s="25"/>
      <c r="M171" s="25"/>
      <c r="N171" s="25"/>
      <c r="O171" s="25"/>
      <c r="P171" s="24" t="str">
        <f aca="false">IFERROR(N171/O171,"")</f>
        <v/>
      </c>
      <c r="Q171" s="22"/>
      <c r="R171" s="22"/>
      <c r="S171" s="22"/>
      <c r="T171" s="22"/>
      <c r="U171" s="22"/>
      <c r="V171" s="21"/>
      <c r="W171" s="21"/>
      <c r="X171" s="22"/>
      <c r="Y171" s="21"/>
      <c r="Z171" s="22"/>
      <c r="AA171" s="22"/>
      <c r="AB171" s="22"/>
      <c r="AC171" s="22"/>
      <c r="AD171" s="22"/>
      <c r="AE171" s="22"/>
      <c r="AF171" s="22"/>
      <c r="AG171" s="21"/>
    </row>
    <row r="172" customFormat="false" ht="15" hidden="false" customHeight="false" outlineLevel="0" collapsed="false">
      <c r="A172" s="22"/>
      <c r="B172" s="21"/>
      <c r="C172" s="22"/>
      <c r="D172" s="22"/>
      <c r="E172" s="22"/>
      <c r="F172" s="22"/>
      <c r="G172" s="22"/>
      <c r="H172" s="22"/>
      <c r="I172" s="22"/>
      <c r="J172" s="22"/>
      <c r="K172" s="22"/>
      <c r="L172" s="25"/>
      <c r="M172" s="25"/>
      <c r="N172" s="25"/>
      <c r="O172" s="25"/>
      <c r="P172" s="24" t="str">
        <f aca="false">IFERROR(N172/O172,"")</f>
        <v/>
      </c>
      <c r="Q172" s="22"/>
      <c r="R172" s="22"/>
      <c r="S172" s="22"/>
      <c r="T172" s="22"/>
      <c r="U172" s="22"/>
      <c r="V172" s="21"/>
      <c r="W172" s="21"/>
      <c r="X172" s="22"/>
      <c r="Y172" s="21"/>
      <c r="Z172" s="22"/>
      <c r="AA172" s="22"/>
      <c r="AB172" s="22"/>
      <c r="AC172" s="22"/>
      <c r="AD172" s="22"/>
      <c r="AE172" s="22"/>
      <c r="AF172" s="22"/>
      <c r="AG172" s="21"/>
    </row>
    <row r="173" customFormat="false" ht="15" hidden="false" customHeight="false" outlineLevel="0" collapsed="false">
      <c r="A173" s="22"/>
      <c r="B173" s="21"/>
      <c r="C173" s="22"/>
      <c r="D173" s="22"/>
      <c r="E173" s="22"/>
      <c r="F173" s="22"/>
      <c r="G173" s="22"/>
      <c r="H173" s="22"/>
      <c r="I173" s="22"/>
      <c r="J173" s="22"/>
      <c r="K173" s="22"/>
      <c r="L173" s="25"/>
      <c r="M173" s="25"/>
      <c r="N173" s="25"/>
      <c r="O173" s="25"/>
      <c r="P173" s="24" t="str">
        <f aca="false">IFERROR(N173/O173,"")</f>
        <v/>
      </c>
      <c r="Q173" s="22"/>
      <c r="R173" s="22"/>
      <c r="S173" s="22"/>
      <c r="T173" s="22"/>
      <c r="U173" s="22"/>
      <c r="V173" s="21"/>
      <c r="W173" s="21"/>
      <c r="X173" s="22"/>
      <c r="Y173" s="21"/>
      <c r="Z173" s="22"/>
      <c r="AA173" s="22"/>
      <c r="AB173" s="22"/>
      <c r="AC173" s="22"/>
      <c r="AD173" s="22"/>
      <c r="AE173" s="22"/>
      <c r="AF173" s="22"/>
      <c r="AG173" s="21"/>
    </row>
    <row r="174" customFormat="false" ht="15" hidden="false" customHeight="false" outlineLevel="0" collapsed="false">
      <c r="A174" s="22"/>
      <c r="B174" s="21"/>
      <c r="C174" s="22"/>
      <c r="D174" s="22"/>
      <c r="E174" s="22"/>
      <c r="F174" s="22"/>
      <c r="G174" s="22"/>
      <c r="H174" s="22"/>
      <c r="I174" s="22"/>
      <c r="J174" s="22"/>
      <c r="K174" s="22"/>
      <c r="L174" s="25"/>
      <c r="M174" s="25"/>
      <c r="N174" s="25"/>
      <c r="O174" s="25"/>
      <c r="P174" s="24" t="str">
        <f aca="false">IFERROR(N174/O174,"")</f>
        <v/>
      </c>
      <c r="Q174" s="22"/>
      <c r="R174" s="22"/>
      <c r="S174" s="22"/>
      <c r="T174" s="22"/>
      <c r="U174" s="22"/>
      <c r="V174" s="21"/>
      <c r="W174" s="21"/>
      <c r="X174" s="22"/>
      <c r="Y174" s="21"/>
      <c r="Z174" s="22"/>
      <c r="AA174" s="22"/>
      <c r="AB174" s="22"/>
      <c r="AC174" s="22"/>
      <c r="AD174" s="22"/>
      <c r="AE174" s="22"/>
      <c r="AF174" s="22"/>
      <c r="AG174" s="21"/>
    </row>
    <row r="175" customFormat="false" ht="15" hidden="false" customHeight="false" outlineLevel="0" collapsed="false">
      <c r="A175" s="22"/>
      <c r="B175" s="21"/>
      <c r="C175" s="22"/>
      <c r="D175" s="22"/>
      <c r="E175" s="22"/>
      <c r="F175" s="22"/>
      <c r="G175" s="22"/>
      <c r="H175" s="22"/>
      <c r="I175" s="22"/>
      <c r="J175" s="22"/>
      <c r="K175" s="22"/>
      <c r="L175" s="25"/>
      <c r="M175" s="25"/>
      <c r="N175" s="25"/>
      <c r="O175" s="25"/>
      <c r="P175" s="24" t="str">
        <f aca="false">IFERROR(N175/O175,"")</f>
        <v/>
      </c>
      <c r="Q175" s="22"/>
      <c r="R175" s="22"/>
      <c r="S175" s="22"/>
      <c r="T175" s="22"/>
      <c r="U175" s="22"/>
      <c r="V175" s="21"/>
      <c r="W175" s="21"/>
      <c r="X175" s="22"/>
      <c r="Y175" s="21"/>
      <c r="Z175" s="22"/>
      <c r="AA175" s="22"/>
      <c r="AB175" s="22"/>
      <c r="AC175" s="22"/>
      <c r="AD175" s="22"/>
      <c r="AE175" s="22"/>
      <c r="AF175" s="22"/>
      <c r="AG175" s="21"/>
    </row>
    <row r="176" customFormat="false" ht="15" hidden="false" customHeight="false" outlineLevel="0" collapsed="false">
      <c r="A176" s="22"/>
      <c r="B176" s="21"/>
      <c r="C176" s="22"/>
      <c r="D176" s="22"/>
      <c r="E176" s="22"/>
      <c r="F176" s="22"/>
      <c r="G176" s="22"/>
      <c r="H176" s="22"/>
      <c r="I176" s="22"/>
      <c r="J176" s="22"/>
      <c r="K176" s="22"/>
      <c r="L176" s="25"/>
      <c r="M176" s="25"/>
      <c r="N176" s="25"/>
      <c r="O176" s="25"/>
      <c r="P176" s="24" t="str">
        <f aca="false">IFERROR(N176/O176,"")</f>
        <v/>
      </c>
      <c r="Q176" s="22"/>
      <c r="R176" s="22"/>
      <c r="S176" s="22"/>
      <c r="T176" s="22"/>
      <c r="U176" s="22"/>
      <c r="V176" s="21"/>
      <c r="W176" s="21"/>
      <c r="X176" s="22"/>
      <c r="Y176" s="21"/>
      <c r="Z176" s="22"/>
      <c r="AA176" s="22"/>
      <c r="AB176" s="22"/>
      <c r="AC176" s="22"/>
      <c r="AD176" s="22"/>
      <c r="AE176" s="22"/>
      <c r="AF176" s="22"/>
      <c r="AG176" s="21"/>
    </row>
    <row r="177" customFormat="false" ht="15" hidden="false" customHeight="false" outlineLevel="0" collapsed="false">
      <c r="A177" s="22"/>
      <c r="B177" s="21"/>
      <c r="C177" s="22"/>
      <c r="D177" s="22"/>
      <c r="E177" s="22"/>
      <c r="F177" s="22"/>
      <c r="G177" s="22"/>
      <c r="H177" s="22"/>
      <c r="I177" s="22"/>
      <c r="J177" s="22"/>
      <c r="K177" s="22"/>
      <c r="L177" s="25"/>
      <c r="M177" s="25"/>
      <c r="N177" s="25"/>
      <c r="O177" s="25"/>
      <c r="P177" s="24" t="str">
        <f aca="false">IFERROR(N177/O177,"")</f>
        <v/>
      </c>
      <c r="Q177" s="22"/>
      <c r="R177" s="22"/>
      <c r="S177" s="22"/>
      <c r="T177" s="22"/>
      <c r="U177" s="22"/>
      <c r="V177" s="21"/>
      <c r="W177" s="21"/>
      <c r="X177" s="22"/>
      <c r="Y177" s="21"/>
      <c r="Z177" s="22"/>
      <c r="AA177" s="22"/>
      <c r="AB177" s="22"/>
      <c r="AC177" s="22"/>
      <c r="AD177" s="22"/>
      <c r="AE177" s="22"/>
      <c r="AF177" s="22"/>
      <c r="AG177" s="21"/>
    </row>
    <row r="178" customFormat="false" ht="15" hidden="false" customHeight="false" outlineLevel="0" collapsed="false">
      <c r="A178" s="22"/>
      <c r="B178" s="21"/>
      <c r="C178" s="22"/>
      <c r="D178" s="22"/>
      <c r="E178" s="22"/>
      <c r="F178" s="22"/>
      <c r="G178" s="22"/>
      <c r="H178" s="22"/>
      <c r="I178" s="22"/>
      <c r="J178" s="22"/>
      <c r="K178" s="22"/>
      <c r="L178" s="25"/>
      <c r="M178" s="25"/>
      <c r="N178" s="25"/>
      <c r="O178" s="25"/>
      <c r="P178" s="24" t="str">
        <f aca="false">IFERROR(N178/O178,"")</f>
        <v/>
      </c>
      <c r="Q178" s="22"/>
      <c r="R178" s="22"/>
      <c r="S178" s="22"/>
      <c r="T178" s="22"/>
      <c r="U178" s="22"/>
      <c r="V178" s="21"/>
      <c r="W178" s="21"/>
      <c r="X178" s="22"/>
      <c r="Y178" s="21"/>
      <c r="Z178" s="22"/>
      <c r="AA178" s="22"/>
      <c r="AB178" s="22"/>
      <c r="AC178" s="22"/>
      <c r="AD178" s="22"/>
      <c r="AE178" s="22"/>
      <c r="AF178" s="22"/>
      <c r="AG178" s="21"/>
    </row>
    <row r="179" customFormat="false" ht="15" hidden="false" customHeight="false" outlineLevel="0" collapsed="false">
      <c r="A179" s="22"/>
      <c r="B179" s="21"/>
      <c r="C179" s="22"/>
      <c r="D179" s="22"/>
      <c r="E179" s="22"/>
      <c r="F179" s="22"/>
      <c r="G179" s="22"/>
      <c r="H179" s="22"/>
      <c r="I179" s="22"/>
      <c r="J179" s="22"/>
      <c r="K179" s="22"/>
      <c r="L179" s="25"/>
      <c r="M179" s="25"/>
      <c r="N179" s="25"/>
      <c r="O179" s="25"/>
      <c r="P179" s="24" t="str">
        <f aca="false">IFERROR(N179/O179,"")</f>
        <v/>
      </c>
      <c r="Q179" s="22"/>
      <c r="R179" s="22"/>
      <c r="S179" s="22"/>
      <c r="T179" s="22"/>
      <c r="U179" s="22"/>
      <c r="V179" s="21"/>
      <c r="W179" s="21"/>
      <c r="X179" s="22"/>
      <c r="Y179" s="21"/>
      <c r="Z179" s="22"/>
      <c r="AA179" s="22"/>
      <c r="AB179" s="22"/>
      <c r="AC179" s="22"/>
      <c r="AD179" s="22"/>
      <c r="AE179" s="22"/>
      <c r="AF179" s="22"/>
      <c r="AG179" s="21"/>
    </row>
    <row r="180" customFormat="false" ht="15" hidden="false" customHeight="false" outlineLevel="0" collapsed="false">
      <c r="A180" s="22"/>
      <c r="B180" s="21"/>
      <c r="C180" s="22"/>
      <c r="D180" s="22"/>
      <c r="E180" s="22"/>
      <c r="F180" s="22"/>
      <c r="G180" s="22"/>
      <c r="H180" s="22"/>
      <c r="I180" s="22"/>
      <c r="J180" s="22"/>
      <c r="K180" s="22"/>
      <c r="L180" s="25"/>
      <c r="M180" s="25"/>
      <c r="N180" s="25"/>
      <c r="O180" s="25"/>
      <c r="P180" s="24" t="str">
        <f aca="false">IFERROR(N180/O180,"")</f>
        <v/>
      </c>
      <c r="Q180" s="22"/>
      <c r="R180" s="22"/>
      <c r="S180" s="22"/>
      <c r="T180" s="22"/>
      <c r="U180" s="22"/>
      <c r="V180" s="21"/>
      <c r="W180" s="21"/>
      <c r="X180" s="22"/>
      <c r="Y180" s="21"/>
      <c r="Z180" s="22"/>
      <c r="AA180" s="22"/>
      <c r="AB180" s="22"/>
      <c r="AC180" s="22"/>
      <c r="AD180" s="22"/>
      <c r="AE180" s="22"/>
      <c r="AF180" s="22"/>
      <c r="AG180" s="21"/>
    </row>
    <row r="181" customFormat="false" ht="15" hidden="false" customHeight="false" outlineLevel="0" collapsed="false">
      <c r="A181" s="22"/>
      <c r="B181" s="21"/>
      <c r="C181" s="22"/>
      <c r="D181" s="22"/>
      <c r="E181" s="22"/>
      <c r="F181" s="22"/>
      <c r="G181" s="22"/>
      <c r="H181" s="22"/>
      <c r="I181" s="22"/>
      <c r="J181" s="22"/>
      <c r="K181" s="22"/>
      <c r="L181" s="25"/>
      <c r="M181" s="25"/>
      <c r="N181" s="25"/>
      <c r="O181" s="25"/>
      <c r="P181" s="24" t="str">
        <f aca="false">IFERROR(N181/O181,"")</f>
        <v/>
      </c>
      <c r="Q181" s="22"/>
      <c r="R181" s="22"/>
      <c r="S181" s="22"/>
      <c r="T181" s="22"/>
      <c r="U181" s="22"/>
      <c r="V181" s="21"/>
      <c r="W181" s="21"/>
      <c r="X181" s="22"/>
      <c r="Y181" s="21"/>
      <c r="Z181" s="22"/>
      <c r="AA181" s="22"/>
      <c r="AB181" s="22"/>
      <c r="AC181" s="22"/>
      <c r="AD181" s="22"/>
      <c r="AE181" s="22"/>
      <c r="AF181" s="22"/>
      <c r="AG181" s="21"/>
    </row>
    <row r="182" customFormat="false" ht="15" hidden="false" customHeight="false" outlineLevel="0" collapsed="false">
      <c r="A182" s="22"/>
      <c r="B182" s="21"/>
      <c r="C182" s="22"/>
      <c r="D182" s="22"/>
      <c r="E182" s="22"/>
      <c r="F182" s="22"/>
      <c r="G182" s="22"/>
      <c r="H182" s="22"/>
      <c r="I182" s="22"/>
      <c r="J182" s="22"/>
      <c r="K182" s="22"/>
      <c r="L182" s="25"/>
      <c r="M182" s="25"/>
      <c r="N182" s="25"/>
      <c r="O182" s="25"/>
      <c r="P182" s="24" t="str">
        <f aca="false">IFERROR(N182/O182,"")</f>
        <v/>
      </c>
      <c r="Q182" s="22"/>
      <c r="R182" s="22"/>
      <c r="S182" s="22"/>
      <c r="T182" s="22"/>
      <c r="U182" s="22"/>
      <c r="V182" s="21"/>
      <c r="W182" s="21"/>
      <c r="X182" s="22"/>
      <c r="Y182" s="21"/>
      <c r="Z182" s="22"/>
      <c r="AA182" s="22"/>
      <c r="AB182" s="22"/>
      <c r="AC182" s="22"/>
      <c r="AD182" s="22"/>
      <c r="AE182" s="22"/>
      <c r="AF182" s="22"/>
      <c r="AG182" s="21"/>
    </row>
    <row r="183" customFormat="false" ht="15" hidden="false" customHeight="false" outlineLevel="0" collapsed="false">
      <c r="A183" s="22"/>
      <c r="B183" s="21"/>
      <c r="C183" s="22"/>
      <c r="D183" s="22"/>
      <c r="E183" s="22"/>
      <c r="F183" s="22"/>
      <c r="G183" s="22"/>
      <c r="H183" s="22"/>
      <c r="I183" s="22"/>
      <c r="J183" s="22"/>
      <c r="K183" s="22"/>
      <c r="L183" s="25"/>
      <c r="M183" s="25"/>
      <c r="N183" s="25"/>
      <c r="O183" s="25"/>
      <c r="P183" s="24" t="str">
        <f aca="false">IFERROR(N183/O183,"")</f>
        <v/>
      </c>
      <c r="Q183" s="22"/>
      <c r="R183" s="22"/>
      <c r="S183" s="22"/>
      <c r="T183" s="22"/>
      <c r="U183" s="22"/>
      <c r="V183" s="21"/>
      <c r="W183" s="21"/>
      <c r="X183" s="22"/>
      <c r="Y183" s="21"/>
      <c r="Z183" s="22"/>
      <c r="AA183" s="22"/>
      <c r="AB183" s="22"/>
      <c r="AC183" s="22"/>
      <c r="AD183" s="22"/>
      <c r="AE183" s="22"/>
      <c r="AF183" s="22"/>
      <c r="AG183" s="21"/>
    </row>
    <row r="184" customFormat="false" ht="15" hidden="false" customHeight="false" outlineLevel="0" collapsed="false">
      <c r="A184" s="22"/>
      <c r="B184" s="21"/>
      <c r="C184" s="22"/>
      <c r="D184" s="22"/>
      <c r="E184" s="22"/>
      <c r="F184" s="22"/>
      <c r="G184" s="22"/>
      <c r="H184" s="22"/>
      <c r="I184" s="22"/>
      <c r="J184" s="22"/>
      <c r="K184" s="22"/>
      <c r="L184" s="25"/>
      <c r="M184" s="25"/>
      <c r="N184" s="25"/>
      <c r="O184" s="25"/>
      <c r="P184" s="24" t="str">
        <f aca="false">IFERROR(N184/O184,"")</f>
        <v/>
      </c>
      <c r="Q184" s="22"/>
      <c r="R184" s="22"/>
      <c r="S184" s="22"/>
      <c r="T184" s="22"/>
      <c r="U184" s="22"/>
      <c r="V184" s="21"/>
      <c r="W184" s="21"/>
      <c r="X184" s="22"/>
      <c r="Y184" s="21"/>
      <c r="Z184" s="22"/>
      <c r="AA184" s="22"/>
      <c r="AB184" s="22"/>
      <c r="AC184" s="22"/>
      <c r="AD184" s="22"/>
      <c r="AE184" s="22"/>
      <c r="AF184" s="22"/>
      <c r="AG184" s="21"/>
    </row>
    <row r="185" customFormat="false" ht="15" hidden="false" customHeight="false" outlineLevel="0" collapsed="false">
      <c r="A185" s="22"/>
      <c r="B185" s="21"/>
      <c r="C185" s="22"/>
      <c r="D185" s="22"/>
      <c r="E185" s="22"/>
      <c r="F185" s="22"/>
      <c r="G185" s="22"/>
      <c r="H185" s="22"/>
      <c r="I185" s="22"/>
      <c r="J185" s="22"/>
      <c r="K185" s="22"/>
      <c r="L185" s="25"/>
      <c r="M185" s="25"/>
      <c r="N185" s="25"/>
      <c r="O185" s="25"/>
      <c r="P185" s="24" t="str">
        <f aca="false">IFERROR(N185/O185,"")</f>
        <v/>
      </c>
      <c r="Q185" s="22"/>
      <c r="R185" s="22"/>
      <c r="S185" s="22"/>
      <c r="T185" s="22"/>
      <c r="U185" s="22"/>
      <c r="V185" s="21"/>
      <c r="W185" s="21"/>
      <c r="X185" s="22"/>
      <c r="Y185" s="21"/>
      <c r="Z185" s="22"/>
      <c r="AA185" s="22"/>
      <c r="AB185" s="22"/>
      <c r="AC185" s="22"/>
      <c r="AD185" s="22"/>
      <c r="AE185" s="22"/>
      <c r="AF185" s="22"/>
      <c r="AG185" s="21"/>
    </row>
    <row r="186" customFormat="false" ht="15" hidden="false" customHeight="false" outlineLevel="0" collapsed="false">
      <c r="A186" s="22"/>
      <c r="B186" s="21"/>
      <c r="C186" s="22"/>
      <c r="D186" s="22"/>
      <c r="E186" s="22"/>
      <c r="F186" s="22"/>
      <c r="G186" s="22"/>
      <c r="H186" s="22"/>
      <c r="I186" s="22"/>
      <c r="J186" s="22"/>
      <c r="K186" s="22"/>
      <c r="L186" s="25"/>
      <c r="M186" s="25"/>
      <c r="N186" s="25"/>
      <c r="O186" s="25"/>
      <c r="P186" s="24" t="str">
        <f aca="false">IFERROR(N186/O186,"")</f>
        <v/>
      </c>
      <c r="Q186" s="22"/>
      <c r="R186" s="22"/>
      <c r="S186" s="22"/>
      <c r="T186" s="22"/>
      <c r="U186" s="22"/>
      <c r="V186" s="21"/>
      <c r="W186" s="21"/>
      <c r="X186" s="22"/>
      <c r="Y186" s="21"/>
      <c r="Z186" s="22"/>
      <c r="AA186" s="22"/>
      <c r="AB186" s="22"/>
      <c r="AC186" s="22"/>
      <c r="AD186" s="22"/>
      <c r="AE186" s="22"/>
      <c r="AF186" s="22"/>
      <c r="AG186" s="21"/>
    </row>
    <row r="187" customFormat="false" ht="15" hidden="false" customHeight="false" outlineLevel="0" collapsed="false">
      <c r="A187" s="22"/>
      <c r="B187" s="21"/>
      <c r="C187" s="22"/>
      <c r="D187" s="22"/>
      <c r="E187" s="22"/>
      <c r="F187" s="22"/>
      <c r="G187" s="22"/>
      <c r="H187" s="22"/>
      <c r="I187" s="22"/>
      <c r="J187" s="22"/>
      <c r="K187" s="22"/>
      <c r="L187" s="25"/>
      <c r="M187" s="25"/>
      <c r="N187" s="25"/>
      <c r="O187" s="25"/>
      <c r="P187" s="24" t="str">
        <f aca="false">IFERROR(N187/O187,"")</f>
        <v/>
      </c>
      <c r="Q187" s="22"/>
      <c r="R187" s="22"/>
      <c r="S187" s="22"/>
      <c r="T187" s="22"/>
      <c r="U187" s="22"/>
      <c r="V187" s="21"/>
      <c r="W187" s="21"/>
      <c r="X187" s="22"/>
      <c r="Y187" s="21"/>
      <c r="Z187" s="22"/>
      <c r="AA187" s="22"/>
      <c r="AB187" s="22"/>
      <c r="AC187" s="22"/>
      <c r="AD187" s="22"/>
      <c r="AE187" s="22"/>
      <c r="AF187" s="22"/>
      <c r="AG187" s="21"/>
    </row>
    <row r="188" customFormat="false" ht="15" hidden="false" customHeight="false" outlineLevel="0" collapsed="false">
      <c r="A188" s="22"/>
      <c r="B188" s="21"/>
      <c r="C188" s="22"/>
      <c r="D188" s="22"/>
      <c r="E188" s="22"/>
      <c r="F188" s="22"/>
      <c r="G188" s="22"/>
      <c r="H188" s="22"/>
      <c r="I188" s="22"/>
      <c r="J188" s="22"/>
      <c r="K188" s="22"/>
      <c r="L188" s="25"/>
      <c r="M188" s="25"/>
      <c r="N188" s="25"/>
      <c r="O188" s="25"/>
      <c r="P188" s="24" t="str">
        <f aca="false">IFERROR(N188/O188,"")</f>
        <v/>
      </c>
      <c r="Q188" s="22"/>
      <c r="R188" s="22"/>
      <c r="S188" s="22"/>
      <c r="T188" s="22"/>
      <c r="U188" s="22"/>
      <c r="V188" s="21"/>
      <c r="W188" s="21"/>
      <c r="X188" s="22"/>
      <c r="Y188" s="21"/>
      <c r="Z188" s="22"/>
      <c r="AA188" s="22"/>
      <c r="AB188" s="22"/>
      <c r="AC188" s="22"/>
      <c r="AD188" s="22"/>
      <c r="AE188" s="22"/>
      <c r="AF188" s="22"/>
      <c r="AG188" s="21"/>
    </row>
    <row r="189" customFormat="false" ht="15" hidden="false" customHeight="false" outlineLevel="0" collapsed="false">
      <c r="A189" s="22"/>
      <c r="B189" s="21"/>
      <c r="C189" s="22"/>
      <c r="D189" s="22"/>
      <c r="E189" s="22"/>
      <c r="F189" s="22"/>
      <c r="G189" s="22"/>
      <c r="H189" s="22"/>
      <c r="I189" s="22"/>
      <c r="J189" s="22"/>
      <c r="K189" s="22"/>
      <c r="L189" s="25"/>
      <c r="M189" s="25"/>
      <c r="N189" s="25"/>
      <c r="O189" s="25"/>
      <c r="P189" s="24" t="str">
        <f aca="false">IFERROR(N189/O189,"")</f>
        <v/>
      </c>
      <c r="Q189" s="22"/>
      <c r="R189" s="22"/>
      <c r="S189" s="22"/>
      <c r="T189" s="22"/>
      <c r="U189" s="22"/>
      <c r="V189" s="21"/>
      <c r="W189" s="21"/>
      <c r="X189" s="22"/>
      <c r="Y189" s="21"/>
      <c r="Z189" s="22"/>
      <c r="AA189" s="22"/>
      <c r="AB189" s="22"/>
      <c r="AC189" s="22"/>
      <c r="AD189" s="22"/>
      <c r="AE189" s="22"/>
      <c r="AF189" s="22"/>
      <c r="AG189" s="21"/>
    </row>
    <row r="190" customFormat="false" ht="15" hidden="false" customHeight="false" outlineLevel="0" collapsed="false">
      <c r="A190" s="22"/>
      <c r="B190" s="21"/>
      <c r="C190" s="22"/>
      <c r="D190" s="22"/>
      <c r="E190" s="22"/>
      <c r="F190" s="22"/>
      <c r="G190" s="22"/>
      <c r="H190" s="22"/>
      <c r="I190" s="22"/>
      <c r="J190" s="22"/>
      <c r="K190" s="22"/>
      <c r="L190" s="25"/>
      <c r="M190" s="25"/>
      <c r="N190" s="25"/>
      <c r="O190" s="25"/>
      <c r="P190" s="24" t="str">
        <f aca="false">IFERROR(N190/O190,"")</f>
        <v/>
      </c>
      <c r="Q190" s="22"/>
      <c r="R190" s="22"/>
      <c r="S190" s="22"/>
      <c r="T190" s="22"/>
      <c r="U190" s="22"/>
      <c r="V190" s="21"/>
      <c r="W190" s="21"/>
      <c r="X190" s="22"/>
      <c r="Y190" s="21"/>
      <c r="Z190" s="22"/>
      <c r="AA190" s="22"/>
      <c r="AB190" s="22"/>
      <c r="AC190" s="22"/>
      <c r="AD190" s="22"/>
      <c r="AE190" s="22"/>
      <c r="AF190" s="22"/>
      <c r="AG190" s="21"/>
    </row>
    <row r="191" customFormat="false" ht="15" hidden="false" customHeight="false" outlineLevel="0" collapsed="false">
      <c r="A191" s="22"/>
      <c r="B191" s="21"/>
      <c r="C191" s="22"/>
      <c r="D191" s="22"/>
      <c r="E191" s="22"/>
      <c r="F191" s="22"/>
      <c r="G191" s="22"/>
      <c r="H191" s="22"/>
      <c r="I191" s="22"/>
      <c r="J191" s="22"/>
      <c r="K191" s="22"/>
      <c r="L191" s="25"/>
      <c r="M191" s="25"/>
      <c r="N191" s="25"/>
      <c r="O191" s="25"/>
      <c r="P191" s="24" t="str">
        <f aca="false">IFERROR(N191/O191,"")</f>
        <v/>
      </c>
      <c r="Q191" s="22"/>
      <c r="R191" s="22"/>
      <c r="S191" s="22"/>
      <c r="T191" s="22"/>
      <c r="U191" s="22"/>
      <c r="V191" s="21"/>
      <c r="W191" s="21"/>
      <c r="X191" s="22"/>
      <c r="Y191" s="21"/>
      <c r="Z191" s="22"/>
      <c r="AA191" s="22"/>
      <c r="AB191" s="22"/>
      <c r="AC191" s="22"/>
      <c r="AD191" s="22"/>
      <c r="AE191" s="22"/>
      <c r="AF191" s="22"/>
      <c r="AG191" s="21"/>
    </row>
    <row r="192" customFormat="false" ht="15" hidden="false" customHeight="false" outlineLevel="0" collapsed="false">
      <c r="A192" s="22"/>
      <c r="B192" s="21"/>
      <c r="C192" s="22"/>
      <c r="D192" s="22"/>
      <c r="E192" s="22"/>
      <c r="F192" s="22"/>
      <c r="G192" s="22"/>
      <c r="H192" s="22"/>
      <c r="I192" s="22"/>
      <c r="J192" s="22"/>
      <c r="K192" s="22"/>
      <c r="L192" s="25"/>
      <c r="M192" s="25"/>
      <c r="N192" s="25"/>
      <c r="O192" s="25"/>
      <c r="P192" s="24" t="str">
        <f aca="false">IFERROR(N192/O192,"")</f>
        <v/>
      </c>
      <c r="Q192" s="22"/>
      <c r="R192" s="22"/>
      <c r="S192" s="22"/>
      <c r="T192" s="22"/>
      <c r="U192" s="22"/>
      <c r="V192" s="21"/>
      <c r="W192" s="21"/>
      <c r="X192" s="22"/>
      <c r="Y192" s="21"/>
      <c r="Z192" s="22"/>
      <c r="AA192" s="22"/>
      <c r="AB192" s="22"/>
      <c r="AC192" s="22"/>
      <c r="AD192" s="22"/>
      <c r="AE192" s="22"/>
      <c r="AF192" s="22"/>
      <c r="AG192" s="21"/>
    </row>
    <row r="193" customFormat="false" ht="15" hidden="false" customHeight="false" outlineLevel="0" collapsed="false">
      <c r="A193" s="22"/>
      <c r="B193" s="21"/>
      <c r="C193" s="22"/>
      <c r="D193" s="22"/>
      <c r="E193" s="22"/>
      <c r="F193" s="22"/>
      <c r="G193" s="22"/>
      <c r="H193" s="22"/>
      <c r="I193" s="22"/>
      <c r="J193" s="22"/>
      <c r="K193" s="22"/>
      <c r="L193" s="25"/>
      <c r="M193" s="25"/>
      <c r="N193" s="25"/>
      <c r="O193" s="25"/>
      <c r="P193" s="24" t="str">
        <f aca="false">IFERROR(N193/O193,"")</f>
        <v/>
      </c>
      <c r="Q193" s="22"/>
      <c r="R193" s="22"/>
      <c r="S193" s="22"/>
      <c r="T193" s="22"/>
      <c r="U193" s="22"/>
      <c r="V193" s="21"/>
      <c r="W193" s="21"/>
      <c r="X193" s="22"/>
      <c r="Y193" s="21"/>
      <c r="Z193" s="22"/>
      <c r="AA193" s="22"/>
      <c r="AB193" s="22"/>
      <c r="AC193" s="22"/>
      <c r="AD193" s="22"/>
      <c r="AE193" s="22"/>
      <c r="AF193" s="22"/>
      <c r="AG193" s="21"/>
    </row>
    <row r="194" customFormat="false" ht="15" hidden="false" customHeight="false" outlineLevel="0" collapsed="false">
      <c r="A194" s="22"/>
      <c r="B194" s="21"/>
      <c r="C194" s="22"/>
      <c r="D194" s="22"/>
      <c r="E194" s="22"/>
      <c r="F194" s="22"/>
      <c r="G194" s="22"/>
      <c r="H194" s="22"/>
      <c r="I194" s="22"/>
      <c r="J194" s="22"/>
      <c r="K194" s="22"/>
      <c r="L194" s="25"/>
      <c r="M194" s="25"/>
      <c r="N194" s="25"/>
      <c r="O194" s="25"/>
      <c r="P194" s="24" t="str">
        <f aca="false">IFERROR(N194/O194,"")</f>
        <v/>
      </c>
      <c r="Q194" s="22"/>
      <c r="R194" s="22"/>
      <c r="S194" s="22"/>
      <c r="T194" s="22"/>
      <c r="U194" s="22"/>
      <c r="V194" s="21"/>
      <c r="W194" s="21"/>
      <c r="X194" s="22"/>
      <c r="Y194" s="21"/>
      <c r="Z194" s="22"/>
      <c r="AA194" s="22"/>
      <c r="AB194" s="22"/>
      <c r="AC194" s="22"/>
      <c r="AD194" s="22"/>
      <c r="AE194" s="22"/>
      <c r="AF194" s="22"/>
      <c r="AG194" s="21"/>
    </row>
    <row r="195" customFormat="false" ht="15" hidden="false" customHeight="false" outlineLevel="0" collapsed="false">
      <c r="A195" s="22"/>
      <c r="B195" s="21"/>
      <c r="C195" s="22"/>
      <c r="D195" s="22"/>
      <c r="E195" s="22"/>
      <c r="F195" s="22"/>
      <c r="G195" s="22"/>
      <c r="H195" s="22"/>
      <c r="I195" s="22"/>
      <c r="J195" s="22"/>
      <c r="K195" s="22"/>
      <c r="L195" s="25"/>
      <c r="M195" s="25"/>
      <c r="N195" s="25"/>
      <c r="O195" s="25"/>
      <c r="P195" s="24" t="str">
        <f aca="false">IFERROR(N195/O195,"")</f>
        <v/>
      </c>
      <c r="Q195" s="22"/>
      <c r="R195" s="22"/>
      <c r="S195" s="22"/>
      <c r="T195" s="22"/>
      <c r="U195" s="22"/>
      <c r="V195" s="21"/>
      <c r="W195" s="21"/>
      <c r="X195" s="22"/>
      <c r="Y195" s="21"/>
      <c r="Z195" s="22"/>
      <c r="AA195" s="22"/>
      <c r="AB195" s="22"/>
      <c r="AC195" s="22"/>
      <c r="AD195" s="22"/>
      <c r="AE195" s="22"/>
      <c r="AF195" s="22"/>
      <c r="AG195" s="21"/>
    </row>
    <row r="196" customFormat="false" ht="15" hidden="false" customHeight="false" outlineLevel="0" collapsed="false">
      <c r="A196" s="22"/>
      <c r="B196" s="21"/>
      <c r="C196" s="22"/>
      <c r="D196" s="22"/>
      <c r="E196" s="22"/>
      <c r="F196" s="22"/>
      <c r="G196" s="22"/>
      <c r="H196" s="22"/>
      <c r="I196" s="22"/>
      <c r="J196" s="22"/>
      <c r="K196" s="22"/>
      <c r="L196" s="25"/>
      <c r="M196" s="25"/>
      <c r="N196" s="25"/>
      <c r="O196" s="25"/>
      <c r="P196" s="24" t="str">
        <f aca="false">IFERROR(N196/O196,"")</f>
        <v/>
      </c>
      <c r="Q196" s="22"/>
      <c r="R196" s="22"/>
      <c r="S196" s="22"/>
      <c r="T196" s="22"/>
      <c r="U196" s="22"/>
      <c r="V196" s="21"/>
      <c r="W196" s="21"/>
      <c r="X196" s="22"/>
      <c r="Y196" s="21"/>
      <c r="Z196" s="22"/>
      <c r="AA196" s="22"/>
      <c r="AB196" s="22"/>
      <c r="AC196" s="22"/>
      <c r="AD196" s="22"/>
      <c r="AE196" s="22"/>
      <c r="AF196" s="22"/>
      <c r="AG196" s="21"/>
    </row>
    <row r="197" customFormat="false" ht="15" hidden="false" customHeight="false" outlineLevel="0" collapsed="false">
      <c r="A197" s="22"/>
      <c r="B197" s="21"/>
      <c r="C197" s="22"/>
      <c r="D197" s="22"/>
      <c r="E197" s="22"/>
      <c r="F197" s="22"/>
      <c r="G197" s="22"/>
      <c r="H197" s="22"/>
      <c r="I197" s="22"/>
      <c r="J197" s="22"/>
      <c r="K197" s="22"/>
      <c r="L197" s="25"/>
      <c r="M197" s="25"/>
      <c r="N197" s="25"/>
      <c r="O197" s="25"/>
      <c r="P197" s="24" t="str">
        <f aca="false">IFERROR(N197/O197,"")</f>
        <v/>
      </c>
      <c r="Q197" s="22"/>
      <c r="R197" s="22"/>
      <c r="S197" s="22"/>
      <c r="T197" s="22"/>
      <c r="U197" s="22"/>
      <c r="V197" s="21"/>
      <c r="W197" s="21"/>
      <c r="X197" s="22"/>
      <c r="Y197" s="21"/>
      <c r="Z197" s="22"/>
      <c r="AA197" s="22"/>
      <c r="AB197" s="22"/>
      <c r="AC197" s="22"/>
      <c r="AD197" s="22"/>
      <c r="AE197" s="22"/>
      <c r="AF197" s="22"/>
      <c r="AG197" s="21"/>
    </row>
    <row r="198" customFormat="false" ht="15" hidden="false" customHeight="false" outlineLevel="0" collapsed="false">
      <c r="A198" s="22"/>
      <c r="B198" s="21"/>
      <c r="C198" s="22"/>
      <c r="D198" s="22"/>
      <c r="E198" s="22"/>
      <c r="F198" s="22"/>
      <c r="G198" s="22"/>
      <c r="H198" s="22"/>
      <c r="I198" s="22"/>
      <c r="J198" s="22"/>
      <c r="K198" s="22"/>
      <c r="L198" s="25"/>
      <c r="M198" s="25"/>
      <c r="N198" s="25"/>
      <c r="O198" s="25"/>
      <c r="P198" s="24" t="str">
        <f aca="false">IFERROR(N198/O198,"")</f>
        <v/>
      </c>
      <c r="Q198" s="22"/>
      <c r="R198" s="22"/>
      <c r="S198" s="22"/>
      <c r="T198" s="22"/>
      <c r="U198" s="22"/>
      <c r="V198" s="21"/>
      <c r="W198" s="21"/>
      <c r="X198" s="22"/>
      <c r="Y198" s="21"/>
      <c r="Z198" s="22"/>
      <c r="AA198" s="22"/>
      <c r="AB198" s="22"/>
      <c r="AC198" s="22"/>
      <c r="AD198" s="22"/>
      <c r="AE198" s="22"/>
      <c r="AF198" s="22"/>
      <c r="AG198" s="21"/>
    </row>
    <row r="199" customFormat="false" ht="15" hidden="false" customHeight="false" outlineLevel="0" collapsed="false">
      <c r="A199" s="22"/>
      <c r="B199" s="21"/>
      <c r="C199" s="22"/>
      <c r="D199" s="22"/>
      <c r="E199" s="22"/>
      <c r="F199" s="22"/>
      <c r="G199" s="22"/>
      <c r="H199" s="22"/>
      <c r="I199" s="22"/>
      <c r="J199" s="22"/>
      <c r="K199" s="22"/>
      <c r="L199" s="25"/>
      <c r="M199" s="25"/>
      <c r="N199" s="25"/>
      <c r="O199" s="25"/>
      <c r="P199" s="24" t="str">
        <f aca="false">IFERROR(N199/O199,"")</f>
        <v/>
      </c>
      <c r="Q199" s="22"/>
      <c r="R199" s="22"/>
      <c r="S199" s="22"/>
      <c r="T199" s="22"/>
      <c r="U199" s="22"/>
      <c r="V199" s="21"/>
      <c r="W199" s="21"/>
      <c r="X199" s="22"/>
      <c r="Y199" s="21"/>
      <c r="Z199" s="22"/>
      <c r="AA199" s="22"/>
      <c r="AB199" s="22"/>
      <c r="AC199" s="22"/>
      <c r="AD199" s="22"/>
      <c r="AE199" s="22"/>
      <c r="AF199" s="22"/>
      <c r="AG199" s="21"/>
    </row>
    <row r="200" customFormat="false" ht="15" hidden="false" customHeight="false" outlineLevel="0" collapsed="false">
      <c r="A200" s="22"/>
      <c r="B200" s="21"/>
      <c r="C200" s="22"/>
      <c r="D200" s="22"/>
      <c r="E200" s="22"/>
      <c r="F200" s="22"/>
      <c r="G200" s="22"/>
      <c r="H200" s="22"/>
      <c r="I200" s="22"/>
      <c r="J200" s="22"/>
      <c r="K200" s="22"/>
      <c r="L200" s="25"/>
      <c r="M200" s="25"/>
      <c r="N200" s="25"/>
      <c r="O200" s="25"/>
      <c r="P200" s="24" t="str">
        <f aca="false">IFERROR(N200/O200,"")</f>
        <v/>
      </c>
      <c r="Q200" s="22"/>
      <c r="R200" s="22"/>
      <c r="S200" s="22"/>
      <c r="T200" s="22"/>
      <c r="U200" s="22"/>
      <c r="V200" s="21"/>
      <c r="W200" s="21"/>
      <c r="X200" s="22"/>
      <c r="Y200" s="21"/>
      <c r="Z200" s="22"/>
      <c r="AA200" s="22"/>
      <c r="AB200" s="22"/>
      <c r="AC200" s="22"/>
      <c r="AD200" s="22"/>
      <c r="AE200" s="22"/>
      <c r="AF200" s="22"/>
      <c r="AG200" s="21"/>
    </row>
    <row r="201" customFormat="false" ht="15" hidden="false" customHeight="false" outlineLevel="0" collapsed="false">
      <c r="A201" s="22"/>
      <c r="B201" s="21"/>
      <c r="C201" s="22"/>
      <c r="D201" s="22"/>
      <c r="E201" s="22"/>
      <c r="F201" s="22"/>
      <c r="G201" s="22"/>
      <c r="H201" s="22"/>
      <c r="I201" s="22"/>
      <c r="J201" s="22"/>
      <c r="K201" s="22"/>
      <c r="L201" s="25"/>
      <c r="M201" s="25"/>
      <c r="N201" s="25"/>
      <c r="O201" s="25"/>
      <c r="P201" s="24" t="str">
        <f aca="false">IFERROR(N201/O201,"")</f>
        <v/>
      </c>
      <c r="Q201" s="22"/>
      <c r="R201" s="22"/>
      <c r="S201" s="22"/>
      <c r="T201" s="22"/>
      <c r="U201" s="22"/>
      <c r="V201" s="21"/>
      <c r="W201" s="21"/>
      <c r="X201" s="22"/>
      <c r="Y201" s="21"/>
      <c r="Z201" s="22"/>
      <c r="AA201" s="22"/>
      <c r="AB201" s="22"/>
      <c r="AC201" s="22"/>
      <c r="AD201" s="22"/>
      <c r="AE201" s="22"/>
      <c r="AF201" s="22"/>
      <c r="AG201" s="21"/>
    </row>
    <row r="202" customFormat="false" ht="15" hidden="false" customHeight="false" outlineLevel="0" collapsed="false">
      <c r="A202" s="22"/>
      <c r="B202" s="21"/>
      <c r="C202" s="22"/>
      <c r="D202" s="22"/>
      <c r="E202" s="22"/>
      <c r="F202" s="22"/>
      <c r="G202" s="22"/>
      <c r="H202" s="22"/>
      <c r="I202" s="22"/>
      <c r="J202" s="22"/>
      <c r="K202" s="22"/>
      <c r="L202" s="25"/>
      <c r="M202" s="25"/>
      <c r="N202" s="25"/>
      <c r="O202" s="25"/>
      <c r="P202" s="24" t="str">
        <f aca="false">IFERROR(N202/O202,"")</f>
        <v/>
      </c>
      <c r="Q202" s="22"/>
      <c r="R202" s="22"/>
      <c r="S202" s="22"/>
      <c r="T202" s="22"/>
      <c r="U202" s="22"/>
      <c r="V202" s="21"/>
      <c r="W202" s="21"/>
      <c r="X202" s="22"/>
      <c r="Y202" s="21"/>
      <c r="Z202" s="22"/>
      <c r="AA202" s="22"/>
      <c r="AB202" s="22"/>
      <c r="AC202" s="22"/>
      <c r="AD202" s="22"/>
      <c r="AE202" s="22"/>
      <c r="AF202" s="22"/>
      <c r="AG202" s="21"/>
    </row>
    <row r="203" customFormat="false" ht="15" hidden="false" customHeight="false" outlineLevel="0" collapsed="false">
      <c r="A203" s="22"/>
      <c r="B203" s="21"/>
      <c r="C203" s="22"/>
      <c r="D203" s="22"/>
      <c r="E203" s="22"/>
      <c r="F203" s="22"/>
      <c r="G203" s="22"/>
      <c r="H203" s="22"/>
      <c r="I203" s="22"/>
      <c r="J203" s="22"/>
      <c r="K203" s="22"/>
      <c r="L203" s="25"/>
      <c r="M203" s="25"/>
      <c r="N203" s="25"/>
      <c r="O203" s="25"/>
      <c r="P203" s="24" t="str">
        <f aca="false">IFERROR(N203/O203,"")</f>
        <v/>
      </c>
      <c r="Q203" s="22"/>
      <c r="R203" s="22"/>
      <c r="S203" s="22"/>
      <c r="T203" s="22"/>
      <c r="U203" s="22"/>
      <c r="V203" s="21"/>
      <c r="W203" s="21"/>
      <c r="X203" s="22"/>
      <c r="Y203" s="21"/>
      <c r="Z203" s="22"/>
      <c r="AA203" s="22"/>
      <c r="AB203" s="22"/>
      <c r="AC203" s="22"/>
      <c r="AD203" s="22"/>
      <c r="AE203" s="22"/>
      <c r="AF203" s="22"/>
      <c r="AG203" s="21"/>
    </row>
    <row r="204" customFormat="false" ht="15" hidden="false" customHeight="false" outlineLevel="0" collapsed="false">
      <c r="A204" s="22"/>
      <c r="B204" s="21"/>
      <c r="C204" s="22"/>
      <c r="D204" s="22"/>
      <c r="E204" s="22"/>
      <c r="F204" s="22"/>
      <c r="G204" s="22"/>
      <c r="H204" s="22"/>
      <c r="I204" s="22"/>
      <c r="J204" s="22"/>
      <c r="K204" s="22"/>
      <c r="L204" s="25"/>
      <c r="M204" s="25"/>
      <c r="N204" s="25"/>
      <c r="O204" s="25"/>
      <c r="P204" s="24" t="str">
        <f aca="false">IFERROR(N204/O204,"")</f>
        <v/>
      </c>
      <c r="Q204" s="22"/>
      <c r="R204" s="22"/>
      <c r="S204" s="22"/>
      <c r="T204" s="22"/>
      <c r="U204" s="22"/>
      <c r="V204" s="21"/>
      <c r="W204" s="21"/>
      <c r="X204" s="22"/>
      <c r="Y204" s="21"/>
      <c r="Z204" s="22"/>
      <c r="AA204" s="22"/>
      <c r="AB204" s="22"/>
      <c r="AC204" s="22"/>
      <c r="AD204" s="22"/>
      <c r="AE204" s="22"/>
      <c r="AF204" s="22"/>
      <c r="AG204" s="21"/>
    </row>
    <row r="205" customFormat="false" ht="15" hidden="false" customHeight="false" outlineLevel="0" collapsed="false">
      <c r="A205" s="22"/>
      <c r="B205" s="21"/>
      <c r="C205" s="22"/>
      <c r="D205" s="22"/>
      <c r="E205" s="22"/>
      <c r="F205" s="22"/>
      <c r="G205" s="22"/>
      <c r="H205" s="22"/>
      <c r="I205" s="22"/>
      <c r="J205" s="22"/>
      <c r="K205" s="22"/>
      <c r="L205" s="25"/>
      <c r="M205" s="25"/>
      <c r="N205" s="25"/>
      <c r="O205" s="25"/>
      <c r="P205" s="24" t="str">
        <f aca="false">IFERROR(N205/O205,"")</f>
        <v/>
      </c>
      <c r="Q205" s="22"/>
      <c r="R205" s="22"/>
      <c r="S205" s="22"/>
      <c r="T205" s="22"/>
      <c r="U205" s="22"/>
      <c r="V205" s="21"/>
      <c r="W205" s="21"/>
      <c r="X205" s="22"/>
      <c r="Y205" s="21"/>
      <c r="Z205" s="22"/>
      <c r="AA205" s="22"/>
      <c r="AB205" s="22"/>
      <c r="AC205" s="22"/>
      <c r="AD205" s="22"/>
      <c r="AE205" s="22"/>
      <c r="AF205" s="22"/>
      <c r="AG205" s="21"/>
    </row>
    <row r="206" customFormat="false" ht="15" hidden="false" customHeight="false" outlineLevel="0" collapsed="false">
      <c r="A206" s="22"/>
      <c r="B206" s="21"/>
      <c r="C206" s="22"/>
      <c r="D206" s="22"/>
      <c r="E206" s="22"/>
      <c r="F206" s="22"/>
      <c r="G206" s="22"/>
      <c r="H206" s="22"/>
      <c r="I206" s="22"/>
      <c r="J206" s="22"/>
      <c r="K206" s="22"/>
      <c r="L206" s="25"/>
      <c r="M206" s="25"/>
      <c r="N206" s="25"/>
      <c r="O206" s="25"/>
      <c r="P206" s="24" t="str">
        <f aca="false">IFERROR(N206/O206,"")</f>
        <v/>
      </c>
      <c r="Q206" s="22"/>
      <c r="R206" s="22"/>
      <c r="S206" s="22"/>
      <c r="T206" s="22"/>
      <c r="U206" s="22"/>
      <c r="V206" s="21"/>
      <c r="W206" s="21"/>
      <c r="X206" s="22"/>
      <c r="Y206" s="21"/>
      <c r="Z206" s="22"/>
      <c r="AA206" s="22"/>
      <c r="AB206" s="22"/>
      <c r="AC206" s="22"/>
      <c r="AD206" s="22"/>
      <c r="AE206" s="22"/>
      <c r="AF206" s="22"/>
      <c r="AG206" s="21"/>
    </row>
    <row r="207" customFormat="false" ht="15" hidden="false" customHeight="false" outlineLevel="0" collapsed="false">
      <c r="A207" s="22"/>
      <c r="B207" s="21"/>
      <c r="C207" s="22"/>
      <c r="D207" s="22"/>
      <c r="E207" s="22"/>
      <c r="F207" s="22"/>
      <c r="G207" s="22"/>
      <c r="H207" s="22"/>
      <c r="I207" s="22"/>
      <c r="J207" s="22"/>
      <c r="K207" s="22"/>
      <c r="L207" s="25"/>
      <c r="M207" s="25"/>
      <c r="N207" s="25"/>
      <c r="O207" s="25"/>
      <c r="P207" s="24" t="str">
        <f aca="false">IFERROR(N207/O207,"")</f>
        <v/>
      </c>
      <c r="Q207" s="22"/>
      <c r="R207" s="22"/>
      <c r="S207" s="22"/>
      <c r="T207" s="22"/>
      <c r="U207" s="22"/>
      <c r="V207" s="21"/>
      <c r="W207" s="21"/>
      <c r="X207" s="22"/>
      <c r="Y207" s="21"/>
      <c r="Z207" s="22"/>
      <c r="AA207" s="22"/>
      <c r="AB207" s="22"/>
      <c r="AC207" s="22"/>
      <c r="AD207" s="22"/>
      <c r="AE207" s="22"/>
      <c r="AF207" s="22"/>
      <c r="AG207" s="21"/>
    </row>
    <row r="208" customFormat="false" ht="15" hidden="false" customHeight="false" outlineLevel="0" collapsed="false">
      <c r="A208" s="22"/>
      <c r="B208" s="21"/>
      <c r="C208" s="22"/>
      <c r="D208" s="22"/>
      <c r="E208" s="22"/>
      <c r="F208" s="22"/>
      <c r="G208" s="22"/>
      <c r="H208" s="22"/>
      <c r="I208" s="22"/>
      <c r="J208" s="22"/>
      <c r="K208" s="22"/>
      <c r="L208" s="25"/>
      <c r="M208" s="25"/>
      <c r="N208" s="25"/>
      <c r="O208" s="25"/>
      <c r="P208" s="24" t="str">
        <f aca="false">IFERROR(N208/O208,"")</f>
        <v/>
      </c>
      <c r="Q208" s="22"/>
      <c r="R208" s="22"/>
      <c r="S208" s="22"/>
      <c r="T208" s="22"/>
      <c r="U208" s="22"/>
      <c r="V208" s="21"/>
      <c r="W208" s="21"/>
      <c r="X208" s="22"/>
      <c r="Y208" s="21"/>
      <c r="Z208" s="22"/>
      <c r="AA208" s="22"/>
      <c r="AB208" s="22"/>
      <c r="AC208" s="22"/>
      <c r="AD208" s="22"/>
      <c r="AE208" s="22"/>
      <c r="AF208" s="22"/>
      <c r="AG208" s="21"/>
    </row>
    <row r="209" customFormat="false" ht="15" hidden="false" customHeight="false" outlineLevel="0" collapsed="false">
      <c r="A209" s="22"/>
      <c r="B209" s="21"/>
      <c r="C209" s="22"/>
      <c r="D209" s="22"/>
      <c r="E209" s="22"/>
      <c r="F209" s="22"/>
      <c r="G209" s="22"/>
      <c r="H209" s="22"/>
      <c r="I209" s="22"/>
      <c r="J209" s="22"/>
      <c r="K209" s="22"/>
      <c r="L209" s="25"/>
      <c r="M209" s="25"/>
      <c r="N209" s="25"/>
      <c r="O209" s="25"/>
      <c r="P209" s="24" t="str">
        <f aca="false">IFERROR(N209/O209,"")</f>
        <v/>
      </c>
      <c r="Q209" s="22"/>
      <c r="R209" s="22"/>
      <c r="S209" s="22"/>
      <c r="T209" s="22"/>
      <c r="U209" s="22"/>
      <c r="V209" s="21"/>
      <c r="W209" s="21"/>
      <c r="X209" s="22"/>
      <c r="Y209" s="21"/>
      <c r="Z209" s="22"/>
      <c r="AA209" s="22"/>
      <c r="AB209" s="22"/>
      <c r="AC209" s="22"/>
      <c r="AD209" s="22"/>
      <c r="AE209" s="22"/>
      <c r="AF209" s="22"/>
      <c r="AG209" s="21"/>
    </row>
    <row r="210" customFormat="false" ht="15" hidden="false" customHeight="false" outlineLevel="0" collapsed="false">
      <c r="A210" s="22"/>
      <c r="B210" s="21"/>
      <c r="C210" s="22"/>
      <c r="D210" s="22"/>
      <c r="E210" s="22"/>
      <c r="F210" s="22"/>
      <c r="G210" s="22"/>
      <c r="H210" s="22"/>
      <c r="I210" s="22"/>
      <c r="J210" s="22"/>
      <c r="K210" s="22"/>
      <c r="L210" s="25"/>
      <c r="M210" s="25"/>
      <c r="N210" s="25"/>
      <c r="O210" s="25"/>
      <c r="P210" s="24" t="str">
        <f aca="false">IFERROR(N210/O210,"")</f>
        <v/>
      </c>
      <c r="Q210" s="22"/>
      <c r="R210" s="22"/>
      <c r="S210" s="22"/>
      <c r="T210" s="22"/>
      <c r="U210" s="22"/>
      <c r="V210" s="21"/>
      <c r="W210" s="21"/>
      <c r="X210" s="22"/>
      <c r="Y210" s="21"/>
      <c r="Z210" s="22"/>
      <c r="AA210" s="22"/>
      <c r="AB210" s="22"/>
      <c r="AC210" s="22"/>
      <c r="AD210" s="22"/>
      <c r="AE210" s="22"/>
      <c r="AF210" s="22"/>
      <c r="AG210" s="21"/>
    </row>
    <row r="211" customFormat="false" ht="15" hidden="false" customHeight="false" outlineLevel="0" collapsed="false">
      <c r="A211" s="22"/>
      <c r="B211" s="21"/>
      <c r="C211" s="22"/>
      <c r="D211" s="22"/>
      <c r="E211" s="22"/>
      <c r="F211" s="22"/>
      <c r="G211" s="22"/>
      <c r="H211" s="22"/>
      <c r="I211" s="22"/>
      <c r="J211" s="22"/>
      <c r="K211" s="22"/>
      <c r="L211" s="25"/>
      <c r="M211" s="25"/>
      <c r="N211" s="25"/>
      <c r="O211" s="25"/>
      <c r="P211" s="24" t="str">
        <f aca="false">IFERROR(N211/O211,"")</f>
        <v/>
      </c>
      <c r="Q211" s="22"/>
      <c r="R211" s="22"/>
      <c r="S211" s="22"/>
      <c r="T211" s="22"/>
      <c r="U211" s="22"/>
      <c r="V211" s="21"/>
      <c r="W211" s="21"/>
      <c r="X211" s="22"/>
      <c r="Y211" s="21"/>
      <c r="Z211" s="22"/>
      <c r="AA211" s="22"/>
      <c r="AB211" s="22"/>
      <c r="AC211" s="22"/>
      <c r="AD211" s="22"/>
      <c r="AE211" s="22"/>
      <c r="AF211" s="22"/>
      <c r="AG211" s="21"/>
    </row>
    <row r="212" customFormat="false" ht="15" hidden="false" customHeight="false" outlineLevel="0" collapsed="false">
      <c r="A212" s="22"/>
      <c r="B212" s="21"/>
      <c r="C212" s="22"/>
      <c r="D212" s="22"/>
      <c r="E212" s="22"/>
      <c r="F212" s="22"/>
      <c r="G212" s="22"/>
      <c r="H212" s="22"/>
      <c r="I212" s="22"/>
      <c r="J212" s="22"/>
      <c r="K212" s="22"/>
      <c r="L212" s="25"/>
      <c r="M212" s="25"/>
      <c r="N212" s="25"/>
      <c r="O212" s="25"/>
      <c r="P212" s="24" t="str">
        <f aca="false">IFERROR(N212/O212,"")</f>
        <v/>
      </c>
      <c r="Q212" s="22"/>
      <c r="R212" s="22"/>
      <c r="S212" s="22"/>
      <c r="T212" s="22"/>
      <c r="U212" s="22"/>
      <c r="V212" s="21"/>
      <c r="W212" s="21"/>
      <c r="X212" s="22"/>
      <c r="Y212" s="21"/>
      <c r="Z212" s="22"/>
      <c r="AA212" s="22"/>
      <c r="AB212" s="22"/>
      <c r="AC212" s="22"/>
      <c r="AD212" s="22"/>
      <c r="AE212" s="22"/>
      <c r="AF212" s="22"/>
      <c r="AG212" s="21"/>
    </row>
    <row r="213" customFormat="false" ht="15" hidden="false" customHeight="false" outlineLevel="0" collapsed="false">
      <c r="A213" s="22"/>
      <c r="B213" s="21"/>
      <c r="C213" s="22"/>
      <c r="D213" s="22"/>
      <c r="E213" s="22"/>
      <c r="F213" s="22"/>
      <c r="G213" s="22"/>
      <c r="H213" s="22"/>
      <c r="I213" s="22"/>
      <c r="J213" s="22"/>
      <c r="K213" s="22"/>
      <c r="L213" s="25"/>
      <c r="M213" s="25"/>
      <c r="N213" s="25"/>
      <c r="O213" s="25"/>
      <c r="P213" s="24" t="str">
        <f aca="false">IFERROR(N213/O213,"")</f>
        <v/>
      </c>
      <c r="Q213" s="22"/>
      <c r="R213" s="22"/>
      <c r="S213" s="22"/>
      <c r="T213" s="22"/>
      <c r="U213" s="22"/>
      <c r="V213" s="21"/>
      <c r="W213" s="21"/>
      <c r="X213" s="22"/>
      <c r="Y213" s="21"/>
      <c r="Z213" s="22"/>
      <c r="AA213" s="22"/>
      <c r="AB213" s="22"/>
      <c r="AC213" s="22"/>
      <c r="AD213" s="22"/>
      <c r="AE213" s="22"/>
      <c r="AF213" s="22"/>
      <c r="AG213" s="21"/>
    </row>
    <row r="214" customFormat="false" ht="15" hidden="false" customHeight="false" outlineLevel="0" collapsed="false">
      <c r="A214" s="22"/>
      <c r="B214" s="21"/>
      <c r="C214" s="22"/>
      <c r="D214" s="22"/>
      <c r="E214" s="22"/>
      <c r="F214" s="22"/>
      <c r="G214" s="22"/>
      <c r="H214" s="22"/>
      <c r="I214" s="22"/>
      <c r="J214" s="22"/>
      <c r="K214" s="22"/>
      <c r="L214" s="25"/>
      <c r="M214" s="25"/>
      <c r="N214" s="25"/>
      <c r="O214" s="25"/>
      <c r="P214" s="24" t="str">
        <f aca="false">IFERROR(N214/O214,"")</f>
        <v/>
      </c>
      <c r="Q214" s="22"/>
      <c r="R214" s="22"/>
      <c r="S214" s="22"/>
      <c r="T214" s="22"/>
      <c r="U214" s="22"/>
      <c r="V214" s="21"/>
      <c r="W214" s="21"/>
      <c r="X214" s="22"/>
      <c r="Y214" s="21"/>
      <c r="Z214" s="22"/>
      <c r="AA214" s="22"/>
      <c r="AB214" s="22"/>
      <c r="AC214" s="22"/>
      <c r="AD214" s="22"/>
      <c r="AE214" s="22"/>
      <c r="AF214" s="22"/>
      <c r="AG214" s="21"/>
    </row>
    <row r="215" customFormat="false" ht="15" hidden="false" customHeight="false" outlineLevel="0" collapsed="false">
      <c r="A215" s="22"/>
      <c r="B215" s="21"/>
      <c r="C215" s="22"/>
      <c r="D215" s="22"/>
      <c r="E215" s="22"/>
      <c r="F215" s="22"/>
      <c r="G215" s="22"/>
      <c r="H215" s="22"/>
      <c r="I215" s="22"/>
      <c r="J215" s="22"/>
      <c r="K215" s="22"/>
      <c r="L215" s="25"/>
      <c r="M215" s="25"/>
      <c r="N215" s="25"/>
      <c r="O215" s="25"/>
      <c r="P215" s="24" t="str">
        <f aca="false">IFERROR(N215/O215,"")</f>
        <v/>
      </c>
      <c r="Q215" s="22"/>
      <c r="R215" s="22"/>
      <c r="S215" s="22"/>
      <c r="T215" s="22"/>
      <c r="U215" s="22"/>
      <c r="V215" s="21"/>
      <c r="W215" s="21"/>
      <c r="X215" s="22"/>
      <c r="Y215" s="21"/>
      <c r="Z215" s="22"/>
      <c r="AA215" s="22"/>
      <c r="AB215" s="22"/>
      <c r="AC215" s="22"/>
      <c r="AD215" s="22"/>
      <c r="AE215" s="22"/>
      <c r="AF215" s="22"/>
      <c r="AG215" s="21"/>
    </row>
    <row r="216" customFormat="false" ht="15" hidden="false" customHeight="false" outlineLevel="0" collapsed="false">
      <c r="A216" s="22"/>
      <c r="B216" s="21"/>
      <c r="C216" s="22"/>
      <c r="D216" s="22"/>
      <c r="E216" s="22"/>
      <c r="F216" s="22"/>
      <c r="G216" s="22"/>
      <c r="H216" s="22"/>
      <c r="I216" s="22"/>
      <c r="J216" s="22"/>
      <c r="K216" s="22"/>
      <c r="L216" s="25"/>
      <c r="M216" s="25"/>
      <c r="N216" s="25"/>
      <c r="O216" s="25"/>
      <c r="P216" s="24" t="str">
        <f aca="false">IFERROR(N216/O216,"")</f>
        <v/>
      </c>
      <c r="Q216" s="22"/>
      <c r="R216" s="22"/>
      <c r="S216" s="22"/>
      <c r="T216" s="22"/>
      <c r="U216" s="22"/>
      <c r="V216" s="21"/>
      <c r="W216" s="21"/>
      <c r="X216" s="22"/>
      <c r="Y216" s="21"/>
      <c r="Z216" s="22"/>
      <c r="AA216" s="22"/>
      <c r="AB216" s="22"/>
      <c r="AC216" s="22"/>
      <c r="AD216" s="22"/>
      <c r="AE216" s="22"/>
      <c r="AF216" s="22"/>
      <c r="AG216" s="21"/>
    </row>
    <row r="217" customFormat="false" ht="15" hidden="false" customHeight="false" outlineLevel="0" collapsed="false">
      <c r="A217" s="22"/>
      <c r="B217" s="21"/>
      <c r="C217" s="22"/>
      <c r="D217" s="22"/>
      <c r="E217" s="22"/>
      <c r="F217" s="22"/>
      <c r="G217" s="22"/>
      <c r="H217" s="22"/>
      <c r="I217" s="22"/>
      <c r="J217" s="22"/>
      <c r="K217" s="22"/>
      <c r="L217" s="25"/>
      <c r="M217" s="25"/>
      <c r="N217" s="25"/>
      <c r="O217" s="25"/>
      <c r="P217" s="24" t="str">
        <f aca="false">IFERROR(N217/O217,"")</f>
        <v/>
      </c>
      <c r="Q217" s="22"/>
      <c r="R217" s="22"/>
      <c r="S217" s="22"/>
      <c r="T217" s="22"/>
      <c r="U217" s="22"/>
      <c r="V217" s="21"/>
      <c r="W217" s="21"/>
      <c r="X217" s="22"/>
      <c r="Y217" s="21"/>
      <c r="Z217" s="22"/>
      <c r="AA217" s="22"/>
      <c r="AB217" s="22"/>
      <c r="AC217" s="22"/>
      <c r="AD217" s="22"/>
      <c r="AE217" s="22"/>
      <c r="AF217" s="22"/>
      <c r="AG217" s="21"/>
    </row>
    <row r="218" customFormat="false" ht="15" hidden="false" customHeight="false" outlineLevel="0" collapsed="false">
      <c r="A218" s="22"/>
      <c r="B218" s="21"/>
      <c r="C218" s="22"/>
      <c r="D218" s="22"/>
      <c r="E218" s="22"/>
      <c r="F218" s="22"/>
      <c r="G218" s="22"/>
      <c r="H218" s="22"/>
      <c r="I218" s="22"/>
      <c r="J218" s="22"/>
      <c r="K218" s="22"/>
      <c r="L218" s="25"/>
      <c r="M218" s="25"/>
      <c r="N218" s="25"/>
      <c r="O218" s="25"/>
      <c r="P218" s="24" t="str">
        <f aca="false">IFERROR(N218/O218,"")</f>
        <v/>
      </c>
      <c r="Q218" s="22"/>
      <c r="R218" s="22"/>
      <c r="S218" s="22"/>
      <c r="T218" s="22"/>
      <c r="U218" s="22"/>
      <c r="V218" s="21"/>
      <c r="W218" s="21"/>
      <c r="X218" s="22"/>
      <c r="Y218" s="21"/>
      <c r="Z218" s="22"/>
      <c r="AA218" s="22"/>
      <c r="AB218" s="22"/>
      <c r="AC218" s="22"/>
      <c r="AD218" s="22"/>
      <c r="AE218" s="22"/>
      <c r="AF218" s="22"/>
      <c r="AG218" s="21"/>
    </row>
    <row r="219" customFormat="false" ht="15" hidden="false" customHeight="false" outlineLevel="0" collapsed="false">
      <c r="A219" s="22"/>
      <c r="B219" s="21"/>
      <c r="C219" s="22"/>
      <c r="D219" s="22"/>
      <c r="E219" s="22"/>
      <c r="F219" s="22"/>
      <c r="G219" s="22"/>
      <c r="H219" s="22"/>
      <c r="I219" s="22"/>
      <c r="J219" s="22"/>
      <c r="K219" s="22"/>
      <c r="L219" s="25"/>
      <c r="M219" s="25"/>
      <c r="N219" s="25"/>
      <c r="O219" s="25"/>
      <c r="P219" s="24" t="str">
        <f aca="false">IFERROR(N219/O219,"")</f>
        <v/>
      </c>
      <c r="Q219" s="22"/>
      <c r="R219" s="22"/>
      <c r="S219" s="22"/>
      <c r="T219" s="22"/>
      <c r="U219" s="22"/>
      <c r="V219" s="21"/>
      <c r="W219" s="21"/>
      <c r="X219" s="22"/>
      <c r="Y219" s="21"/>
      <c r="Z219" s="22"/>
      <c r="AA219" s="22"/>
      <c r="AB219" s="22"/>
      <c r="AC219" s="22"/>
      <c r="AD219" s="22"/>
      <c r="AE219" s="22"/>
      <c r="AF219" s="22"/>
      <c r="AG219" s="21"/>
    </row>
    <row r="220" customFormat="false" ht="15" hidden="false" customHeight="false" outlineLevel="0" collapsed="false">
      <c r="A220" s="22"/>
      <c r="B220" s="21"/>
      <c r="C220" s="22"/>
      <c r="D220" s="22"/>
      <c r="E220" s="22"/>
      <c r="F220" s="22"/>
      <c r="G220" s="22"/>
      <c r="H220" s="22"/>
      <c r="I220" s="22"/>
      <c r="J220" s="22"/>
      <c r="K220" s="22"/>
      <c r="L220" s="25"/>
      <c r="M220" s="25"/>
      <c r="N220" s="25"/>
      <c r="O220" s="25"/>
      <c r="P220" s="24" t="str">
        <f aca="false">IFERROR(N220/O220,"")</f>
        <v/>
      </c>
      <c r="Q220" s="22"/>
      <c r="R220" s="22"/>
      <c r="S220" s="22"/>
      <c r="T220" s="22"/>
      <c r="U220" s="22"/>
      <c r="V220" s="21"/>
      <c r="W220" s="21"/>
      <c r="X220" s="22"/>
      <c r="Y220" s="21"/>
      <c r="Z220" s="22"/>
      <c r="AA220" s="22"/>
      <c r="AB220" s="22"/>
      <c r="AC220" s="22"/>
      <c r="AD220" s="22"/>
      <c r="AE220" s="22"/>
      <c r="AF220" s="22"/>
      <c r="AG220" s="21"/>
    </row>
    <row r="221" customFormat="false" ht="15" hidden="false" customHeight="false" outlineLevel="0" collapsed="false">
      <c r="A221" s="22"/>
      <c r="B221" s="21"/>
      <c r="C221" s="22"/>
      <c r="D221" s="22"/>
      <c r="E221" s="22"/>
      <c r="F221" s="22"/>
      <c r="G221" s="22"/>
      <c r="H221" s="22"/>
      <c r="I221" s="22"/>
      <c r="J221" s="22"/>
      <c r="K221" s="22"/>
      <c r="L221" s="25"/>
      <c r="M221" s="25"/>
      <c r="N221" s="25"/>
      <c r="O221" s="25"/>
      <c r="P221" s="24" t="str">
        <f aca="false">IFERROR(N221/O221,"")</f>
        <v/>
      </c>
      <c r="Q221" s="22"/>
      <c r="R221" s="22"/>
      <c r="S221" s="22"/>
      <c r="T221" s="22"/>
      <c r="U221" s="22"/>
      <c r="V221" s="21"/>
      <c r="W221" s="21"/>
      <c r="X221" s="22"/>
      <c r="Y221" s="21"/>
      <c r="Z221" s="22"/>
      <c r="AA221" s="22"/>
      <c r="AB221" s="22"/>
      <c r="AC221" s="22"/>
      <c r="AD221" s="22"/>
      <c r="AE221" s="22"/>
      <c r="AF221" s="22"/>
      <c r="AG221" s="21"/>
    </row>
    <row r="222" customFormat="false" ht="15" hidden="false" customHeight="false" outlineLevel="0" collapsed="false">
      <c r="A222" s="22"/>
      <c r="B222" s="21"/>
      <c r="C222" s="22"/>
      <c r="D222" s="22"/>
      <c r="E222" s="22"/>
      <c r="F222" s="22"/>
      <c r="G222" s="22"/>
      <c r="H222" s="22"/>
      <c r="I222" s="22"/>
      <c r="J222" s="22"/>
      <c r="K222" s="22"/>
      <c r="L222" s="25"/>
      <c r="M222" s="25"/>
      <c r="N222" s="25"/>
      <c r="O222" s="25"/>
      <c r="P222" s="24" t="str">
        <f aca="false">IFERROR(N222/O222,"")</f>
        <v/>
      </c>
      <c r="Q222" s="22"/>
      <c r="R222" s="22"/>
      <c r="S222" s="22"/>
      <c r="T222" s="22"/>
      <c r="U222" s="22"/>
      <c r="V222" s="21"/>
      <c r="W222" s="21"/>
      <c r="X222" s="22"/>
      <c r="Y222" s="21"/>
      <c r="Z222" s="22"/>
      <c r="AA222" s="22"/>
      <c r="AB222" s="22"/>
      <c r="AC222" s="22"/>
      <c r="AD222" s="22"/>
      <c r="AE222" s="22"/>
      <c r="AF222" s="22"/>
      <c r="AG222" s="21"/>
    </row>
    <row r="223" customFormat="false" ht="15" hidden="false" customHeight="false" outlineLevel="0" collapsed="false">
      <c r="A223" s="22"/>
      <c r="B223" s="21"/>
      <c r="C223" s="22"/>
      <c r="D223" s="22"/>
      <c r="E223" s="22"/>
      <c r="F223" s="22"/>
      <c r="G223" s="22"/>
      <c r="H223" s="22"/>
      <c r="I223" s="22"/>
      <c r="J223" s="22"/>
      <c r="K223" s="22"/>
      <c r="L223" s="25"/>
      <c r="M223" s="25"/>
      <c r="N223" s="25"/>
      <c r="O223" s="25"/>
      <c r="P223" s="24" t="str">
        <f aca="false">IFERROR(N223/O223,"")</f>
        <v/>
      </c>
      <c r="Q223" s="22"/>
      <c r="R223" s="22"/>
      <c r="S223" s="22"/>
      <c r="T223" s="22"/>
      <c r="U223" s="22"/>
      <c r="V223" s="21"/>
      <c r="W223" s="21"/>
      <c r="X223" s="22"/>
      <c r="Y223" s="21"/>
      <c r="Z223" s="22"/>
      <c r="AA223" s="22"/>
      <c r="AB223" s="22"/>
      <c r="AC223" s="22"/>
      <c r="AD223" s="22"/>
      <c r="AE223" s="22"/>
      <c r="AF223" s="22"/>
      <c r="AG223" s="21"/>
    </row>
    <row r="224" customFormat="false" ht="15" hidden="false" customHeight="false" outlineLevel="0" collapsed="false">
      <c r="A224" s="22"/>
      <c r="B224" s="21"/>
      <c r="C224" s="22"/>
      <c r="D224" s="22"/>
      <c r="E224" s="22"/>
      <c r="F224" s="22"/>
      <c r="G224" s="22"/>
      <c r="H224" s="22"/>
      <c r="I224" s="22"/>
      <c r="J224" s="22"/>
      <c r="K224" s="22"/>
      <c r="L224" s="25"/>
      <c r="M224" s="25"/>
      <c r="N224" s="25"/>
      <c r="O224" s="25"/>
      <c r="P224" s="24" t="str">
        <f aca="false">IFERROR(N224/O224,"")</f>
        <v/>
      </c>
      <c r="Q224" s="22"/>
      <c r="R224" s="22"/>
      <c r="S224" s="22"/>
      <c r="T224" s="22"/>
      <c r="U224" s="22"/>
      <c r="V224" s="21"/>
      <c r="W224" s="21"/>
      <c r="X224" s="22"/>
      <c r="Y224" s="21"/>
      <c r="Z224" s="22"/>
      <c r="AA224" s="22"/>
      <c r="AB224" s="22"/>
      <c r="AC224" s="22"/>
      <c r="AD224" s="22"/>
      <c r="AE224" s="22"/>
      <c r="AF224" s="22"/>
      <c r="AG224" s="21"/>
    </row>
    <row r="225" customFormat="false" ht="15" hidden="false" customHeight="false" outlineLevel="0" collapsed="false">
      <c r="A225" s="22"/>
      <c r="B225" s="21"/>
      <c r="C225" s="22"/>
      <c r="D225" s="22"/>
      <c r="E225" s="22"/>
      <c r="F225" s="22"/>
      <c r="G225" s="22"/>
      <c r="H225" s="22"/>
      <c r="I225" s="22"/>
      <c r="J225" s="22"/>
      <c r="K225" s="22"/>
      <c r="L225" s="25"/>
      <c r="M225" s="25"/>
      <c r="N225" s="25"/>
      <c r="O225" s="25"/>
      <c r="P225" s="24" t="str">
        <f aca="false">IFERROR(N225/O225,"")</f>
        <v/>
      </c>
      <c r="Q225" s="22"/>
      <c r="R225" s="22"/>
      <c r="S225" s="22"/>
      <c r="T225" s="22"/>
      <c r="U225" s="22"/>
      <c r="V225" s="21"/>
      <c r="W225" s="21"/>
      <c r="X225" s="22"/>
      <c r="Y225" s="21"/>
      <c r="Z225" s="22"/>
      <c r="AA225" s="22"/>
      <c r="AB225" s="22"/>
      <c r="AC225" s="22"/>
      <c r="AD225" s="22"/>
      <c r="AE225" s="22"/>
      <c r="AF225" s="22"/>
      <c r="AG225" s="21"/>
    </row>
    <row r="226" customFormat="false" ht="15" hidden="false" customHeight="false" outlineLevel="0" collapsed="false">
      <c r="A226" s="22"/>
      <c r="B226" s="21"/>
      <c r="C226" s="22"/>
      <c r="D226" s="22"/>
      <c r="E226" s="22"/>
      <c r="F226" s="22"/>
      <c r="G226" s="22"/>
      <c r="H226" s="22"/>
      <c r="I226" s="22"/>
      <c r="J226" s="22"/>
      <c r="K226" s="22"/>
      <c r="L226" s="25"/>
      <c r="M226" s="25"/>
      <c r="N226" s="25"/>
      <c r="O226" s="25"/>
      <c r="P226" s="24" t="str">
        <f aca="false">IFERROR(N226/O226,"")</f>
        <v/>
      </c>
      <c r="Q226" s="22"/>
      <c r="R226" s="22"/>
      <c r="S226" s="22"/>
      <c r="T226" s="22"/>
      <c r="U226" s="22"/>
      <c r="V226" s="21"/>
      <c r="W226" s="21"/>
      <c r="X226" s="22"/>
      <c r="Y226" s="21"/>
      <c r="Z226" s="22"/>
      <c r="AA226" s="22"/>
      <c r="AB226" s="22"/>
      <c r="AC226" s="22"/>
      <c r="AD226" s="22"/>
      <c r="AE226" s="22"/>
      <c r="AF226" s="22"/>
      <c r="AG226" s="21"/>
    </row>
    <row r="227" customFormat="false" ht="15" hidden="false" customHeight="false" outlineLevel="0" collapsed="false">
      <c r="A227" s="22"/>
      <c r="B227" s="21"/>
      <c r="C227" s="22"/>
      <c r="D227" s="22"/>
      <c r="E227" s="22"/>
      <c r="F227" s="22"/>
      <c r="G227" s="22"/>
      <c r="H227" s="22"/>
      <c r="I227" s="22"/>
      <c r="J227" s="22"/>
      <c r="K227" s="22"/>
      <c r="L227" s="25"/>
      <c r="M227" s="25"/>
      <c r="N227" s="25"/>
      <c r="O227" s="25"/>
      <c r="P227" s="24" t="str">
        <f aca="false">IFERROR(N227/O227,"")</f>
        <v/>
      </c>
      <c r="Q227" s="22"/>
      <c r="R227" s="22"/>
      <c r="S227" s="22"/>
      <c r="T227" s="22"/>
      <c r="U227" s="22"/>
      <c r="V227" s="21"/>
      <c r="W227" s="21"/>
      <c r="X227" s="22"/>
      <c r="Y227" s="21"/>
      <c r="Z227" s="22"/>
      <c r="AA227" s="22"/>
      <c r="AB227" s="22"/>
      <c r="AC227" s="22"/>
      <c r="AD227" s="22"/>
      <c r="AE227" s="22"/>
      <c r="AF227" s="22"/>
      <c r="AG227" s="21"/>
    </row>
    <row r="228" customFormat="false" ht="15" hidden="false" customHeight="false" outlineLevel="0" collapsed="false">
      <c r="A228" s="22"/>
      <c r="B228" s="21"/>
      <c r="C228" s="22"/>
      <c r="D228" s="22"/>
      <c r="E228" s="22"/>
      <c r="F228" s="22"/>
      <c r="G228" s="22"/>
      <c r="H228" s="22"/>
      <c r="I228" s="22"/>
      <c r="J228" s="22"/>
      <c r="K228" s="22"/>
      <c r="L228" s="25"/>
      <c r="M228" s="25"/>
      <c r="N228" s="25"/>
      <c r="O228" s="25"/>
      <c r="P228" s="24" t="str">
        <f aca="false">IFERROR(N228/O228,"")</f>
        <v/>
      </c>
      <c r="Q228" s="22"/>
      <c r="R228" s="22"/>
      <c r="S228" s="22"/>
      <c r="T228" s="22"/>
      <c r="U228" s="22"/>
      <c r="V228" s="21"/>
      <c r="W228" s="21"/>
      <c r="X228" s="22"/>
      <c r="Y228" s="21"/>
      <c r="Z228" s="22"/>
      <c r="AA228" s="22"/>
      <c r="AB228" s="22"/>
      <c r="AC228" s="22"/>
      <c r="AD228" s="22"/>
      <c r="AE228" s="22"/>
      <c r="AF228" s="22"/>
      <c r="AG228" s="21"/>
    </row>
    <row r="229" customFormat="false" ht="15" hidden="false" customHeight="false" outlineLevel="0" collapsed="false">
      <c r="A229" s="22"/>
      <c r="B229" s="21"/>
      <c r="C229" s="22"/>
      <c r="D229" s="22"/>
      <c r="E229" s="22"/>
      <c r="F229" s="22"/>
      <c r="G229" s="22"/>
      <c r="H229" s="22"/>
      <c r="I229" s="22"/>
      <c r="J229" s="22"/>
      <c r="K229" s="22"/>
      <c r="L229" s="25"/>
      <c r="M229" s="25"/>
      <c r="N229" s="25"/>
      <c r="O229" s="25"/>
      <c r="P229" s="24" t="str">
        <f aca="false">IFERROR(N229/O229,"")</f>
        <v/>
      </c>
      <c r="Q229" s="22"/>
      <c r="R229" s="22"/>
      <c r="S229" s="22"/>
      <c r="T229" s="22"/>
      <c r="U229" s="22"/>
      <c r="V229" s="21"/>
      <c r="W229" s="21"/>
      <c r="X229" s="22"/>
      <c r="Y229" s="21"/>
      <c r="Z229" s="22"/>
      <c r="AA229" s="22"/>
      <c r="AB229" s="22"/>
      <c r="AC229" s="22"/>
      <c r="AD229" s="22"/>
      <c r="AE229" s="22"/>
      <c r="AF229" s="22"/>
      <c r="AG229" s="21"/>
    </row>
    <row r="230" customFormat="false" ht="15" hidden="false" customHeight="false" outlineLevel="0" collapsed="false">
      <c r="A230" s="22"/>
      <c r="B230" s="21"/>
      <c r="C230" s="22"/>
      <c r="D230" s="22"/>
      <c r="E230" s="22"/>
      <c r="F230" s="22"/>
      <c r="G230" s="22"/>
      <c r="H230" s="22"/>
      <c r="I230" s="22"/>
      <c r="J230" s="22"/>
      <c r="K230" s="22"/>
      <c r="L230" s="25"/>
      <c r="M230" s="25"/>
      <c r="N230" s="25"/>
      <c r="O230" s="25"/>
      <c r="P230" s="24" t="str">
        <f aca="false">IFERROR(N230/O230,"")</f>
        <v/>
      </c>
      <c r="Q230" s="22"/>
      <c r="R230" s="22"/>
      <c r="S230" s="22"/>
      <c r="T230" s="22"/>
      <c r="U230" s="22"/>
      <c r="V230" s="21"/>
      <c r="W230" s="21"/>
      <c r="X230" s="22"/>
      <c r="Y230" s="21"/>
      <c r="Z230" s="22"/>
      <c r="AA230" s="22"/>
      <c r="AB230" s="22"/>
      <c r="AC230" s="22"/>
      <c r="AD230" s="22"/>
      <c r="AE230" s="22"/>
      <c r="AF230" s="22"/>
      <c r="AG230" s="21"/>
    </row>
    <row r="231" customFormat="false" ht="15" hidden="false" customHeight="false" outlineLevel="0" collapsed="false">
      <c r="A231" s="22"/>
      <c r="B231" s="21"/>
      <c r="C231" s="22"/>
      <c r="D231" s="22"/>
      <c r="E231" s="22"/>
      <c r="F231" s="22"/>
      <c r="G231" s="22"/>
      <c r="H231" s="22"/>
      <c r="I231" s="22"/>
      <c r="J231" s="22"/>
      <c r="K231" s="22"/>
      <c r="L231" s="25"/>
      <c r="M231" s="25"/>
      <c r="N231" s="25"/>
      <c r="O231" s="25"/>
      <c r="P231" s="24" t="str">
        <f aca="false">IFERROR(N231/O231,"")</f>
        <v/>
      </c>
      <c r="Q231" s="22"/>
      <c r="R231" s="22"/>
      <c r="S231" s="22"/>
      <c r="T231" s="22"/>
      <c r="U231" s="22"/>
      <c r="V231" s="21"/>
      <c r="W231" s="21"/>
      <c r="X231" s="22"/>
      <c r="Y231" s="21"/>
      <c r="Z231" s="22"/>
      <c r="AA231" s="22"/>
      <c r="AB231" s="22"/>
      <c r="AC231" s="22"/>
      <c r="AD231" s="22"/>
      <c r="AE231" s="22"/>
      <c r="AF231" s="22"/>
      <c r="AG231" s="21"/>
    </row>
    <row r="232" customFormat="false" ht="15" hidden="false" customHeight="false" outlineLevel="0" collapsed="false">
      <c r="A232" s="22"/>
      <c r="B232" s="21"/>
      <c r="C232" s="22"/>
      <c r="D232" s="22"/>
      <c r="E232" s="22"/>
      <c r="F232" s="22"/>
      <c r="G232" s="22"/>
      <c r="H232" s="22"/>
      <c r="I232" s="22"/>
      <c r="J232" s="22"/>
      <c r="K232" s="22"/>
      <c r="L232" s="25"/>
      <c r="M232" s="25"/>
      <c r="N232" s="25"/>
      <c r="O232" s="25"/>
      <c r="P232" s="24" t="str">
        <f aca="false">IFERROR(N232/O232,"")</f>
        <v/>
      </c>
      <c r="Q232" s="22"/>
      <c r="R232" s="22"/>
      <c r="S232" s="22"/>
      <c r="T232" s="22"/>
      <c r="U232" s="22"/>
      <c r="V232" s="21"/>
      <c r="W232" s="21"/>
      <c r="X232" s="22"/>
      <c r="Y232" s="21"/>
      <c r="Z232" s="22"/>
      <c r="AA232" s="22"/>
      <c r="AB232" s="22"/>
      <c r="AC232" s="22"/>
      <c r="AD232" s="22"/>
      <c r="AE232" s="22"/>
      <c r="AF232" s="22"/>
      <c r="AG232" s="21"/>
    </row>
    <row r="233" customFormat="false" ht="15" hidden="false" customHeight="false" outlineLevel="0" collapsed="false">
      <c r="A233" s="22"/>
      <c r="B233" s="21"/>
      <c r="C233" s="22"/>
      <c r="D233" s="22"/>
      <c r="E233" s="22"/>
      <c r="F233" s="22"/>
      <c r="G233" s="22"/>
      <c r="H233" s="22"/>
      <c r="I233" s="22"/>
      <c r="J233" s="22"/>
      <c r="K233" s="22"/>
      <c r="L233" s="25"/>
      <c r="M233" s="25"/>
      <c r="N233" s="25"/>
      <c r="O233" s="25"/>
      <c r="P233" s="24" t="str">
        <f aca="false">IFERROR(N233/O233,"")</f>
        <v/>
      </c>
      <c r="Q233" s="22"/>
      <c r="R233" s="22"/>
      <c r="S233" s="22"/>
      <c r="T233" s="22"/>
      <c r="U233" s="22"/>
      <c r="V233" s="21"/>
      <c r="W233" s="21"/>
      <c r="X233" s="22"/>
      <c r="Y233" s="21"/>
      <c r="Z233" s="22"/>
      <c r="AA233" s="22"/>
      <c r="AB233" s="22"/>
      <c r="AC233" s="22"/>
      <c r="AD233" s="22"/>
      <c r="AE233" s="22"/>
      <c r="AF233" s="22"/>
      <c r="AG233" s="21"/>
    </row>
    <row r="234" customFormat="false" ht="15" hidden="false" customHeight="false" outlineLevel="0" collapsed="false">
      <c r="A234" s="22"/>
      <c r="B234" s="21"/>
      <c r="C234" s="22"/>
      <c r="D234" s="22"/>
      <c r="E234" s="22"/>
      <c r="F234" s="22"/>
      <c r="G234" s="22"/>
      <c r="H234" s="22"/>
      <c r="I234" s="22"/>
      <c r="J234" s="22"/>
      <c r="K234" s="22"/>
      <c r="L234" s="25"/>
      <c r="M234" s="25"/>
      <c r="N234" s="25"/>
      <c r="O234" s="25"/>
      <c r="P234" s="24" t="str">
        <f aca="false">IFERROR(N234/O234,"")</f>
        <v/>
      </c>
      <c r="Q234" s="22"/>
      <c r="R234" s="22"/>
      <c r="S234" s="22"/>
      <c r="T234" s="22"/>
      <c r="U234" s="22"/>
      <c r="V234" s="21"/>
      <c r="W234" s="21"/>
      <c r="X234" s="22"/>
      <c r="Y234" s="21"/>
      <c r="Z234" s="22"/>
      <c r="AA234" s="22"/>
      <c r="AB234" s="22"/>
      <c r="AC234" s="22"/>
      <c r="AD234" s="22"/>
      <c r="AE234" s="22"/>
      <c r="AF234" s="22"/>
      <c r="AG234" s="21"/>
    </row>
    <row r="235" customFormat="false" ht="15" hidden="false" customHeight="false" outlineLevel="0" collapsed="false">
      <c r="A235" s="22"/>
      <c r="B235" s="21"/>
      <c r="C235" s="22"/>
      <c r="D235" s="22"/>
      <c r="E235" s="22"/>
      <c r="F235" s="22"/>
      <c r="G235" s="22"/>
      <c r="H235" s="22"/>
      <c r="I235" s="22"/>
      <c r="J235" s="22"/>
      <c r="K235" s="22"/>
      <c r="L235" s="25"/>
      <c r="M235" s="25"/>
      <c r="N235" s="25"/>
      <c r="O235" s="25"/>
      <c r="P235" s="24" t="str">
        <f aca="false">IFERROR(N235/O235,"")</f>
        <v/>
      </c>
      <c r="Q235" s="22"/>
      <c r="R235" s="22"/>
      <c r="S235" s="22"/>
      <c r="T235" s="22"/>
      <c r="U235" s="22"/>
      <c r="V235" s="21"/>
      <c r="W235" s="21"/>
      <c r="X235" s="22"/>
      <c r="Y235" s="21"/>
      <c r="Z235" s="22"/>
      <c r="AA235" s="22"/>
      <c r="AB235" s="22"/>
      <c r="AC235" s="22"/>
      <c r="AD235" s="22"/>
      <c r="AE235" s="22"/>
      <c r="AF235" s="22"/>
      <c r="AG235" s="21"/>
    </row>
    <row r="236" customFormat="false" ht="15" hidden="false" customHeight="false" outlineLevel="0" collapsed="false">
      <c r="A236" s="22"/>
      <c r="B236" s="21"/>
      <c r="C236" s="22"/>
      <c r="D236" s="22"/>
      <c r="E236" s="22"/>
      <c r="F236" s="22"/>
      <c r="G236" s="22"/>
      <c r="H236" s="22"/>
      <c r="I236" s="22"/>
      <c r="J236" s="22"/>
      <c r="K236" s="22"/>
      <c r="L236" s="25"/>
      <c r="M236" s="25"/>
      <c r="N236" s="25"/>
      <c r="O236" s="25"/>
      <c r="P236" s="24" t="str">
        <f aca="false">IFERROR(N236/O236,"")</f>
        <v/>
      </c>
      <c r="Q236" s="22"/>
      <c r="R236" s="22"/>
      <c r="S236" s="22"/>
      <c r="T236" s="22"/>
      <c r="U236" s="22"/>
      <c r="V236" s="21"/>
      <c r="W236" s="21"/>
      <c r="X236" s="22"/>
      <c r="Y236" s="21"/>
      <c r="Z236" s="22"/>
      <c r="AA236" s="22"/>
      <c r="AB236" s="22"/>
      <c r="AC236" s="22"/>
      <c r="AD236" s="22"/>
      <c r="AE236" s="22"/>
      <c r="AF236" s="22"/>
      <c r="AG236" s="21"/>
    </row>
    <row r="237" customFormat="false" ht="15" hidden="false" customHeight="false" outlineLevel="0" collapsed="false">
      <c r="A237" s="22"/>
      <c r="B237" s="21"/>
      <c r="C237" s="22"/>
      <c r="D237" s="22"/>
      <c r="E237" s="22"/>
      <c r="F237" s="22"/>
      <c r="G237" s="22"/>
      <c r="H237" s="22"/>
      <c r="I237" s="22"/>
      <c r="J237" s="22"/>
      <c r="K237" s="22"/>
      <c r="L237" s="25"/>
      <c r="M237" s="25"/>
      <c r="N237" s="25"/>
      <c r="O237" s="25"/>
      <c r="P237" s="24" t="str">
        <f aca="false">IFERROR(N237/O237,"")</f>
        <v/>
      </c>
      <c r="Q237" s="22"/>
      <c r="R237" s="22"/>
      <c r="S237" s="22"/>
      <c r="T237" s="22"/>
      <c r="U237" s="22"/>
      <c r="V237" s="21"/>
      <c r="W237" s="21"/>
      <c r="X237" s="22"/>
      <c r="Y237" s="21"/>
      <c r="Z237" s="22"/>
      <c r="AA237" s="22"/>
      <c r="AB237" s="22"/>
      <c r="AC237" s="22"/>
      <c r="AD237" s="22"/>
      <c r="AE237" s="22"/>
      <c r="AF237" s="22"/>
      <c r="AG237" s="21"/>
    </row>
    <row r="238" customFormat="false" ht="15" hidden="false" customHeight="false" outlineLevel="0" collapsed="false">
      <c r="A238" s="22"/>
      <c r="B238" s="21"/>
      <c r="C238" s="22"/>
      <c r="D238" s="22"/>
      <c r="E238" s="22"/>
      <c r="F238" s="22"/>
      <c r="G238" s="22"/>
      <c r="H238" s="22"/>
      <c r="I238" s="22"/>
      <c r="J238" s="22"/>
      <c r="K238" s="22"/>
      <c r="L238" s="25"/>
      <c r="M238" s="25"/>
      <c r="N238" s="25"/>
      <c r="O238" s="25"/>
      <c r="P238" s="24" t="str">
        <f aca="false">IFERROR(N238/O238,"")</f>
        <v/>
      </c>
      <c r="Q238" s="22"/>
      <c r="R238" s="22"/>
      <c r="S238" s="22"/>
      <c r="T238" s="22"/>
      <c r="U238" s="22"/>
      <c r="V238" s="21"/>
      <c r="W238" s="21"/>
      <c r="X238" s="22"/>
      <c r="Y238" s="21"/>
      <c r="Z238" s="22"/>
      <c r="AA238" s="22"/>
      <c r="AB238" s="22"/>
      <c r="AC238" s="22"/>
      <c r="AD238" s="22"/>
      <c r="AE238" s="22"/>
      <c r="AF238" s="22"/>
      <c r="AG238" s="21"/>
    </row>
    <row r="239" customFormat="false" ht="15" hidden="false" customHeight="false" outlineLevel="0" collapsed="false">
      <c r="A239" s="22"/>
      <c r="B239" s="21"/>
      <c r="C239" s="22"/>
      <c r="D239" s="22"/>
      <c r="E239" s="22"/>
      <c r="F239" s="22"/>
      <c r="G239" s="22"/>
      <c r="H239" s="22"/>
      <c r="I239" s="22"/>
      <c r="J239" s="22"/>
      <c r="K239" s="22"/>
      <c r="L239" s="25"/>
      <c r="M239" s="25"/>
      <c r="N239" s="25"/>
      <c r="O239" s="25"/>
      <c r="P239" s="24" t="str">
        <f aca="false">IFERROR(N239/O239,"")</f>
        <v/>
      </c>
      <c r="Q239" s="22"/>
      <c r="R239" s="22"/>
      <c r="S239" s="22"/>
      <c r="T239" s="22"/>
      <c r="U239" s="22"/>
      <c r="V239" s="21"/>
      <c r="W239" s="21"/>
      <c r="X239" s="22"/>
      <c r="Y239" s="21"/>
      <c r="Z239" s="22"/>
      <c r="AA239" s="22"/>
      <c r="AB239" s="22"/>
      <c r="AC239" s="22"/>
      <c r="AD239" s="22"/>
      <c r="AE239" s="22"/>
      <c r="AF239" s="22"/>
      <c r="AG239" s="21"/>
    </row>
    <row r="240" customFormat="false" ht="15" hidden="false" customHeight="false" outlineLevel="0" collapsed="false">
      <c r="A240" s="22"/>
      <c r="B240" s="21"/>
      <c r="C240" s="22"/>
      <c r="D240" s="22"/>
      <c r="E240" s="22"/>
      <c r="F240" s="22"/>
      <c r="G240" s="22"/>
      <c r="H240" s="22"/>
      <c r="I240" s="22"/>
      <c r="J240" s="22"/>
      <c r="K240" s="22"/>
      <c r="L240" s="25"/>
      <c r="M240" s="25"/>
      <c r="N240" s="25"/>
      <c r="O240" s="25"/>
      <c r="P240" s="24" t="str">
        <f aca="false">IFERROR(N240/O240,"")</f>
        <v/>
      </c>
      <c r="Q240" s="22"/>
      <c r="R240" s="22"/>
      <c r="S240" s="22"/>
      <c r="T240" s="22"/>
      <c r="U240" s="22"/>
      <c r="V240" s="21"/>
      <c r="W240" s="21"/>
      <c r="X240" s="22"/>
      <c r="Y240" s="21"/>
      <c r="Z240" s="22"/>
      <c r="AA240" s="22"/>
      <c r="AB240" s="22"/>
      <c r="AC240" s="22"/>
      <c r="AD240" s="22"/>
      <c r="AE240" s="22"/>
      <c r="AF240" s="22"/>
      <c r="AG240" s="21"/>
    </row>
    <row r="241" customFormat="false" ht="15" hidden="false" customHeight="false" outlineLevel="0" collapsed="false">
      <c r="A241" s="22"/>
      <c r="B241" s="21"/>
      <c r="C241" s="22"/>
      <c r="D241" s="22"/>
      <c r="E241" s="22"/>
      <c r="F241" s="22"/>
      <c r="G241" s="22"/>
      <c r="H241" s="22"/>
      <c r="I241" s="22"/>
      <c r="J241" s="22"/>
      <c r="K241" s="22"/>
      <c r="L241" s="25"/>
      <c r="M241" s="25"/>
      <c r="N241" s="25"/>
      <c r="O241" s="25"/>
      <c r="P241" s="24" t="str">
        <f aca="false">IFERROR(N241/O241,"")</f>
        <v/>
      </c>
      <c r="Q241" s="22"/>
      <c r="R241" s="22"/>
      <c r="S241" s="22"/>
      <c r="T241" s="22"/>
      <c r="U241" s="22"/>
      <c r="V241" s="21"/>
      <c r="W241" s="21"/>
      <c r="X241" s="22"/>
      <c r="Y241" s="21"/>
      <c r="Z241" s="22"/>
      <c r="AA241" s="22"/>
      <c r="AB241" s="22"/>
      <c r="AC241" s="22"/>
      <c r="AD241" s="22"/>
      <c r="AE241" s="22"/>
      <c r="AF241" s="22"/>
      <c r="AG241" s="21"/>
    </row>
    <row r="242" customFormat="false" ht="15" hidden="false" customHeight="false" outlineLevel="0" collapsed="false">
      <c r="A242" s="22"/>
      <c r="B242" s="21"/>
      <c r="C242" s="22"/>
      <c r="D242" s="22"/>
      <c r="E242" s="22"/>
      <c r="F242" s="22"/>
      <c r="G242" s="22"/>
      <c r="H242" s="22"/>
      <c r="I242" s="22"/>
      <c r="J242" s="22"/>
      <c r="K242" s="22"/>
      <c r="L242" s="25"/>
      <c r="M242" s="25"/>
      <c r="N242" s="25"/>
      <c r="O242" s="25"/>
      <c r="P242" s="24" t="str">
        <f aca="false">IFERROR(N242/O242,"")</f>
        <v/>
      </c>
      <c r="Q242" s="22"/>
      <c r="R242" s="22"/>
      <c r="S242" s="22"/>
      <c r="T242" s="22"/>
      <c r="U242" s="22"/>
      <c r="V242" s="21"/>
      <c r="W242" s="21"/>
      <c r="X242" s="22"/>
      <c r="Y242" s="21"/>
      <c r="Z242" s="22"/>
      <c r="AA242" s="22"/>
      <c r="AB242" s="22"/>
      <c r="AC242" s="22"/>
      <c r="AD242" s="22"/>
      <c r="AE242" s="22"/>
      <c r="AF242" s="22"/>
      <c r="AG242" s="21"/>
    </row>
    <row r="243" customFormat="false" ht="15" hidden="false" customHeight="false" outlineLevel="0" collapsed="false">
      <c r="A243" s="22"/>
      <c r="B243" s="21"/>
      <c r="C243" s="22"/>
      <c r="D243" s="22"/>
      <c r="E243" s="22"/>
      <c r="F243" s="22"/>
      <c r="G243" s="22"/>
      <c r="H243" s="22"/>
      <c r="I243" s="22"/>
      <c r="J243" s="22"/>
      <c r="K243" s="22"/>
      <c r="L243" s="25"/>
      <c r="M243" s="25"/>
      <c r="N243" s="25"/>
      <c r="O243" s="25"/>
      <c r="P243" s="24" t="str">
        <f aca="false">IFERROR(N243/O243,"")</f>
        <v/>
      </c>
      <c r="Q243" s="22"/>
      <c r="R243" s="22"/>
      <c r="S243" s="22"/>
      <c r="T243" s="22"/>
      <c r="U243" s="22"/>
      <c r="V243" s="21"/>
      <c r="W243" s="21"/>
      <c r="X243" s="22"/>
      <c r="Y243" s="21"/>
      <c r="Z243" s="22"/>
      <c r="AA243" s="22"/>
      <c r="AB243" s="22"/>
      <c r="AC243" s="22"/>
      <c r="AD243" s="22"/>
      <c r="AE243" s="22"/>
      <c r="AF243" s="22"/>
      <c r="AG243" s="21"/>
    </row>
    <row r="244" customFormat="false" ht="15" hidden="false" customHeight="false" outlineLevel="0" collapsed="false">
      <c r="A244" s="22"/>
      <c r="B244" s="21"/>
      <c r="C244" s="22"/>
      <c r="D244" s="22"/>
      <c r="E244" s="22"/>
      <c r="F244" s="22"/>
      <c r="G244" s="22"/>
      <c r="H244" s="22"/>
      <c r="I244" s="22"/>
      <c r="J244" s="22"/>
      <c r="K244" s="22"/>
      <c r="L244" s="25"/>
      <c r="M244" s="25"/>
      <c r="N244" s="25"/>
      <c r="O244" s="25"/>
      <c r="P244" s="24" t="str">
        <f aca="false">IFERROR(N244/O244,"")</f>
        <v/>
      </c>
      <c r="Q244" s="22"/>
      <c r="R244" s="22"/>
      <c r="S244" s="22"/>
      <c r="T244" s="22"/>
      <c r="U244" s="22"/>
      <c r="V244" s="21"/>
      <c r="W244" s="21"/>
      <c r="X244" s="22"/>
      <c r="Y244" s="21"/>
      <c r="Z244" s="22"/>
      <c r="AA244" s="22"/>
      <c r="AB244" s="22"/>
      <c r="AC244" s="22"/>
      <c r="AD244" s="22"/>
      <c r="AE244" s="22"/>
      <c r="AF244" s="22"/>
      <c r="AG244" s="21"/>
    </row>
    <row r="245" customFormat="false" ht="15" hidden="false" customHeight="false" outlineLevel="0" collapsed="false">
      <c r="A245" s="22"/>
      <c r="B245" s="21"/>
      <c r="C245" s="22"/>
      <c r="D245" s="22"/>
      <c r="E245" s="22"/>
      <c r="F245" s="22"/>
      <c r="G245" s="22"/>
      <c r="H245" s="22"/>
      <c r="I245" s="22"/>
      <c r="J245" s="22"/>
      <c r="K245" s="22"/>
      <c r="L245" s="25"/>
      <c r="M245" s="25"/>
      <c r="N245" s="25"/>
      <c r="O245" s="25"/>
      <c r="P245" s="24" t="str">
        <f aca="false">IFERROR(N245/O245,"")</f>
        <v/>
      </c>
      <c r="Q245" s="22"/>
      <c r="R245" s="22"/>
      <c r="S245" s="22"/>
      <c r="T245" s="22"/>
      <c r="U245" s="22"/>
      <c r="V245" s="21"/>
      <c r="W245" s="21"/>
      <c r="X245" s="22"/>
      <c r="Y245" s="21"/>
      <c r="Z245" s="22"/>
      <c r="AA245" s="22"/>
      <c r="AB245" s="22"/>
      <c r="AC245" s="22"/>
      <c r="AD245" s="22"/>
      <c r="AE245" s="22"/>
      <c r="AF245" s="22"/>
      <c r="AG245" s="21"/>
    </row>
    <row r="246" customFormat="false" ht="15" hidden="false" customHeight="false" outlineLevel="0" collapsed="false">
      <c r="A246" s="22"/>
      <c r="B246" s="21"/>
      <c r="C246" s="22"/>
      <c r="D246" s="22"/>
      <c r="E246" s="22"/>
      <c r="F246" s="22"/>
      <c r="G246" s="22"/>
      <c r="H246" s="22"/>
      <c r="I246" s="22"/>
      <c r="J246" s="22"/>
      <c r="K246" s="22"/>
      <c r="L246" s="25"/>
      <c r="M246" s="25"/>
      <c r="N246" s="25"/>
      <c r="O246" s="25"/>
      <c r="P246" s="24" t="str">
        <f aca="false">IFERROR(N246/O246,"")</f>
        <v/>
      </c>
      <c r="Q246" s="22"/>
      <c r="R246" s="22"/>
      <c r="S246" s="22"/>
      <c r="T246" s="22"/>
      <c r="U246" s="22"/>
      <c r="V246" s="21"/>
      <c r="W246" s="21"/>
      <c r="X246" s="22"/>
      <c r="Y246" s="21"/>
      <c r="Z246" s="22"/>
      <c r="AA246" s="22"/>
      <c r="AB246" s="22"/>
      <c r="AC246" s="22"/>
      <c r="AD246" s="22"/>
      <c r="AE246" s="22"/>
      <c r="AF246" s="22"/>
      <c r="AG246" s="21"/>
    </row>
    <row r="247" customFormat="false" ht="15" hidden="false" customHeight="false" outlineLevel="0" collapsed="false">
      <c r="A247" s="22"/>
      <c r="B247" s="21"/>
      <c r="C247" s="22"/>
      <c r="D247" s="22"/>
      <c r="E247" s="22"/>
      <c r="F247" s="22"/>
      <c r="G247" s="22"/>
      <c r="H247" s="22"/>
      <c r="I247" s="22"/>
      <c r="J247" s="22"/>
      <c r="K247" s="22"/>
      <c r="L247" s="25"/>
      <c r="M247" s="25"/>
      <c r="N247" s="25"/>
      <c r="O247" s="25"/>
      <c r="P247" s="24" t="str">
        <f aca="false">IFERROR(N247/O247,"")</f>
        <v/>
      </c>
      <c r="Q247" s="22"/>
      <c r="R247" s="22"/>
      <c r="S247" s="22"/>
      <c r="T247" s="22"/>
      <c r="U247" s="22"/>
      <c r="V247" s="21"/>
      <c r="W247" s="21"/>
      <c r="X247" s="22"/>
      <c r="Y247" s="21"/>
      <c r="Z247" s="22"/>
      <c r="AA247" s="22"/>
      <c r="AB247" s="22"/>
      <c r="AC247" s="22"/>
      <c r="AD247" s="22"/>
      <c r="AE247" s="22"/>
      <c r="AF247" s="22"/>
      <c r="AG247" s="21"/>
    </row>
    <row r="248" customFormat="false" ht="15" hidden="false" customHeight="false" outlineLevel="0" collapsed="false">
      <c r="A248" s="22"/>
      <c r="B248" s="21"/>
      <c r="C248" s="22"/>
      <c r="D248" s="22"/>
      <c r="E248" s="22"/>
      <c r="F248" s="22"/>
      <c r="G248" s="22"/>
      <c r="H248" s="22"/>
      <c r="I248" s="22"/>
      <c r="J248" s="22"/>
      <c r="K248" s="22"/>
      <c r="L248" s="25"/>
      <c r="M248" s="25"/>
      <c r="N248" s="25"/>
      <c r="O248" s="25"/>
      <c r="P248" s="24" t="str">
        <f aca="false">IFERROR(N248/O248,"")</f>
        <v/>
      </c>
      <c r="Q248" s="22"/>
      <c r="R248" s="22"/>
      <c r="S248" s="22"/>
      <c r="T248" s="22"/>
      <c r="U248" s="22"/>
      <c r="V248" s="21"/>
      <c r="W248" s="21"/>
      <c r="X248" s="22"/>
      <c r="Y248" s="21"/>
      <c r="Z248" s="22"/>
      <c r="AA248" s="22"/>
      <c r="AB248" s="22"/>
      <c r="AC248" s="22"/>
      <c r="AD248" s="22"/>
      <c r="AE248" s="22"/>
      <c r="AF248" s="22"/>
      <c r="AG248" s="21"/>
    </row>
    <row r="249" customFormat="false" ht="15" hidden="false" customHeight="false" outlineLevel="0" collapsed="false">
      <c r="A249" s="22"/>
      <c r="B249" s="21"/>
      <c r="C249" s="22"/>
      <c r="D249" s="22"/>
      <c r="E249" s="22"/>
      <c r="F249" s="22"/>
      <c r="G249" s="22"/>
      <c r="H249" s="22"/>
      <c r="I249" s="22"/>
      <c r="J249" s="22"/>
      <c r="K249" s="22"/>
      <c r="L249" s="25"/>
      <c r="M249" s="25"/>
      <c r="N249" s="25"/>
      <c r="O249" s="25"/>
      <c r="P249" s="24" t="str">
        <f aca="false">IFERROR(N249/O249,"")</f>
        <v/>
      </c>
      <c r="Q249" s="22"/>
      <c r="R249" s="22"/>
      <c r="S249" s="22"/>
      <c r="T249" s="22"/>
      <c r="U249" s="22"/>
      <c r="V249" s="21"/>
      <c r="W249" s="21"/>
      <c r="X249" s="22"/>
      <c r="Y249" s="21"/>
      <c r="Z249" s="22"/>
      <c r="AA249" s="22"/>
      <c r="AB249" s="22"/>
      <c r="AC249" s="22"/>
      <c r="AD249" s="22"/>
      <c r="AE249" s="22"/>
      <c r="AF249" s="22"/>
      <c r="AG249" s="21"/>
    </row>
    <row r="250" customFormat="false" ht="15" hidden="false" customHeight="false" outlineLevel="0" collapsed="false">
      <c r="A250" s="22"/>
      <c r="B250" s="21"/>
      <c r="C250" s="22"/>
      <c r="D250" s="22"/>
      <c r="E250" s="22"/>
      <c r="F250" s="22"/>
      <c r="G250" s="22"/>
      <c r="H250" s="22"/>
      <c r="I250" s="22"/>
      <c r="J250" s="22"/>
      <c r="K250" s="22"/>
      <c r="L250" s="25"/>
      <c r="M250" s="25"/>
      <c r="N250" s="25"/>
      <c r="O250" s="25"/>
      <c r="P250" s="24" t="str">
        <f aca="false">IFERROR(N250/O250,"")</f>
        <v/>
      </c>
      <c r="Q250" s="22"/>
      <c r="R250" s="22"/>
      <c r="S250" s="22"/>
      <c r="T250" s="22"/>
      <c r="U250" s="22"/>
      <c r="V250" s="21"/>
      <c r="W250" s="21"/>
      <c r="X250" s="22"/>
      <c r="Y250" s="21"/>
      <c r="Z250" s="22"/>
      <c r="AA250" s="22"/>
      <c r="AB250" s="22"/>
      <c r="AC250" s="22"/>
      <c r="AD250" s="22"/>
      <c r="AE250" s="22"/>
      <c r="AF250" s="22"/>
      <c r="AG250" s="21"/>
    </row>
    <row r="251" customFormat="false" ht="15" hidden="false" customHeight="false" outlineLevel="0" collapsed="false">
      <c r="A251" s="22"/>
      <c r="B251" s="21"/>
      <c r="C251" s="22"/>
      <c r="D251" s="22"/>
      <c r="E251" s="22"/>
      <c r="F251" s="22"/>
      <c r="G251" s="22"/>
      <c r="H251" s="22"/>
      <c r="I251" s="22"/>
      <c r="J251" s="22"/>
      <c r="K251" s="22"/>
      <c r="L251" s="25"/>
      <c r="M251" s="25"/>
      <c r="N251" s="25"/>
      <c r="O251" s="25"/>
      <c r="P251" s="24" t="str">
        <f aca="false">IFERROR(N251/O251,"")</f>
        <v/>
      </c>
      <c r="Q251" s="22"/>
      <c r="R251" s="22"/>
      <c r="S251" s="22"/>
      <c r="T251" s="22"/>
      <c r="U251" s="22"/>
      <c r="V251" s="21"/>
      <c r="W251" s="21"/>
      <c r="X251" s="22"/>
      <c r="Y251" s="21"/>
      <c r="Z251" s="22"/>
      <c r="AA251" s="22"/>
      <c r="AB251" s="22"/>
      <c r="AC251" s="22"/>
      <c r="AD251" s="22"/>
      <c r="AE251" s="22"/>
      <c r="AF251" s="22"/>
      <c r="AG251" s="21"/>
    </row>
    <row r="252" customFormat="false" ht="15" hidden="false" customHeight="false" outlineLevel="0" collapsed="false">
      <c r="A252" s="22"/>
      <c r="B252" s="21"/>
      <c r="C252" s="22"/>
      <c r="D252" s="22"/>
      <c r="E252" s="22"/>
      <c r="F252" s="22"/>
      <c r="G252" s="22"/>
      <c r="H252" s="22"/>
      <c r="I252" s="22"/>
      <c r="J252" s="22"/>
      <c r="K252" s="22"/>
      <c r="L252" s="25"/>
      <c r="M252" s="25"/>
      <c r="N252" s="25"/>
      <c r="O252" s="25"/>
      <c r="P252" s="24" t="str">
        <f aca="false">IFERROR(N252/O252,"")</f>
        <v/>
      </c>
      <c r="Q252" s="22"/>
      <c r="R252" s="22"/>
      <c r="S252" s="22"/>
      <c r="T252" s="22"/>
      <c r="U252" s="22"/>
      <c r="V252" s="21"/>
      <c r="W252" s="21"/>
      <c r="X252" s="22"/>
      <c r="Y252" s="21"/>
      <c r="Z252" s="22"/>
      <c r="AA252" s="22"/>
      <c r="AB252" s="22"/>
      <c r="AC252" s="22"/>
      <c r="AD252" s="22"/>
      <c r="AE252" s="22"/>
      <c r="AF252" s="22"/>
      <c r="AG252" s="21"/>
    </row>
    <row r="253" customFormat="false" ht="15" hidden="false" customHeight="false" outlineLevel="0" collapsed="false">
      <c r="A253" s="22"/>
      <c r="B253" s="21"/>
      <c r="C253" s="22"/>
      <c r="D253" s="22"/>
      <c r="E253" s="22"/>
      <c r="F253" s="22"/>
      <c r="G253" s="22"/>
      <c r="H253" s="22"/>
      <c r="I253" s="22"/>
      <c r="J253" s="22"/>
      <c r="K253" s="22"/>
      <c r="L253" s="25"/>
      <c r="M253" s="25"/>
      <c r="N253" s="25"/>
      <c r="O253" s="25"/>
      <c r="P253" s="24" t="str">
        <f aca="false">IFERROR(N253/O253,"")</f>
        <v/>
      </c>
      <c r="Q253" s="22"/>
      <c r="R253" s="22"/>
      <c r="S253" s="22"/>
      <c r="T253" s="22"/>
      <c r="U253" s="22"/>
      <c r="V253" s="21"/>
      <c r="W253" s="21"/>
      <c r="X253" s="22"/>
      <c r="Y253" s="21"/>
      <c r="Z253" s="22"/>
      <c r="AA253" s="22"/>
      <c r="AB253" s="22"/>
      <c r="AC253" s="22"/>
      <c r="AD253" s="22"/>
      <c r="AE253" s="22"/>
      <c r="AF253" s="22"/>
      <c r="AG253" s="21"/>
    </row>
    <row r="254" customFormat="false" ht="15" hidden="false" customHeight="false" outlineLevel="0" collapsed="false">
      <c r="A254" s="22"/>
      <c r="B254" s="21"/>
      <c r="C254" s="22"/>
      <c r="D254" s="22"/>
      <c r="E254" s="22"/>
      <c r="F254" s="22"/>
      <c r="G254" s="22"/>
      <c r="H254" s="22"/>
      <c r="I254" s="22"/>
      <c r="J254" s="22"/>
      <c r="K254" s="22"/>
      <c r="L254" s="25"/>
      <c r="M254" s="25"/>
      <c r="N254" s="25"/>
      <c r="O254" s="25"/>
      <c r="P254" s="24" t="str">
        <f aca="false">IFERROR(N254/O254,"")</f>
        <v/>
      </c>
      <c r="Q254" s="22"/>
      <c r="R254" s="22"/>
      <c r="S254" s="22"/>
      <c r="T254" s="22"/>
      <c r="U254" s="22"/>
      <c r="V254" s="21"/>
      <c r="W254" s="21"/>
      <c r="X254" s="22"/>
      <c r="Y254" s="21"/>
      <c r="Z254" s="22"/>
      <c r="AA254" s="22"/>
      <c r="AB254" s="22"/>
      <c r="AC254" s="22"/>
      <c r="AD254" s="22"/>
      <c r="AE254" s="22"/>
      <c r="AF254" s="22"/>
      <c r="AG254" s="21"/>
    </row>
    <row r="255" customFormat="false" ht="15" hidden="false" customHeight="false" outlineLevel="0" collapsed="false">
      <c r="A255" s="22"/>
      <c r="B255" s="21"/>
      <c r="C255" s="22"/>
      <c r="D255" s="22"/>
      <c r="E255" s="22"/>
      <c r="F255" s="22"/>
      <c r="G255" s="22"/>
      <c r="H255" s="22"/>
      <c r="I255" s="22"/>
      <c r="J255" s="22"/>
      <c r="K255" s="22"/>
      <c r="L255" s="25"/>
      <c r="M255" s="25"/>
      <c r="N255" s="25"/>
      <c r="O255" s="25"/>
      <c r="P255" s="24" t="str">
        <f aca="false">IFERROR(N255/O255,"")</f>
        <v/>
      </c>
      <c r="Q255" s="22"/>
      <c r="R255" s="22"/>
      <c r="S255" s="22"/>
      <c r="T255" s="22"/>
      <c r="U255" s="22"/>
      <c r="V255" s="21"/>
      <c r="W255" s="21"/>
      <c r="X255" s="22"/>
      <c r="Y255" s="21"/>
      <c r="Z255" s="22"/>
      <c r="AA255" s="22"/>
      <c r="AB255" s="22"/>
      <c r="AC255" s="22"/>
      <c r="AD255" s="22"/>
      <c r="AE255" s="22"/>
      <c r="AF255" s="22"/>
      <c r="AG255" s="21"/>
    </row>
    <row r="256" customFormat="false" ht="15" hidden="false" customHeight="false" outlineLevel="0" collapsed="false">
      <c r="A256" s="22"/>
      <c r="B256" s="21"/>
      <c r="C256" s="22"/>
      <c r="D256" s="22"/>
      <c r="E256" s="22"/>
      <c r="F256" s="22"/>
      <c r="G256" s="22"/>
      <c r="H256" s="22"/>
      <c r="I256" s="22"/>
      <c r="J256" s="22"/>
      <c r="K256" s="22"/>
      <c r="L256" s="25"/>
      <c r="M256" s="25"/>
      <c r="N256" s="25"/>
      <c r="O256" s="25"/>
      <c r="P256" s="24" t="str">
        <f aca="false">IFERROR(N256/O256,"")</f>
        <v/>
      </c>
      <c r="Q256" s="22"/>
      <c r="R256" s="22"/>
      <c r="S256" s="22"/>
      <c r="T256" s="22"/>
      <c r="U256" s="22"/>
      <c r="V256" s="21"/>
      <c r="W256" s="21"/>
      <c r="X256" s="22"/>
      <c r="Y256" s="21"/>
      <c r="Z256" s="22"/>
      <c r="AA256" s="22"/>
      <c r="AB256" s="22"/>
      <c r="AC256" s="22"/>
      <c r="AD256" s="22"/>
      <c r="AE256" s="22"/>
      <c r="AF256" s="22"/>
      <c r="AG256" s="21"/>
    </row>
    <row r="257" customFormat="false" ht="15" hidden="false" customHeight="false" outlineLevel="0" collapsed="false">
      <c r="A257" s="22"/>
      <c r="B257" s="21"/>
      <c r="C257" s="22"/>
      <c r="D257" s="22"/>
      <c r="E257" s="22"/>
      <c r="F257" s="22"/>
      <c r="G257" s="22"/>
      <c r="H257" s="22"/>
      <c r="I257" s="22"/>
      <c r="J257" s="22"/>
      <c r="K257" s="22"/>
      <c r="L257" s="25"/>
      <c r="M257" s="25"/>
      <c r="N257" s="25"/>
      <c r="O257" s="25"/>
      <c r="P257" s="24" t="str">
        <f aca="false">IFERROR(N257/O257,"")</f>
        <v/>
      </c>
      <c r="Q257" s="22"/>
      <c r="R257" s="22"/>
      <c r="S257" s="22"/>
      <c r="T257" s="22"/>
      <c r="U257" s="22"/>
      <c r="V257" s="21"/>
      <c r="W257" s="21"/>
      <c r="X257" s="22"/>
      <c r="Y257" s="21"/>
      <c r="Z257" s="22"/>
      <c r="AA257" s="22"/>
      <c r="AB257" s="22"/>
      <c r="AC257" s="22"/>
      <c r="AD257" s="22"/>
      <c r="AE257" s="22"/>
      <c r="AF257" s="22"/>
      <c r="AG257" s="21"/>
    </row>
    <row r="258" customFormat="false" ht="15" hidden="false" customHeight="false" outlineLevel="0" collapsed="false">
      <c r="A258" s="22"/>
      <c r="B258" s="21"/>
      <c r="C258" s="22"/>
      <c r="D258" s="22"/>
      <c r="E258" s="22"/>
      <c r="F258" s="22"/>
      <c r="G258" s="22"/>
      <c r="H258" s="22"/>
      <c r="I258" s="22"/>
      <c r="J258" s="22"/>
      <c r="K258" s="22"/>
      <c r="L258" s="25"/>
      <c r="M258" s="25"/>
      <c r="N258" s="25"/>
      <c r="O258" s="25"/>
      <c r="P258" s="24" t="str">
        <f aca="false">IFERROR(N258/O258,"")</f>
        <v/>
      </c>
      <c r="Q258" s="22"/>
      <c r="R258" s="22"/>
      <c r="S258" s="22"/>
      <c r="T258" s="22"/>
      <c r="U258" s="22"/>
      <c r="V258" s="21"/>
      <c r="W258" s="21"/>
      <c r="X258" s="22"/>
      <c r="Y258" s="21"/>
      <c r="Z258" s="22"/>
      <c r="AA258" s="22"/>
      <c r="AB258" s="22"/>
      <c r="AC258" s="22"/>
      <c r="AD258" s="22"/>
      <c r="AE258" s="22"/>
      <c r="AF258" s="22"/>
      <c r="AG258" s="21"/>
    </row>
    <row r="259" customFormat="false" ht="15" hidden="false" customHeight="false" outlineLevel="0" collapsed="false">
      <c r="A259" s="22"/>
      <c r="B259" s="21"/>
      <c r="C259" s="22"/>
      <c r="D259" s="22"/>
      <c r="E259" s="22"/>
      <c r="F259" s="22"/>
      <c r="G259" s="22"/>
      <c r="H259" s="22"/>
      <c r="I259" s="22"/>
      <c r="J259" s="22"/>
      <c r="K259" s="22"/>
      <c r="L259" s="25"/>
      <c r="M259" s="25"/>
      <c r="N259" s="25"/>
      <c r="O259" s="25"/>
      <c r="P259" s="24" t="str">
        <f aca="false">IFERROR(N259/O259,"")</f>
        <v/>
      </c>
      <c r="Q259" s="22"/>
      <c r="R259" s="22"/>
      <c r="S259" s="22"/>
      <c r="T259" s="22"/>
      <c r="U259" s="22"/>
      <c r="V259" s="21"/>
      <c r="W259" s="21"/>
      <c r="X259" s="22"/>
      <c r="Y259" s="21"/>
      <c r="Z259" s="22"/>
      <c r="AA259" s="22"/>
      <c r="AB259" s="22"/>
      <c r="AC259" s="22"/>
      <c r="AD259" s="22"/>
      <c r="AE259" s="22"/>
      <c r="AF259" s="22"/>
      <c r="AG259" s="21"/>
    </row>
    <row r="260" customFormat="false" ht="15" hidden="false" customHeight="false" outlineLevel="0" collapsed="false">
      <c r="A260" s="22"/>
      <c r="B260" s="21"/>
      <c r="C260" s="22"/>
      <c r="D260" s="22"/>
      <c r="E260" s="22"/>
      <c r="F260" s="22"/>
      <c r="G260" s="22"/>
      <c r="H260" s="22"/>
      <c r="I260" s="22"/>
      <c r="J260" s="22"/>
      <c r="K260" s="22"/>
      <c r="L260" s="25"/>
      <c r="M260" s="25"/>
      <c r="N260" s="25"/>
      <c r="O260" s="25"/>
      <c r="P260" s="24" t="str">
        <f aca="false">IFERROR(N260/O260,"")</f>
        <v/>
      </c>
      <c r="Q260" s="22"/>
      <c r="R260" s="22"/>
      <c r="S260" s="22"/>
      <c r="T260" s="22"/>
      <c r="U260" s="22"/>
      <c r="V260" s="21"/>
      <c r="W260" s="21"/>
      <c r="X260" s="22"/>
      <c r="Y260" s="21"/>
      <c r="Z260" s="22"/>
      <c r="AA260" s="22"/>
      <c r="AB260" s="22"/>
      <c r="AC260" s="22"/>
      <c r="AD260" s="22"/>
      <c r="AE260" s="22"/>
      <c r="AF260" s="22"/>
      <c r="AG260" s="21"/>
    </row>
    <row r="261" customFormat="false" ht="15" hidden="false" customHeight="false" outlineLevel="0" collapsed="false">
      <c r="A261" s="22"/>
      <c r="B261" s="21"/>
      <c r="C261" s="22"/>
      <c r="D261" s="22"/>
      <c r="E261" s="22"/>
      <c r="F261" s="22"/>
      <c r="G261" s="22"/>
      <c r="H261" s="22"/>
      <c r="I261" s="22"/>
      <c r="J261" s="22"/>
      <c r="K261" s="22"/>
      <c r="L261" s="25"/>
      <c r="M261" s="25"/>
      <c r="N261" s="25"/>
      <c r="O261" s="25"/>
      <c r="P261" s="24" t="str">
        <f aca="false">IFERROR(N261/O261,"")</f>
        <v/>
      </c>
      <c r="Q261" s="22"/>
      <c r="R261" s="22"/>
      <c r="S261" s="22"/>
      <c r="T261" s="22"/>
      <c r="U261" s="22"/>
      <c r="V261" s="21"/>
      <c r="W261" s="21"/>
      <c r="X261" s="22"/>
      <c r="Y261" s="21"/>
      <c r="Z261" s="22"/>
      <c r="AA261" s="22"/>
      <c r="AB261" s="22"/>
      <c r="AC261" s="22"/>
      <c r="AD261" s="22"/>
      <c r="AE261" s="22"/>
      <c r="AF261" s="22"/>
      <c r="AG261" s="21"/>
    </row>
    <row r="262" customFormat="false" ht="15" hidden="false" customHeight="false" outlineLevel="0" collapsed="false">
      <c r="A262" s="22"/>
      <c r="B262" s="21"/>
      <c r="C262" s="22"/>
      <c r="D262" s="22"/>
      <c r="E262" s="22"/>
      <c r="F262" s="22"/>
      <c r="G262" s="22"/>
      <c r="H262" s="22"/>
      <c r="I262" s="22"/>
      <c r="J262" s="22"/>
      <c r="K262" s="22"/>
      <c r="L262" s="25"/>
      <c r="M262" s="25"/>
      <c r="N262" s="25"/>
      <c r="O262" s="25"/>
      <c r="P262" s="24" t="str">
        <f aca="false">IFERROR(N262/O262,"")</f>
        <v/>
      </c>
      <c r="Q262" s="22"/>
      <c r="R262" s="22"/>
      <c r="S262" s="22"/>
      <c r="T262" s="22"/>
      <c r="U262" s="22"/>
      <c r="V262" s="21"/>
      <c r="W262" s="21"/>
      <c r="X262" s="22"/>
      <c r="Y262" s="21"/>
      <c r="Z262" s="22"/>
      <c r="AA262" s="22"/>
      <c r="AB262" s="22"/>
      <c r="AC262" s="22"/>
      <c r="AD262" s="22"/>
      <c r="AE262" s="22"/>
      <c r="AF262" s="22"/>
      <c r="AG262" s="21"/>
    </row>
    <row r="263" customFormat="false" ht="15" hidden="false" customHeight="false" outlineLevel="0" collapsed="false">
      <c r="A263" s="22"/>
      <c r="B263" s="21"/>
      <c r="C263" s="22"/>
      <c r="D263" s="22"/>
      <c r="E263" s="22"/>
      <c r="F263" s="22"/>
      <c r="G263" s="22"/>
      <c r="H263" s="22"/>
      <c r="I263" s="22"/>
      <c r="J263" s="22"/>
      <c r="K263" s="22"/>
      <c r="L263" s="25"/>
      <c r="M263" s="25"/>
      <c r="N263" s="25"/>
      <c r="O263" s="25"/>
      <c r="P263" s="24" t="str">
        <f aca="false">IFERROR(N263/O263,"")</f>
        <v/>
      </c>
      <c r="Q263" s="22"/>
      <c r="R263" s="22"/>
      <c r="S263" s="22"/>
      <c r="T263" s="22"/>
      <c r="U263" s="22"/>
      <c r="V263" s="21"/>
      <c r="W263" s="21"/>
      <c r="X263" s="22"/>
      <c r="Y263" s="21"/>
      <c r="Z263" s="22"/>
      <c r="AA263" s="22"/>
      <c r="AB263" s="22"/>
      <c r="AC263" s="22"/>
      <c r="AD263" s="22"/>
      <c r="AE263" s="22"/>
      <c r="AF263" s="22"/>
      <c r="AG263" s="21"/>
    </row>
    <row r="264" customFormat="false" ht="15" hidden="false" customHeight="false" outlineLevel="0" collapsed="false">
      <c r="A264" s="22"/>
      <c r="B264" s="21"/>
      <c r="C264" s="22"/>
      <c r="D264" s="22"/>
      <c r="E264" s="22"/>
      <c r="F264" s="22"/>
      <c r="G264" s="22"/>
      <c r="H264" s="22"/>
      <c r="I264" s="22"/>
      <c r="J264" s="22"/>
      <c r="K264" s="22"/>
      <c r="L264" s="25"/>
      <c r="M264" s="25"/>
      <c r="N264" s="25"/>
      <c r="O264" s="25"/>
      <c r="P264" s="24" t="str">
        <f aca="false">IFERROR(N264/O264,"")</f>
        <v/>
      </c>
      <c r="Q264" s="22"/>
      <c r="R264" s="22"/>
      <c r="S264" s="22"/>
      <c r="T264" s="22"/>
      <c r="U264" s="22"/>
      <c r="V264" s="21"/>
      <c r="W264" s="21"/>
      <c r="X264" s="22"/>
      <c r="Y264" s="21"/>
      <c r="Z264" s="22"/>
      <c r="AA264" s="22"/>
      <c r="AB264" s="22"/>
      <c r="AC264" s="22"/>
      <c r="AD264" s="22"/>
      <c r="AE264" s="22"/>
      <c r="AF264" s="22"/>
      <c r="AG264" s="21"/>
    </row>
    <row r="265" customFormat="false" ht="15" hidden="false" customHeight="false" outlineLevel="0" collapsed="false">
      <c r="A265" s="22"/>
      <c r="B265" s="21"/>
      <c r="C265" s="22"/>
      <c r="D265" s="22"/>
      <c r="E265" s="22"/>
      <c r="F265" s="22"/>
      <c r="G265" s="22"/>
      <c r="H265" s="22"/>
      <c r="I265" s="22"/>
      <c r="J265" s="22"/>
      <c r="K265" s="22"/>
      <c r="L265" s="25"/>
      <c r="M265" s="25"/>
      <c r="N265" s="25"/>
      <c r="O265" s="25"/>
      <c r="P265" s="24" t="str">
        <f aca="false">IFERROR(N265/O265,"")</f>
        <v/>
      </c>
      <c r="Q265" s="22"/>
      <c r="R265" s="22"/>
      <c r="S265" s="22"/>
      <c r="T265" s="22"/>
      <c r="U265" s="22"/>
      <c r="V265" s="21"/>
      <c r="W265" s="21"/>
      <c r="X265" s="22"/>
      <c r="Y265" s="21"/>
      <c r="Z265" s="22"/>
      <c r="AA265" s="22"/>
      <c r="AB265" s="22"/>
      <c r="AC265" s="22"/>
      <c r="AD265" s="22"/>
      <c r="AE265" s="22"/>
      <c r="AF265" s="22"/>
      <c r="AG265" s="21"/>
    </row>
    <row r="266" customFormat="false" ht="15" hidden="false" customHeight="false" outlineLevel="0" collapsed="false">
      <c r="A266" s="22"/>
      <c r="B266" s="21"/>
      <c r="C266" s="22"/>
      <c r="D266" s="22"/>
      <c r="E266" s="22"/>
      <c r="F266" s="22"/>
      <c r="G266" s="22"/>
      <c r="H266" s="22"/>
      <c r="I266" s="22"/>
      <c r="J266" s="22"/>
      <c r="K266" s="22"/>
      <c r="L266" s="25"/>
      <c r="M266" s="25"/>
      <c r="N266" s="25"/>
      <c r="O266" s="25"/>
      <c r="P266" s="24" t="str">
        <f aca="false">IFERROR(N266/O266,"")</f>
        <v/>
      </c>
      <c r="Q266" s="22"/>
      <c r="R266" s="22"/>
      <c r="S266" s="22"/>
      <c r="T266" s="22"/>
      <c r="U266" s="22"/>
      <c r="V266" s="21"/>
      <c r="W266" s="21"/>
      <c r="X266" s="22"/>
      <c r="Y266" s="21"/>
      <c r="Z266" s="22"/>
      <c r="AA266" s="22"/>
      <c r="AB266" s="22"/>
      <c r="AC266" s="22"/>
      <c r="AD266" s="22"/>
      <c r="AE266" s="22"/>
      <c r="AF266" s="22"/>
      <c r="AG266" s="21"/>
    </row>
    <row r="267" customFormat="false" ht="15" hidden="false" customHeight="false" outlineLevel="0" collapsed="false">
      <c r="A267" s="22"/>
      <c r="B267" s="21"/>
      <c r="C267" s="22"/>
      <c r="D267" s="22"/>
      <c r="E267" s="22"/>
      <c r="F267" s="22"/>
      <c r="G267" s="22"/>
      <c r="H267" s="22"/>
      <c r="I267" s="22"/>
      <c r="J267" s="22"/>
      <c r="K267" s="22"/>
      <c r="L267" s="25"/>
      <c r="M267" s="25"/>
      <c r="N267" s="25"/>
      <c r="O267" s="25"/>
      <c r="P267" s="24" t="str">
        <f aca="false">IFERROR(N267/O267,"")</f>
        <v/>
      </c>
      <c r="Q267" s="22"/>
      <c r="R267" s="22"/>
      <c r="S267" s="22"/>
      <c r="T267" s="22"/>
      <c r="U267" s="22"/>
      <c r="V267" s="21"/>
      <c r="W267" s="21"/>
      <c r="X267" s="22"/>
      <c r="Y267" s="21"/>
      <c r="Z267" s="22"/>
      <c r="AA267" s="22"/>
      <c r="AB267" s="22"/>
      <c r="AC267" s="22"/>
      <c r="AD267" s="22"/>
      <c r="AE267" s="22"/>
      <c r="AF267" s="22"/>
      <c r="AG267" s="21"/>
    </row>
    <row r="268" customFormat="false" ht="15" hidden="false" customHeight="false" outlineLevel="0" collapsed="false">
      <c r="A268" s="22"/>
      <c r="B268" s="21"/>
      <c r="C268" s="22"/>
      <c r="D268" s="22"/>
      <c r="E268" s="22"/>
      <c r="F268" s="22"/>
      <c r="G268" s="22"/>
      <c r="H268" s="22"/>
      <c r="I268" s="22"/>
      <c r="J268" s="22"/>
      <c r="K268" s="22"/>
      <c r="L268" s="25"/>
      <c r="M268" s="25"/>
      <c r="N268" s="25"/>
      <c r="O268" s="25"/>
      <c r="P268" s="24" t="str">
        <f aca="false">IFERROR(N268/O268,"")</f>
        <v/>
      </c>
      <c r="Q268" s="22"/>
      <c r="R268" s="22"/>
      <c r="S268" s="22"/>
      <c r="T268" s="22"/>
      <c r="U268" s="22"/>
      <c r="V268" s="21"/>
      <c r="W268" s="21"/>
      <c r="X268" s="22"/>
      <c r="Y268" s="21"/>
      <c r="Z268" s="22"/>
      <c r="AA268" s="22"/>
      <c r="AB268" s="22"/>
      <c r="AC268" s="22"/>
      <c r="AD268" s="22"/>
      <c r="AE268" s="22"/>
      <c r="AF268" s="22"/>
      <c r="AG268" s="21"/>
    </row>
    <row r="269" customFormat="false" ht="15" hidden="false" customHeight="false" outlineLevel="0" collapsed="false">
      <c r="A269" s="22"/>
      <c r="B269" s="21"/>
      <c r="C269" s="22"/>
      <c r="D269" s="22"/>
      <c r="E269" s="22"/>
      <c r="F269" s="22"/>
      <c r="G269" s="22"/>
      <c r="H269" s="22"/>
      <c r="I269" s="22"/>
      <c r="J269" s="22"/>
      <c r="K269" s="22"/>
      <c r="L269" s="25"/>
      <c r="M269" s="25"/>
      <c r="N269" s="25"/>
      <c r="O269" s="25"/>
      <c r="P269" s="24" t="str">
        <f aca="false">IFERROR(N269/O269,"")</f>
        <v/>
      </c>
      <c r="Q269" s="22"/>
      <c r="R269" s="22"/>
      <c r="S269" s="22"/>
      <c r="T269" s="22"/>
      <c r="U269" s="22"/>
      <c r="V269" s="21"/>
      <c r="W269" s="21"/>
      <c r="X269" s="22"/>
      <c r="Y269" s="21"/>
      <c r="Z269" s="22"/>
      <c r="AA269" s="22"/>
      <c r="AB269" s="22"/>
      <c r="AC269" s="22"/>
      <c r="AD269" s="22"/>
      <c r="AE269" s="22"/>
      <c r="AF269" s="22"/>
      <c r="AG269" s="21"/>
    </row>
    <row r="270" customFormat="false" ht="15" hidden="false" customHeight="false" outlineLevel="0" collapsed="false">
      <c r="A270" s="22"/>
      <c r="B270" s="21"/>
      <c r="C270" s="22"/>
      <c r="D270" s="22"/>
      <c r="E270" s="22"/>
      <c r="F270" s="22"/>
      <c r="G270" s="22"/>
      <c r="H270" s="22"/>
      <c r="I270" s="22"/>
      <c r="J270" s="22"/>
      <c r="K270" s="22"/>
      <c r="L270" s="25"/>
      <c r="M270" s="25"/>
      <c r="N270" s="25"/>
      <c r="O270" s="25"/>
      <c r="P270" s="24" t="str">
        <f aca="false">IFERROR(N270/O270,"")</f>
        <v/>
      </c>
      <c r="Q270" s="22"/>
      <c r="R270" s="22"/>
      <c r="S270" s="22"/>
      <c r="T270" s="22"/>
      <c r="U270" s="22"/>
      <c r="V270" s="21"/>
      <c r="W270" s="21"/>
      <c r="X270" s="22"/>
      <c r="Y270" s="21"/>
      <c r="Z270" s="22"/>
      <c r="AA270" s="22"/>
      <c r="AB270" s="22"/>
      <c r="AC270" s="22"/>
      <c r="AD270" s="22"/>
      <c r="AE270" s="22"/>
      <c r="AF270" s="22"/>
      <c r="AG270" s="21"/>
    </row>
    <row r="271" customFormat="false" ht="15" hidden="false" customHeight="false" outlineLevel="0" collapsed="false">
      <c r="A271" s="22"/>
      <c r="B271" s="21"/>
      <c r="C271" s="22"/>
      <c r="D271" s="22"/>
      <c r="E271" s="22"/>
      <c r="F271" s="22"/>
      <c r="G271" s="22"/>
      <c r="H271" s="22"/>
      <c r="I271" s="22"/>
      <c r="J271" s="22"/>
      <c r="K271" s="22"/>
      <c r="L271" s="25"/>
      <c r="M271" s="25"/>
      <c r="N271" s="25"/>
      <c r="O271" s="25"/>
      <c r="P271" s="24" t="str">
        <f aca="false">IFERROR(N271/O271,"")</f>
        <v/>
      </c>
      <c r="Q271" s="22"/>
      <c r="R271" s="22"/>
      <c r="S271" s="22"/>
      <c r="T271" s="22"/>
      <c r="U271" s="22"/>
      <c r="V271" s="21"/>
      <c r="W271" s="21"/>
      <c r="X271" s="22"/>
      <c r="Y271" s="21"/>
      <c r="Z271" s="22"/>
      <c r="AA271" s="22"/>
      <c r="AB271" s="22"/>
      <c r="AC271" s="22"/>
      <c r="AD271" s="22"/>
      <c r="AE271" s="22"/>
      <c r="AF271" s="22"/>
      <c r="AG271" s="21"/>
    </row>
    <row r="272" customFormat="false" ht="15" hidden="false" customHeight="false" outlineLevel="0" collapsed="false">
      <c r="A272" s="22"/>
      <c r="B272" s="21"/>
      <c r="C272" s="22"/>
      <c r="D272" s="22"/>
      <c r="E272" s="22"/>
      <c r="F272" s="22"/>
      <c r="G272" s="22"/>
      <c r="H272" s="22"/>
      <c r="I272" s="22"/>
      <c r="J272" s="22"/>
      <c r="K272" s="22"/>
      <c r="L272" s="25"/>
      <c r="M272" s="25"/>
      <c r="N272" s="25"/>
      <c r="O272" s="25"/>
      <c r="P272" s="24" t="str">
        <f aca="false">IFERROR(N272/O272,"")</f>
        <v/>
      </c>
      <c r="Q272" s="22"/>
      <c r="R272" s="22"/>
      <c r="S272" s="22"/>
      <c r="T272" s="22"/>
      <c r="U272" s="22"/>
      <c r="V272" s="21"/>
      <c r="W272" s="21"/>
      <c r="X272" s="22"/>
      <c r="Y272" s="21"/>
      <c r="Z272" s="22"/>
      <c r="AA272" s="22"/>
      <c r="AB272" s="22"/>
      <c r="AC272" s="22"/>
      <c r="AD272" s="22"/>
      <c r="AE272" s="22"/>
      <c r="AF272" s="22"/>
      <c r="AG272" s="21"/>
    </row>
    <row r="273" customFormat="false" ht="15" hidden="false" customHeight="false" outlineLevel="0" collapsed="false">
      <c r="A273" s="22"/>
      <c r="B273" s="21"/>
      <c r="C273" s="22"/>
      <c r="D273" s="22"/>
      <c r="E273" s="22"/>
      <c r="F273" s="22"/>
      <c r="G273" s="22"/>
      <c r="H273" s="22"/>
      <c r="I273" s="22"/>
      <c r="J273" s="22"/>
      <c r="K273" s="22"/>
      <c r="L273" s="25"/>
      <c r="M273" s="25"/>
      <c r="N273" s="25"/>
      <c r="O273" s="25"/>
      <c r="P273" s="24" t="str">
        <f aca="false">IFERROR(N273/O273,"")</f>
        <v/>
      </c>
      <c r="Q273" s="22"/>
      <c r="R273" s="22"/>
      <c r="S273" s="22"/>
      <c r="T273" s="22"/>
      <c r="U273" s="22"/>
      <c r="V273" s="21"/>
      <c r="W273" s="21"/>
      <c r="X273" s="22"/>
      <c r="Y273" s="21"/>
      <c r="Z273" s="22"/>
      <c r="AA273" s="22"/>
      <c r="AB273" s="22"/>
      <c r="AC273" s="22"/>
      <c r="AD273" s="22"/>
      <c r="AE273" s="22"/>
      <c r="AF273" s="22"/>
      <c r="AG273" s="21"/>
    </row>
    <row r="274" customFormat="false" ht="15" hidden="false" customHeight="false" outlineLevel="0" collapsed="false">
      <c r="A274" s="22"/>
      <c r="B274" s="21"/>
      <c r="C274" s="22"/>
      <c r="D274" s="22"/>
      <c r="E274" s="22"/>
      <c r="F274" s="22"/>
      <c r="G274" s="22"/>
      <c r="H274" s="22"/>
      <c r="I274" s="22"/>
      <c r="J274" s="22"/>
      <c r="K274" s="22"/>
      <c r="L274" s="25"/>
      <c r="M274" s="25"/>
      <c r="N274" s="25"/>
      <c r="O274" s="25"/>
      <c r="P274" s="24" t="str">
        <f aca="false">IFERROR(N274/O274,"")</f>
        <v/>
      </c>
      <c r="Q274" s="22"/>
      <c r="R274" s="22"/>
      <c r="S274" s="22"/>
      <c r="T274" s="22"/>
      <c r="U274" s="22"/>
      <c r="V274" s="21"/>
      <c r="W274" s="21"/>
      <c r="X274" s="22"/>
      <c r="Y274" s="21"/>
      <c r="Z274" s="22"/>
      <c r="AA274" s="22"/>
      <c r="AB274" s="22"/>
      <c r="AC274" s="22"/>
      <c r="AD274" s="22"/>
      <c r="AE274" s="22"/>
      <c r="AF274" s="22"/>
      <c r="AG274" s="21"/>
    </row>
    <row r="275" customFormat="false" ht="15" hidden="false" customHeight="false" outlineLevel="0" collapsed="false">
      <c r="A275" s="22"/>
      <c r="B275" s="21"/>
      <c r="C275" s="22"/>
      <c r="D275" s="22"/>
      <c r="E275" s="22"/>
      <c r="F275" s="22"/>
      <c r="G275" s="22"/>
      <c r="H275" s="22"/>
      <c r="I275" s="22"/>
      <c r="J275" s="22"/>
      <c r="K275" s="22"/>
      <c r="L275" s="25"/>
      <c r="M275" s="25"/>
      <c r="N275" s="25"/>
      <c r="O275" s="25"/>
      <c r="P275" s="24" t="str">
        <f aca="false">IFERROR(N275/O275,"")</f>
        <v/>
      </c>
      <c r="Q275" s="22"/>
      <c r="R275" s="22"/>
      <c r="S275" s="22"/>
      <c r="T275" s="22"/>
      <c r="U275" s="22"/>
      <c r="V275" s="21"/>
      <c r="W275" s="21"/>
      <c r="X275" s="22"/>
      <c r="Y275" s="21"/>
      <c r="Z275" s="22"/>
      <c r="AA275" s="22"/>
      <c r="AB275" s="22"/>
      <c r="AC275" s="22"/>
      <c r="AD275" s="22"/>
      <c r="AE275" s="22"/>
      <c r="AF275" s="22"/>
      <c r="AG275" s="21"/>
    </row>
    <row r="276" customFormat="false" ht="15" hidden="false" customHeight="false" outlineLevel="0" collapsed="false">
      <c r="A276" s="22"/>
      <c r="B276" s="21"/>
      <c r="C276" s="22"/>
      <c r="D276" s="22"/>
      <c r="E276" s="22"/>
      <c r="F276" s="22"/>
      <c r="G276" s="22"/>
      <c r="H276" s="22"/>
      <c r="I276" s="22"/>
      <c r="J276" s="22"/>
      <c r="K276" s="22"/>
      <c r="L276" s="25"/>
      <c r="M276" s="25"/>
      <c r="N276" s="25"/>
      <c r="O276" s="25"/>
      <c r="P276" s="24" t="str">
        <f aca="false">IFERROR(N276/O276,"")</f>
        <v/>
      </c>
      <c r="Q276" s="22"/>
      <c r="R276" s="22"/>
      <c r="S276" s="22"/>
      <c r="T276" s="22"/>
      <c r="U276" s="22"/>
      <c r="V276" s="21"/>
      <c r="W276" s="21"/>
      <c r="X276" s="22"/>
      <c r="Y276" s="21"/>
      <c r="Z276" s="22"/>
      <c r="AA276" s="22"/>
      <c r="AB276" s="22"/>
      <c r="AC276" s="22"/>
      <c r="AD276" s="22"/>
      <c r="AE276" s="22"/>
      <c r="AF276" s="22"/>
      <c r="AG276" s="21"/>
    </row>
    <row r="277" customFormat="false" ht="15" hidden="false" customHeight="false" outlineLevel="0" collapsed="false">
      <c r="A277" s="22"/>
      <c r="B277" s="21"/>
      <c r="C277" s="22"/>
      <c r="D277" s="22"/>
      <c r="E277" s="22"/>
      <c r="F277" s="22"/>
      <c r="G277" s="22"/>
      <c r="H277" s="22"/>
      <c r="I277" s="22"/>
      <c r="J277" s="22"/>
      <c r="K277" s="22"/>
      <c r="L277" s="25"/>
      <c r="M277" s="25"/>
      <c r="N277" s="25"/>
      <c r="O277" s="25"/>
      <c r="P277" s="24" t="str">
        <f aca="false">IFERROR(N277/O277,"")</f>
        <v/>
      </c>
      <c r="Q277" s="22"/>
      <c r="R277" s="22"/>
      <c r="S277" s="22"/>
      <c r="T277" s="22"/>
      <c r="U277" s="22"/>
      <c r="V277" s="21"/>
      <c r="W277" s="21"/>
      <c r="X277" s="22"/>
      <c r="Y277" s="21"/>
      <c r="Z277" s="22"/>
      <c r="AA277" s="22"/>
      <c r="AB277" s="22"/>
      <c r="AC277" s="22"/>
      <c r="AD277" s="22"/>
      <c r="AE277" s="22"/>
      <c r="AF277" s="22"/>
      <c r="AG277" s="21"/>
    </row>
    <row r="278" customFormat="false" ht="15" hidden="false" customHeight="false" outlineLevel="0" collapsed="false">
      <c r="A278" s="22"/>
      <c r="B278" s="21"/>
      <c r="C278" s="22"/>
      <c r="D278" s="22"/>
      <c r="E278" s="22"/>
      <c r="F278" s="22"/>
      <c r="G278" s="22"/>
      <c r="H278" s="22"/>
      <c r="I278" s="22"/>
      <c r="J278" s="22"/>
      <c r="K278" s="22"/>
      <c r="L278" s="25"/>
      <c r="M278" s="25"/>
      <c r="N278" s="25"/>
      <c r="O278" s="25"/>
      <c r="P278" s="24" t="str">
        <f aca="false">IFERROR(N278/O278,"")</f>
        <v/>
      </c>
      <c r="Q278" s="22"/>
      <c r="R278" s="22"/>
      <c r="S278" s="22"/>
      <c r="T278" s="22"/>
      <c r="U278" s="22"/>
      <c r="V278" s="21"/>
      <c r="W278" s="21"/>
      <c r="X278" s="22"/>
      <c r="Y278" s="21"/>
      <c r="Z278" s="22"/>
      <c r="AA278" s="22"/>
      <c r="AB278" s="22"/>
      <c r="AC278" s="22"/>
      <c r="AD278" s="22"/>
      <c r="AE278" s="22"/>
      <c r="AF278" s="22"/>
      <c r="AG278" s="21"/>
    </row>
    <row r="279" customFormat="false" ht="15" hidden="false" customHeight="false" outlineLevel="0" collapsed="false">
      <c r="A279" s="22"/>
      <c r="B279" s="21"/>
      <c r="C279" s="22"/>
      <c r="D279" s="22"/>
      <c r="E279" s="22"/>
      <c r="F279" s="22"/>
      <c r="G279" s="22"/>
      <c r="H279" s="22"/>
      <c r="I279" s="22"/>
      <c r="J279" s="22"/>
      <c r="K279" s="22"/>
      <c r="L279" s="25"/>
      <c r="M279" s="25"/>
      <c r="N279" s="25"/>
      <c r="O279" s="25"/>
      <c r="P279" s="24" t="str">
        <f aca="false">IFERROR(N279/O279,"")</f>
        <v/>
      </c>
      <c r="Q279" s="22"/>
      <c r="R279" s="22"/>
      <c r="S279" s="22"/>
      <c r="T279" s="22"/>
      <c r="U279" s="22"/>
      <c r="V279" s="21"/>
      <c r="W279" s="21"/>
      <c r="X279" s="22"/>
      <c r="Y279" s="21"/>
      <c r="Z279" s="22"/>
      <c r="AA279" s="22"/>
      <c r="AB279" s="22"/>
      <c r="AC279" s="22"/>
      <c r="AD279" s="22"/>
      <c r="AE279" s="22"/>
      <c r="AF279" s="22"/>
      <c r="AG279" s="21"/>
    </row>
    <row r="280" customFormat="false" ht="15" hidden="false" customHeight="false" outlineLevel="0" collapsed="false">
      <c r="A280" s="22"/>
      <c r="B280" s="21"/>
      <c r="C280" s="22"/>
      <c r="D280" s="22"/>
      <c r="E280" s="22"/>
      <c r="F280" s="22"/>
      <c r="G280" s="22"/>
      <c r="H280" s="22"/>
      <c r="I280" s="22"/>
      <c r="J280" s="22"/>
      <c r="K280" s="22"/>
      <c r="L280" s="25"/>
      <c r="M280" s="25"/>
      <c r="N280" s="25"/>
      <c r="O280" s="25"/>
      <c r="P280" s="24" t="str">
        <f aca="false">IFERROR(N280/O280,"")</f>
        <v/>
      </c>
      <c r="Q280" s="22"/>
      <c r="R280" s="22"/>
      <c r="S280" s="22"/>
      <c r="T280" s="22"/>
      <c r="U280" s="22"/>
      <c r="V280" s="21"/>
      <c r="W280" s="21"/>
      <c r="X280" s="22"/>
      <c r="Y280" s="21"/>
      <c r="Z280" s="22"/>
      <c r="AA280" s="22"/>
      <c r="AB280" s="22"/>
      <c r="AC280" s="22"/>
      <c r="AD280" s="22"/>
      <c r="AE280" s="22"/>
      <c r="AF280" s="22"/>
      <c r="AG280" s="21"/>
    </row>
    <row r="281" customFormat="false" ht="15" hidden="false" customHeight="false" outlineLevel="0" collapsed="false">
      <c r="A281" s="22"/>
      <c r="B281" s="21"/>
      <c r="C281" s="22"/>
      <c r="D281" s="22"/>
      <c r="E281" s="22"/>
      <c r="F281" s="22"/>
      <c r="G281" s="22"/>
      <c r="H281" s="22"/>
      <c r="I281" s="22"/>
      <c r="J281" s="22"/>
      <c r="K281" s="22"/>
      <c r="L281" s="25"/>
      <c r="M281" s="25"/>
      <c r="N281" s="25"/>
      <c r="O281" s="25"/>
      <c r="P281" s="24" t="str">
        <f aca="false">IFERROR(N281/O281,"")</f>
        <v/>
      </c>
      <c r="Q281" s="22"/>
      <c r="R281" s="22"/>
      <c r="S281" s="22"/>
      <c r="T281" s="22"/>
      <c r="U281" s="22"/>
      <c r="V281" s="21"/>
      <c r="W281" s="21"/>
      <c r="X281" s="22"/>
      <c r="Y281" s="21"/>
      <c r="Z281" s="22"/>
      <c r="AA281" s="22"/>
      <c r="AB281" s="22"/>
      <c r="AC281" s="22"/>
      <c r="AD281" s="22"/>
      <c r="AE281" s="22"/>
      <c r="AF281" s="22"/>
      <c r="AG281" s="21"/>
    </row>
    <row r="282" customFormat="false" ht="15" hidden="false" customHeight="false" outlineLevel="0" collapsed="false">
      <c r="A282" s="22"/>
      <c r="B282" s="21"/>
      <c r="C282" s="22"/>
      <c r="D282" s="22"/>
      <c r="E282" s="22"/>
      <c r="F282" s="22"/>
      <c r="G282" s="22"/>
      <c r="H282" s="22"/>
      <c r="I282" s="22"/>
      <c r="J282" s="22"/>
      <c r="K282" s="22"/>
      <c r="L282" s="25"/>
      <c r="M282" s="25"/>
      <c r="N282" s="25"/>
      <c r="O282" s="25"/>
      <c r="P282" s="24" t="str">
        <f aca="false">IFERROR(N282/O282,"")</f>
        <v/>
      </c>
      <c r="Q282" s="22"/>
      <c r="R282" s="22"/>
      <c r="S282" s="22"/>
      <c r="T282" s="22"/>
      <c r="U282" s="22"/>
      <c r="V282" s="21"/>
      <c r="W282" s="21"/>
      <c r="X282" s="22"/>
      <c r="Y282" s="21"/>
      <c r="Z282" s="22"/>
      <c r="AA282" s="22"/>
      <c r="AB282" s="22"/>
      <c r="AC282" s="22"/>
      <c r="AD282" s="22"/>
      <c r="AE282" s="22"/>
      <c r="AF282" s="22"/>
      <c r="AG282" s="21"/>
    </row>
    <row r="283" customFormat="false" ht="15" hidden="false" customHeight="false" outlineLevel="0" collapsed="false">
      <c r="A283" s="22"/>
      <c r="B283" s="21"/>
      <c r="C283" s="22"/>
      <c r="D283" s="22"/>
      <c r="E283" s="22"/>
      <c r="F283" s="22"/>
      <c r="G283" s="22"/>
      <c r="H283" s="22"/>
      <c r="I283" s="22"/>
      <c r="J283" s="22"/>
      <c r="K283" s="22"/>
      <c r="L283" s="25"/>
      <c r="M283" s="25"/>
      <c r="N283" s="25"/>
      <c r="O283" s="25"/>
      <c r="P283" s="24" t="str">
        <f aca="false">IFERROR(N283/O283,"")</f>
        <v/>
      </c>
      <c r="Q283" s="22"/>
      <c r="R283" s="22"/>
      <c r="S283" s="22"/>
      <c r="T283" s="22"/>
      <c r="U283" s="22"/>
      <c r="V283" s="21"/>
      <c r="W283" s="21"/>
      <c r="X283" s="22"/>
      <c r="Y283" s="21"/>
      <c r="Z283" s="22"/>
      <c r="AA283" s="22"/>
      <c r="AB283" s="22"/>
      <c r="AC283" s="22"/>
      <c r="AD283" s="22"/>
      <c r="AE283" s="22"/>
      <c r="AF283" s="22"/>
      <c r="AG283" s="21"/>
    </row>
    <row r="284" customFormat="false" ht="15" hidden="false" customHeight="false" outlineLevel="0" collapsed="false">
      <c r="A284" s="22"/>
      <c r="B284" s="21"/>
      <c r="C284" s="22"/>
      <c r="D284" s="22"/>
      <c r="E284" s="22"/>
      <c r="F284" s="22"/>
      <c r="G284" s="22"/>
      <c r="H284" s="22"/>
      <c r="I284" s="22"/>
      <c r="J284" s="22"/>
      <c r="K284" s="22"/>
      <c r="L284" s="25"/>
      <c r="M284" s="25"/>
      <c r="N284" s="25"/>
      <c r="O284" s="25"/>
      <c r="P284" s="24" t="str">
        <f aca="false">IFERROR(N284/O284,"")</f>
        <v/>
      </c>
      <c r="Q284" s="22"/>
      <c r="R284" s="22"/>
      <c r="S284" s="22"/>
      <c r="T284" s="22"/>
      <c r="U284" s="22"/>
      <c r="V284" s="21"/>
      <c r="W284" s="21"/>
      <c r="X284" s="22"/>
      <c r="Y284" s="21"/>
      <c r="Z284" s="22"/>
      <c r="AA284" s="22"/>
      <c r="AB284" s="22"/>
      <c r="AC284" s="22"/>
      <c r="AD284" s="22"/>
      <c r="AE284" s="22"/>
      <c r="AF284" s="22"/>
      <c r="AG284" s="21"/>
    </row>
    <row r="285" customFormat="false" ht="15" hidden="false" customHeight="false" outlineLevel="0" collapsed="false">
      <c r="A285" s="22"/>
      <c r="B285" s="21"/>
      <c r="C285" s="22"/>
      <c r="D285" s="22"/>
      <c r="E285" s="22"/>
      <c r="F285" s="22"/>
      <c r="G285" s="22"/>
      <c r="H285" s="22"/>
      <c r="I285" s="22"/>
      <c r="J285" s="22"/>
      <c r="K285" s="22"/>
      <c r="L285" s="25"/>
      <c r="M285" s="25"/>
      <c r="N285" s="25"/>
      <c r="O285" s="25"/>
      <c r="P285" s="24" t="str">
        <f aca="false">IFERROR(N285/O285,"")</f>
        <v/>
      </c>
      <c r="Q285" s="22"/>
      <c r="R285" s="22"/>
      <c r="S285" s="22"/>
      <c r="T285" s="22"/>
      <c r="U285" s="22"/>
      <c r="V285" s="21"/>
      <c r="W285" s="21"/>
      <c r="X285" s="22"/>
      <c r="Y285" s="21"/>
      <c r="Z285" s="22"/>
      <c r="AA285" s="22"/>
      <c r="AB285" s="22"/>
      <c r="AC285" s="22"/>
      <c r="AD285" s="22"/>
      <c r="AE285" s="22"/>
      <c r="AF285" s="22"/>
      <c r="AG285" s="21"/>
    </row>
    <row r="286" customFormat="false" ht="15" hidden="false" customHeight="false" outlineLevel="0" collapsed="false">
      <c r="A286" s="22"/>
      <c r="B286" s="21"/>
      <c r="C286" s="22"/>
      <c r="D286" s="22"/>
      <c r="E286" s="22"/>
      <c r="F286" s="22"/>
      <c r="G286" s="22"/>
      <c r="H286" s="22"/>
      <c r="I286" s="22"/>
      <c r="J286" s="22"/>
      <c r="K286" s="22"/>
      <c r="L286" s="25"/>
      <c r="M286" s="25"/>
      <c r="N286" s="25"/>
      <c r="O286" s="25"/>
      <c r="P286" s="24" t="str">
        <f aca="false">IFERROR(N286/O286,"")</f>
        <v/>
      </c>
      <c r="Q286" s="22"/>
      <c r="R286" s="22"/>
      <c r="S286" s="22"/>
      <c r="T286" s="22"/>
      <c r="U286" s="22"/>
      <c r="V286" s="21"/>
      <c r="W286" s="21"/>
      <c r="X286" s="22"/>
      <c r="Y286" s="21"/>
      <c r="Z286" s="22"/>
      <c r="AA286" s="22"/>
      <c r="AB286" s="22"/>
      <c r="AC286" s="22"/>
      <c r="AD286" s="22"/>
      <c r="AE286" s="22"/>
      <c r="AF286" s="22"/>
      <c r="AG286" s="21"/>
    </row>
    <row r="287" customFormat="false" ht="15" hidden="false" customHeight="false" outlineLevel="0" collapsed="false">
      <c r="A287" s="22"/>
      <c r="B287" s="21"/>
      <c r="C287" s="22"/>
      <c r="D287" s="22"/>
      <c r="E287" s="22"/>
      <c r="F287" s="22"/>
      <c r="G287" s="22"/>
      <c r="H287" s="22"/>
      <c r="I287" s="22"/>
      <c r="J287" s="22"/>
      <c r="K287" s="22"/>
      <c r="L287" s="25"/>
      <c r="M287" s="25"/>
      <c r="N287" s="25"/>
      <c r="O287" s="25"/>
      <c r="P287" s="24" t="str">
        <f aca="false">IFERROR(N287/O287,"")</f>
        <v/>
      </c>
      <c r="Q287" s="22"/>
      <c r="R287" s="22"/>
      <c r="S287" s="22"/>
      <c r="T287" s="22"/>
      <c r="U287" s="22"/>
      <c r="V287" s="21"/>
      <c r="W287" s="21"/>
      <c r="X287" s="22"/>
      <c r="Y287" s="21"/>
      <c r="Z287" s="22"/>
      <c r="AA287" s="22"/>
      <c r="AB287" s="22"/>
      <c r="AC287" s="22"/>
      <c r="AD287" s="22"/>
      <c r="AE287" s="22"/>
      <c r="AF287" s="22"/>
      <c r="AG287" s="21"/>
    </row>
    <row r="288" customFormat="false" ht="15" hidden="false" customHeight="false" outlineLevel="0" collapsed="false">
      <c r="A288" s="22"/>
      <c r="B288" s="21"/>
      <c r="C288" s="22"/>
      <c r="D288" s="22"/>
      <c r="E288" s="22"/>
      <c r="F288" s="22"/>
      <c r="G288" s="22"/>
      <c r="H288" s="22"/>
      <c r="I288" s="22"/>
      <c r="J288" s="22"/>
      <c r="K288" s="22"/>
      <c r="L288" s="25"/>
      <c r="M288" s="25"/>
      <c r="N288" s="25"/>
      <c r="O288" s="25"/>
      <c r="P288" s="24" t="str">
        <f aca="false">IFERROR(N288/O288,"")</f>
        <v/>
      </c>
      <c r="Q288" s="22"/>
      <c r="R288" s="22"/>
      <c r="S288" s="22"/>
      <c r="T288" s="22"/>
      <c r="U288" s="22"/>
      <c r="V288" s="21"/>
      <c r="W288" s="21"/>
      <c r="X288" s="22"/>
      <c r="Y288" s="21"/>
      <c r="Z288" s="22"/>
      <c r="AA288" s="22"/>
      <c r="AB288" s="22"/>
      <c r="AC288" s="22"/>
      <c r="AD288" s="22"/>
      <c r="AE288" s="22"/>
      <c r="AF288" s="22"/>
      <c r="AG288" s="21"/>
    </row>
    <row r="289" customFormat="false" ht="15" hidden="false" customHeight="false" outlineLevel="0" collapsed="false">
      <c r="A289" s="22"/>
      <c r="B289" s="21"/>
      <c r="C289" s="22"/>
      <c r="D289" s="22"/>
      <c r="E289" s="22"/>
      <c r="F289" s="22"/>
      <c r="G289" s="22"/>
      <c r="H289" s="22"/>
      <c r="I289" s="22"/>
      <c r="J289" s="22"/>
      <c r="K289" s="22"/>
      <c r="L289" s="25"/>
      <c r="M289" s="25"/>
      <c r="N289" s="25"/>
      <c r="O289" s="25"/>
      <c r="P289" s="24" t="str">
        <f aca="false">IFERROR(N289/O289,"")</f>
        <v/>
      </c>
      <c r="Q289" s="22"/>
      <c r="R289" s="22"/>
      <c r="S289" s="22"/>
      <c r="T289" s="22"/>
      <c r="U289" s="22"/>
      <c r="V289" s="21"/>
      <c r="W289" s="21"/>
      <c r="X289" s="22"/>
      <c r="Y289" s="21"/>
      <c r="Z289" s="22"/>
      <c r="AA289" s="22"/>
      <c r="AB289" s="22"/>
      <c r="AC289" s="22"/>
      <c r="AD289" s="22"/>
      <c r="AE289" s="22"/>
      <c r="AF289" s="22"/>
      <c r="AG289" s="21"/>
    </row>
    <row r="290" customFormat="false" ht="15" hidden="false" customHeight="false" outlineLevel="0" collapsed="false">
      <c r="A290" s="22"/>
      <c r="B290" s="21"/>
      <c r="C290" s="22"/>
      <c r="D290" s="22"/>
      <c r="E290" s="22"/>
      <c r="F290" s="22"/>
      <c r="G290" s="22"/>
      <c r="H290" s="22"/>
      <c r="I290" s="22"/>
      <c r="J290" s="22"/>
      <c r="K290" s="22"/>
      <c r="L290" s="25"/>
      <c r="M290" s="25"/>
      <c r="N290" s="25"/>
      <c r="O290" s="25"/>
      <c r="P290" s="24" t="str">
        <f aca="false">IFERROR(N290/O290,"")</f>
        <v/>
      </c>
      <c r="Q290" s="22"/>
      <c r="R290" s="22"/>
      <c r="S290" s="22"/>
      <c r="T290" s="22"/>
      <c r="U290" s="22"/>
      <c r="V290" s="21"/>
      <c r="W290" s="21"/>
      <c r="X290" s="22"/>
      <c r="Y290" s="21"/>
      <c r="Z290" s="22"/>
      <c r="AA290" s="22"/>
      <c r="AB290" s="22"/>
      <c r="AC290" s="22"/>
      <c r="AD290" s="22"/>
      <c r="AE290" s="22"/>
      <c r="AF290" s="22"/>
      <c r="AG290" s="21"/>
    </row>
    <row r="291" customFormat="false" ht="15" hidden="false" customHeight="false" outlineLevel="0" collapsed="false">
      <c r="A291" s="22"/>
      <c r="B291" s="21"/>
      <c r="C291" s="22"/>
      <c r="D291" s="22"/>
      <c r="E291" s="22"/>
      <c r="F291" s="22"/>
      <c r="G291" s="22"/>
      <c r="H291" s="22"/>
      <c r="I291" s="22"/>
      <c r="J291" s="22"/>
      <c r="K291" s="22"/>
      <c r="L291" s="25"/>
      <c r="M291" s="25"/>
      <c r="N291" s="25"/>
      <c r="O291" s="25"/>
      <c r="P291" s="24" t="str">
        <f aca="false">IFERROR(N291/O291,"")</f>
        <v/>
      </c>
      <c r="Q291" s="22"/>
      <c r="R291" s="22"/>
      <c r="S291" s="22"/>
      <c r="T291" s="22"/>
      <c r="U291" s="22"/>
      <c r="V291" s="21"/>
      <c r="W291" s="21"/>
      <c r="X291" s="22"/>
      <c r="Y291" s="21"/>
      <c r="Z291" s="22"/>
      <c r="AA291" s="22"/>
      <c r="AB291" s="22"/>
      <c r="AC291" s="22"/>
      <c r="AD291" s="22"/>
      <c r="AE291" s="22"/>
      <c r="AF291" s="22"/>
      <c r="AG291" s="21"/>
    </row>
    <row r="292" customFormat="false" ht="15" hidden="false" customHeight="false" outlineLevel="0" collapsed="false">
      <c r="A292" s="22"/>
      <c r="B292" s="21"/>
      <c r="C292" s="22"/>
      <c r="D292" s="22"/>
      <c r="E292" s="22"/>
      <c r="F292" s="22"/>
      <c r="G292" s="22"/>
      <c r="H292" s="22"/>
      <c r="I292" s="22"/>
      <c r="J292" s="22"/>
      <c r="K292" s="22"/>
      <c r="L292" s="25"/>
      <c r="M292" s="25"/>
      <c r="N292" s="25"/>
      <c r="O292" s="25"/>
      <c r="P292" s="24" t="str">
        <f aca="false">IFERROR(N292/O292,"")</f>
        <v/>
      </c>
      <c r="Q292" s="22"/>
      <c r="R292" s="22"/>
      <c r="S292" s="22"/>
      <c r="T292" s="22"/>
      <c r="U292" s="22"/>
      <c r="V292" s="21"/>
      <c r="W292" s="21"/>
      <c r="X292" s="22"/>
      <c r="Y292" s="21"/>
      <c r="Z292" s="22"/>
      <c r="AA292" s="22"/>
      <c r="AB292" s="22"/>
      <c r="AC292" s="22"/>
      <c r="AD292" s="22"/>
      <c r="AE292" s="22"/>
      <c r="AF292" s="22"/>
      <c r="AG292" s="21"/>
    </row>
    <row r="293" customFormat="false" ht="15" hidden="false" customHeight="false" outlineLevel="0" collapsed="false">
      <c r="A293" s="22"/>
      <c r="B293" s="21"/>
      <c r="C293" s="22"/>
      <c r="D293" s="22"/>
      <c r="E293" s="22"/>
      <c r="F293" s="22"/>
      <c r="G293" s="22"/>
      <c r="H293" s="22"/>
      <c r="I293" s="22"/>
      <c r="J293" s="22"/>
      <c r="K293" s="22"/>
      <c r="L293" s="25"/>
      <c r="M293" s="25"/>
      <c r="N293" s="25"/>
      <c r="O293" s="25"/>
      <c r="P293" s="24" t="str">
        <f aca="false">IFERROR(N293/O293,"")</f>
        <v/>
      </c>
      <c r="Q293" s="22"/>
      <c r="R293" s="22"/>
      <c r="S293" s="22"/>
      <c r="T293" s="22"/>
      <c r="U293" s="22"/>
      <c r="V293" s="21"/>
      <c r="W293" s="21"/>
      <c r="X293" s="22"/>
      <c r="Y293" s="21"/>
      <c r="Z293" s="22"/>
      <c r="AA293" s="22"/>
      <c r="AB293" s="22"/>
      <c r="AC293" s="22"/>
      <c r="AD293" s="22"/>
      <c r="AE293" s="22"/>
      <c r="AF293" s="22"/>
      <c r="AG293" s="21"/>
    </row>
    <row r="294" customFormat="false" ht="15" hidden="false" customHeight="false" outlineLevel="0" collapsed="false">
      <c r="A294" s="22"/>
      <c r="B294" s="21"/>
      <c r="C294" s="22"/>
      <c r="D294" s="22"/>
      <c r="E294" s="22"/>
      <c r="F294" s="22"/>
      <c r="G294" s="22"/>
      <c r="H294" s="22"/>
      <c r="I294" s="22"/>
      <c r="J294" s="22"/>
      <c r="K294" s="22"/>
      <c r="L294" s="25"/>
      <c r="M294" s="25"/>
      <c r="N294" s="25"/>
      <c r="O294" s="25"/>
      <c r="P294" s="24" t="str">
        <f aca="false">IFERROR(N294/O294,"")</f>
        <v/>
      </c>
      <c r="Q294" s="22"/>
      <c r="R294" s="22"/>
      <c r="S294" s="22"/>
      <c r="T294" s="22"/>
      <c r="U294" s="22"/>
      <c r="V294" s="21"/>
      <c r="W294" s="21"/>
      <c r="X294" s="22"/>
      <c r="Y294" s="21"/>
      <c r="Z294" s="22"/>
      <c r="AA294" s="22"/>
      <c r="AB294" s="22"/>
      <c r="AC294" s="22"/>
      <c r="AD294" s="22"/>
      <c r="AE294" s="22"/>
      <c r="AF294" s="22"/>
      <c r="AG294" s="21"/>
    </row>
    <row r="295" customFormat="false" ht="15" hidden="false" customHeight="false" outlineLevel="0" collapsed="false">
      <c r="A295" s="22"/>
      <c r="B295" s="21"/>
      <c r="C295" s="22"/>
      <c r="D295" s="22"/>
      <c r="E295" s="22"/>
      <c r="F295" s="22"/>
      <c r="G295" s="22"/>
      <c r="H295" s="22"/>
      <c r="I295" s="22"/>
      <c r="J295" s="22"/>
      <c r="K295" s="22"/>
      <c r="L295" s="25"/>
      <c r="M295" s="25"/>
      <c r="N295" s="25"/>
      <c r="O295" s="25"/>
      <c r="P295" s="24" t="str">
        <f aca="false">IFERROR(N295/O295,"")</f>
        <v/>
      </c>
      <c r="Q295" s="22"/>
      <c r="R295" s="22"/>
      <c r="S295" s="22"/>
      <c r="T295" s="22"/>
      <c r="U295" s="22"/>
      <c r="V295" s="21"/>
      <c r="W295" s="21"/>
      <c r="X295" s="22"/>
      <c r="Y295" s="21"/>
      <c r="Z295" s="22"/>
      <c r="AA295" s="22"/>
      <c r="AB295" s="22"/>
      <c r="AC295" s="22"/>
      <c r="AD295" s="22"/>
      <c r="AE295" s="22"/>
      <c r="AF295" s="22"/>
      <c r="AG295" s="21"/>
    </row>
    <row r="296" customFormat="false" ht="15" hidden="false" customHeight="false" outlineLevel="0" collapsed="false">
      <c r="A296" s="22"/>
      <c r="B296" s="21"/>
      <c r="C296" s="22"/>
      <c r="D296" s="22"/>
      <c r="E296" s="22"/>
      <c r="F296" s="22"/>
      <c r="G296" s="22"/>
      <c r="H296" s="22"/>
      <c r="I296" s="22"/>
      <c r="J296" s="22"/>
      <c r="K296" s="22"/>
      <c r="L296" s="25"/>
      <c r="M296" s="25"/>
      <c r="N296" s="25"/>
      <c r="O296" s="25"/>
      <c r="P296" s="24" t="str">
        <f aca="false">IFERROR(N296/O296,"")</f>
        <v/>
      </c>
      <c r="Q296" s="22"/>
      <c r="R296" s="22"/>
      <c r="S296" s="22"/>
      <c r="T296" s="22"/>
      <c r="U296" s="22"/>
      <c r="V296" s="21"/>
      <c r="W296" s="21"/>
      <c r="X296" s="22"/>
      <c r="Y296" s="21"/>
      <c r="Z296" s="22"/>
      <c r="AA296" s="22"/>
      <c r="AB296" s="22"/>
      <c r="AC296" s="22"/>
      <c r="AD296" s="22"/>
      <c r="AE296" s="22"/>
      <c r="AF296" s="22"/>
      <c r="AG296" s="21"/>
    </row>
    <row r="297" customFormat="false" ht="15" hidden="false" customHeight="false" outlineLevel="0" collapsed="false">
      <c r="A297" s="22"/>
      <c r="B297" s="21"/>
      <c r="C297" s="22"/>
      <c r="D297" s="22"/>
      <c r="E297" s="22"/>
      <c r="F297" s="22"/>
      <c r="G297" s="22"/>
      <c r="H297" s="22"/>
      <c r="I297" s="22"/>
      <c r="J297" s="22"/>
      <c r="K297" s="22"/>
      <c r="L297" s="25"/>
      <c r="M297" s="25"/>
      <c r="N297" s="25"/>
      <c r="O297" s="25"/>
      <c r="P297" s="24" t="str">
        <f aca="false">IFERROR(N297/O297,"")</f>
        <v/>
      </c>
      <c r="Q297" s="22"/>
      <c r="R297" s="22"/>
      <c r="S297" s="22"/>
      <c r="T297" s="22"/>
      <c r="U297" s="22"/>
      <c r="V297" s="21"/>
      <c r="W297" s="21"/>
      <c r="X297" s="22"/>
      <c r="Y297" s="21"/>
      <c r="Z297" s="22"/>
      <c r="AA297" s="22"/>
      <c r="AB297" s="22"/>
      <c r="AC297" s="22"/>
      <c r="AD297" s="22"/>
      <c r="AE297" s="22"/>
      <c r="AF297" s="22"/>
      <c r="AG297" s="21"/>
    </row>
    <row r="298" customFormat="false" ht="15" hidden="false" customHeight="false" outlineLevel="0" collapsed="false">
      <c r="A298" s="22"/>
      <c r="B298" s="21"/>
      <c r="C298" s="22"/>
      <c r="D298" s="22"/>
      <c r="E298" s="22"/>
      <c r="F298" s="22"/>
      <c r="G298" s="22"/>
      <c r="H298" s="22"/>
      <c r="I298" s="22"/>
      <c r="J298" s="22"/>
      <c r="K298" s="22"/>
      <c r="L298" s="25"/>
      <c r="M298" s="25"/>
      <c r="N298" s="25"/>
      <c r="O298" s="25"/>
      <c r="P298" s="24" t="str">
        <f aca="false">IFERROR(N298/O298,"")</f>
        <v/>
      </c>
      <c r="Q298" s="22"/>
      <c r="R298" s="22"/>
      <c r="S298" s="22"/>
      <c r="T298" s="22"/>
      <c r="U298" s="22"/>
      <c r="V298" s="21"/>
      <c r="W298" s="21"/>
      <c r="X298" s="22"/>
      <c r="Y298" s="21"/>
      <c r="Z298" s="22"/>
      <c r="AA298" s="22"/>
      <c r="AB298" s="22"/>
      <c r="AC298" s="22"/>
      <c r="AD298" s="22"/>
      <c r="AE298" s="22"/>
      <c r="AF298" s="22"/>
      <c r="AG298" s="21"/>
    </row>
    <row r="299" customFormat="false" ht="15" hidden="false" customHeight="false" outlineLevel="0" collapsed="false">
      <c r="A299" s="22"/>
      <c r="B299" s="21"/>
      <c r="C299" s="22"/>
      <c r="D299" s="22"/>
      <c r="E299" s="22"/>
      <c r="F299" s="22"/>
      <c r="G299" s="22"/>
      <c r="H299" s="22"/>
      <c r="I299" s="22"/>
      <c r="J299" s="22"/>
      <c r="K299" s="22"/>
      <c r="L299" s="25"/>
      <c r="M299" s="25"/>
      <c r="N299" s="25"/>
      <c r="O299" s="25"/>
      <c r="P299" s="24" t="str">
        <f aca="false">IFERROR(N299/O299,"")</f>
        <v/>
      </c>
      <c r="Q299" s="22"/>
      <c r="R299" s="22"/>
      <c r="S299" s="22"/>
      <c r="T299" s="22"/>
      <c r="U299" s="22"/>
      <c r="V299" s="21"/>
      <c r="W299" s="21"/>
      <c r="X299" s="22"/>
      <c r="Y299" s="21"/>
      <c r="Z299" s="22"/>
      <c r="AA299" s="22"/>
      <c r="AB299" s="22"/>
      <c r="AC299" s="22"/>
      <c r="AD299" s="22"/>
      <c r="AE299" s="22"/>
      <c r="AF299" s="22"/>
      <c r="AG299" s="21"/>
    </row>
    <row r="300" customFormat="false" ht="15" hidden="false" customHeight="false" outlineLevel="0" collapsed="false">
      <c r="A300" s="22"/>
      <c r="B300" s="21"/>
      <c r="C300" s="22"/>
      <c r="D300" s="22"/>
      <c r="E300" s="22"/>
      <c r="F300" s="22"/>
      <c r="G300" s="22"/>
      <c r="H300" s="22"/>
      <c r="I300" s="22"/>
      <c r="J300" s="22"/>
      <c r="K300" s="22"/>
      <c r="L300" s="25"/>
      <c r="M300" s="25"/>
      <c r="N300" s="25"/>
      <c r="O300" s="25"/>
      <c r="P300" s="24" t="str">
        <f aca="false">IFERROR(N300/O300,"")</f>
        <v/>
      </c>
      <c r="Q300" s="22"/>
      <c r="R300" s="22"/>
      <c r="S300" s="22"/>
      <c r="T300" s="22"/>
      <c r="U300" s="22"/>
      <c r="V300" s="21"/>
      <c r="W300" s="21"/>
      <c r="X300" s="22"/>
      <c r="Y300" s="21"/>
      <c r="Z300" s="22"/>
      <c r="AA300" s="22"/>
      <c r="AB300" s="22"/>
      <c r="AC300" s="22"/>
      <c r="AD300" s="22"/>
      <c r="AE300" s="22"/>
      <c r="AF300" s="22"/>
      <c r="AG300" s="21"/>
    </row>
  </sheetData>
  <autoFilter ref="A4:AG300"/>
  <conditionalFormatting sqref="X5:X300">
    <cfRule type="cellIs" priority="2" operator="equal" aboveAverage="0" equalAverage="0" bottom="0" percent="0" rank="0" text="" dxfId="6">
      <formula>"Completed"</formula>
    </cfRule>
    <cfRule type="expression" priority="3" aboveAverage="0" equalAverage="0" bottom="0" percent="0" rank="0" text="" dxfId="7">
      <formula>OR(X5="Waiting for Client",X5="Waiting for Developer")</formula>
    </cfRule>
  </conditionalFormatting>
  <conditionalFormatting sqref="Q5:Q300">
    <cfRule type="cellIs" priority="4" operator="equal" aboveAverage="0" equalAverage="0" bottom="0" percent="0" rank="0" text="" dxfId="8">
      <formula>"Critical"</formula>
    </cfRule>
  </conditionalFormatting>
  <conditionalFormatting sqref="W5:W300">
    <cfRule type="expression" priority="5" aboveAverage="0" equalAverage="0" bottom="0" percent="0" rank="0" text="" dxfId="9">
      <formula>AND(W5&lt;&gt;"",W5&lt;TODAY(),X5&lt;&gt;"Completed",X5&lt;&gt;"Monitoring")</formula>
    </cfRule>
  </conditionalFormatting>
  <dataValidations count="9">
    <dataValidation allowBlank="true" errorStyle="stop" operator="between" showDropDown="false" showErrorMessage="false" showInputMessage="false" sqref="X5:X300" type="list">
      <formula1>Lists!$A$2:$A$10</formula1>
      <formula2>0</formula2>
    </dataValidation>
    <dataValidation allowBlank="true" errorStyle="stop" operator="between" showDropDown="false" showErrorMessage="false" showInputMessage="false" sqref="Q5:Q300" type="list">
      <formula1>Lists!$B$2:$B$5</formula1>
      <formula2>0</formula2>
    </dataValidation>
    <dataValidation allowBlank="true" errorStyle="stop" operator="between" showDropDown="false" showErrorMessage="false" showInputMessage="false" sqref="R5:R300" type="list">
      <formula1>Lists!$C$2:$C$4</formula1>
      <formula2>0</formula2>
    </dataValidation>
    <dataValidation allowBlank="true" errorStyle="stop" operator="between" showDropDown="false" showErrorMessage="false" showInputMessage="false" sqref="S5:S300" type="list">
      <formula1>Lists!$D$2:$D$4</formula1>
      <formula2>0</formula2>
    </dataValidation>
    <dataValidation allowBlank="true" errorStyle="stop" operator="between" showDropDown="false" showErrorMessage="false" showInputMessage="false" sqref="I5:I300" type="list">
      <formula1>Lists!$E$2:$E$15</formula1>
      <formula2>0</formula2>
    </dataValidation>
    <dataValidation allowBlank="true" errorStyle="stop" operator="between" showDropDown="false" showErrorMessage="false" showInputMessage="false" sqref="C5:C300" type="list">
      <formula1>Lists!$F$2:$F$12</formula1>
      <formula2>0</formula2>
    </dataValidation>
    <dataValidation allowBlank="true" errorStyle="stop" operator="between" showDropDown="false" showErrorMessage="false" showInputMessage="false" sqref="K5:K300" type="list">
      <formula1>Lists!$G$2:$G$7</formula1>
      <formula2>0</formula2>
    </dataValidation>
    <dataValidation allowBlank="true" errorStyle="stop" operator="between" showDropDown="false" showErrorMessage="false" showInputMessage="false" sqref="G5:G300" type="list">
      <formula1>Lists!$H$2:$H$16</formula1>
      <formula2>0</formula2>
    </dataValidation>
    <dataValidation allowBlank="true" errorStyle="stop" operator="between" showDropDown="false" showErrorMessage="false" showInputMessage="false" sqref="U5:U300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H6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48"/>
    <col collapsed="false" customWidth="true" hidden="false" outlineLevel="0" max="3" min="3" style="0" width="38"/>
    <col collapsed="false" customWidth="true" hidden="false" outlineLevel="0" max="4" min="4" style="0" width="34"/>
    <col collapsed="false" customWidth="true" hidden="false" outlineLevel="0" max="5" min="5" style="0" width="12"/>
    <col collapsed="false" customWidth="true" hidden="false" outlineLevel="0" max="6" min="6" style="0" width="16"/>
    <col collapsed="false" customWidth="true" hidden="false" outlineLevel="0" max="7" min="7" style="0" width="12"/>
    <col collapsed="false" customWidth="true" hidden="false" outlineLevel="0" max="8" min="8" style="0" width="28"/>
  </cols>
  <sheetData>
    <row r="1" customFormat="false" ht="19.7" hidden="false" customHeight="false" outlineLevel="0" collapsed="false">
      <c r="A1" s="1" t="s">
        <v>453</v>
      </c>
    </row>
    <row r="2" customFormat="false" ht="15" hidden="false" customHeight="false" outlineLevel="0" collapsed="false">
      <c r="A2" s="2" t="s">
        <v>454</v>
      </c>
    </row>
    <row r="4" customFormat="false" ht="31.5" hidden="false" customHeight="true" outlineLevel="0" collapsed="false">
      <c r="A4" s="9" t="s">
        <v>455</v>
      </c>
      <c r="B4" s="9" t="s">
        <v>456</v>
      </c>
      <c r="C4" s="9" t="s">
        <v>457</v>
      </c>
      <c r="D4" s="9" t="s">
        <v>458</v>
      </c>
      <c r="E4" s="9" t="s">
        <v>459</v>
      </c>
      <c r="F4" s="9" t="s">
        <v>34</v>
      </c>
      <c r="G4" s="9" t="s">
        <v>460</v>
      </c>
      <c r="H4" s="9" t="s">
        <v>137</v>
      </c>
    </row>
    <row r="5" customFormat="false" ht="15" hidden="false" customHeight="false" outlineLevel="0" collapsed="false">
      <c r="A5" s="22" t="s">
        <v>461</v>
      </c>
      <c r="B5" s="22" t="s">
        <v>462</v>
      </c>
      <c r="C5" s="22" t="s">
        <v>463</v>
      </c>
      <c r="D5" s="22" t="s">
        <v>464</v>
      </c>
      <c r="E5" s="22" t="s">
        <v>465</v>
      </c>
      <c r="F5" s="22" t="s">
        <v>39</v>
      </c>
      <c r="G5" s="22"/>
      <c r="H5" s="22"/>
    </row>
    <row r="6" customFormat="false" ht="15" hidden="false" customHeight="false" outlineLevel="0" collapsed="false">
      <c r="A6" s="22" t="s">
        <v>466</v>
      </c>
      <c r="B6" s="22" t="s">
        <v>467</v>
      </c>
      <c r="C6" s="22" t="s">
        <v>468</v>
      </c>
      <c r="D6" s="22" t="s">
        <v>139</v>
      </c>
      <c r="E6" s="22" t="s">
        <v>465</v>
      </c>
      <c r="F6" s="22" t="s">
        <v>39</v>
      </c>
      <c r="G6" s="22"/>
      <c r="H6" s="22"/>
    </row>
    <row r="7" customFormat="false" ht="15" hidden="false" customHeight="false" outlineLevel="0" collapsed="false">
      <c r="A7" s="22" t="s">
        <v>466</v>
      </c>
      <c r="B7" s="22" t="s">
        <v>469</v>
      </c>
      <c r="C7" s="22" t="s">
        <v>470</v>
      </c>
      <c r="D7" s="22" t="s">
        <v>151</v>
      </c>
      <c r="E7" s="22" t="s">
        <v>465</v>
      </c>
      <c r="F7" s="22" t="s">
        <v>39</v>
      </c>
      <c r="G7" s="22"/>
      <c r="H7" s="22"/>
    </row>
    <row r="8" customFormat="false" ht="15" hidden="false" customHeight="false" outlineLevel="0" collapsed="false">
      <c r="A8" s="22" t="s">
        <v>466</v>
      </c>
      <c r="B8" s="22" t="s">
        <v>471</v>
      </c>
      <c r="C8" s="22" t="s">
        <v>472</v>
      </c>
      <c r="D8" s="22" t="s">
        <v>473</v>
      </c>
      <c r="E8" s="22" t="s">
        <v>465</v>
      </c>
      <c r="F8" s="22" t="s">
        <v>39</v>
      </c>
      <c r="G8" s="22"/>
      <c r="H8" s="22"/>
    </row>
    <row r="9" customFormat="false" ht="15" hidden="false" customHeight="false" outlineLevel="0" collapsed="false">
      <c r="A9" s="22" t="s">
        <v>474</v>
      </c>
      <c r="B9" s="22" t="s">
        <v>475</v>
      </c>
      <c r="C9" s="22" t="s">
        <v>476</v>
      </c>
      <c r="D9" s="22" t="s">
        <v>179</v>
      </c>
      <c r="E9" s="22" t="s">
        <v>477</v>
      </c>
      <c r="F9" s="22" t="s">
        <v>39</v>
      </c>
      <c r="G9" s="22"/>
      <c r="H9" s="22"/>
    </row>
    <row r="10" customFormat="false" ht="23.85" hidden="false" customHeight="false" outlineLevel="0" collapsed="false">
      <c r="A10" s="22" t="s">
        <v>474</v>
      </c>
      <c r="B10" s="22" t="s">
        <v>478</v>
      </c>
      <c r="C10" s="22" t="s">
        <v>479</v>
      </c>
      <c r="D10" s="22" t="s">
        <v>480</v>
      </c>
      <c r="E10" s="22" t="s">
        <v>477</v>
      </c>
      <c r="F10" s="22" t="s">
        <v>59</v>
      </c>
      <c r="G10" s="22"/>
      <c r="H10" s="22"/>
    </row>
    <row r="11" customFormat="false" ht="15" hidden="false" customHeight="false" outlineLevel="0" collapsed="false">
      <c r="A11" s="22" t="s">
        <v>481</v>
      </c>
      <c r="B11" s="22" t="s">
        <v>482</v>
      </c>
      <c r="C11" s="22" t="s">
        <v>483</v>
      </c>
      <c r="D11" s="22" t="s">
        <v>168</v>
      </c>
      <c r="E11" s="22" t="s">
        <v>477</v>
      </c>
      <c r="F11" s="22" t="s">
        <v>39</v>
      </c>
      <c r="G11" s="22"/>
      <c r="H11" s="22"/>
    </row>
    <row r="12" customFormat="false" ht="15" hidden="false" customHeight="false" outlineLevel="0" collapsed="false">
      <c r="A12" s="22" t="s">
        <v>481</v>
      </c>
      <c r="B12" s="22" t="s">
        <v>484</v>
      </c>
      <c r="C12" s="22" t="s">
        <v>485</v>
      </c>
      <c r="D12" s="22" t="s">
        <v>168</v>
      </c>
      <c r="E12" s="22" t="s">
        <v>477</v>
      </c>
      <c r="F12" s="22" t="s">
        <v>39</v>
      </c>
      <c r="G12" s="22"/>
      <c r="H12" s="22"/>
    </row>
    <row r="13" customFormat="false" ht="15" hidden="false" customHeight="false" outlineLevel="0" collapsed="false">
      <c r="A13" s="22" t="s">
        <v>486</v>
      </c>
      <c r="B13" s="22" t="s">
        <v>487</v>
      </c>
      <c r="C13" s="22" t="s">
        <v>472</v>
      </c>
      <c r="D13" s="22" t="s">
        <v>174</v>
      </c>
      <c r="E13" s="22" t="s">
        <v>477</v>
      </c>
      <c r="F13" s="22" t="s">
        <v>39</v>
      </c>
      <c r="G13" s="22"/>
      <c r="H13" s="22"/>
    </row>
    <row r="14" customFormat="false" ht="15" hidden="false" customHeight="false" outlineLevel="0" collapsed="false">
      <c r="A14" s="22" t="s">
        <v>488</v>
      </c>
      <c r="B14" s="22" t="s">
        <v>489</v>
      </c>
      <c r="C14" s="22" t="s">
        <v>490</v>
      </c>
      <c r="D14" s="22" t="s">
        <v>491</v>
      </c>
      <c r="E14" s="22" t="s">
        <v>465</v>
      </c>
      <c r="F14" s="22" t="s">
        <v>39</v>
      </c>
      <c r="G14" s="22"/>
      <c r="H14" s="22"/>
    </row>
    <row r="15" customFormat="false" ht="15" hidden="false" customHeight="false" outlineLevel="0" collapsed="false">
      <c r="A15" s="22" t="s">
        <v>492</v>
      </c>
      <c r="B15" s="22" t="s">
        <v>493</v>
      </c>
      <c r="C15" s="22" t="s">
        <v>494</v>
      </c>
      <c r="D15" s="22" t="s">
        <v>184</v>
      </c>
      <c r="E15" s="22" t="s">
        <v>477</v>
      </c>
      <c r="F15" s="22" t="s">
        <v>39</v>
      </c>
      <c r="G15" s="22"/>
      <c r="H15" s="22"/>
    </row>
    <row r="16" customFormat="false" ht="15" hidden="false" customHeight="false" outlineLevel="0" collapsed="false">
      <c r="A16" s="22" t="s">
        <v>495</v>
      </c>
      <c r="B16" s="22" t="s">
        <v>496</v>
      </c>
      <c r="C16" s="22" t="s">
        <v>490</v>
      </c>
      <c r="D16" s="22" t="s">
        <v>497</v>
      </c>
      <c r="E16" s="22" t="s">
        <v>477</v>
      </c>
      <c r="F16" s="22" t="s">
        <v>39</v>
      </c>
      <c r="G16" s="22"/>
      <c r="H16" s="22"/>
    </row>
    <row r="17" customFormat="false" ht="15" hidden="false" customHeight="false" outlineLevel="0" collapsed="false">
      <c r="A17" s="22" t="s">
        <v>498</v>
      </c>
      <c r="B17" s="22" t="s">
        <v>499</v>
      </c>
      <c r="C17" s="22" t="s">
        <v>500</v>
      </c>
      <c r="D17" s="22" t="s">
        <v>501</v>
      </c>
      <c r="E17" s="22" t="s">
        <v>502</v>
      </c>
      <c r="F17" s="22" t="s">
        <v>39</v>
      </c>
      <c r="G17" s="22"/>
      <c r="H17" s="22"/>
    </row>
    <row r="18" customFormat="false" ht="15" hidden="false" customHeight="false" outlineLevel="0" collapsed="false">
      <c r="A18" s="22" t="s">
        <v>503</v>
      </c>
      <c r="B18" s="22" t="s">
        <v>504</v>
      </c>
      <c r="C18" s="22" t="s">
        <v>505</v>
      </c>
      <c r="D18" s="22" t="s">
        <v>506</v>
      </c>
      <c r="E18" s="22" t="s">
        <v>477</v>
      </c>
      <c r="F18" s="22" t="s">
        <v>39</v>
      </c>
      <c r="G18" s="22"/>
      <c r="H18" s="22"/>
    </row>
    <row r="19" customFormat="false" ht="15" hidden="false" customHeight="false" outlineLevel="0" collapsed="false">
      <c r="A19" s="22" t="s">
        <v>68</v>
      </c>
      <c r="B19" s="22" t="s">
        <v>507</v>
      </c>
      <c r="C19" s="22" t="s">
        <v>508</v>
      </c>
      <c r="D19" s="22" t="s">
        <v>189</v>
      </c>
      <c r="E19" s="22" t="s">
        <v>502</v>
      </c>
      <c r="F19" s="22" t="s">
        <v>39</v>
      </c>
      <c r="G19" s="22"/>
      <c r="H19" s="22"/>
    </row>
    <row r="20" customFormat="false" ht="15" hidden="false" customHeight="false" outlineLevel="0" collapsed="false">
      <c r="A20" s="22" t="s">
        <v>68</v>
      </c>
      <c r="B20" s="22" t="s">
        <v>509</v>
      </c>
      <c r="C20" s="22" t="s">
        <v>510</v>
      </c>
      <c r="D20" s="22" t="s">
        <v>511</v>
      </c>
      <c r="E20" s="22" t="s">
        <v>465</v>
      </c>
      <c r="F20" s="22" t="s">
        <v>39</v>
      </c>
      <c r="G20" s="22"/>
      <c r="H20" s="22"/>
    </row>
    <row r="21" customFormat="false" ht="15" hidden="false" customHeight="false" outlineLevel="0" collapsed="false">
      <c r="A21" s="22" t="s">
        <v>512</v>
      </c>
      <c r="B21" s="22" t="s">
        <v>513</v>
      </c>
      <c r="C21" s="22" t="s">
        <v>500</v>
      </c>
      <c r="D21" s="22" t="s">
        <v>514</v>
      </c>
      <c r="E21" s="22" t="s">
        <v>502</v>
      </c>
      <c r="F21" s="22" t="s">
        <v>39</v>
      </c>
      <c r="G21" s="22"/>
      <c r="H21" s="22"/>
    </row>
    <row r="22" customFormat="false" ht="15" hidden="false" customHeight="false" outlineLevel="0" collapsed="false">
      <c r="A22" s="22" t="s">
        <v>515</v>
      </c>
      <c r="B22" s="22" t="s">
        <v>516</v>
      </c>
      <c r="C22" s="22" t="s">
        <v>517</v>
      </c>
      <c r="D22" s="22" t="s">
        <v>518</v>
      </c>
      <c r="E22" s="22" t="s">
        <v>519</v>
      </c>
      <c r="F22" s="22" t="s">
        <v>59</v>
      </c>
      <c r="G22" s="22"/>
      <c r="H22" s="22"/>
    </row>
    <row r="23" customFormat="false" ht="15" hidden="false" customHeight="false" outlineLevel="0" collapsed="false">
      <c r="A23" s="22" t="s">
        <v>515</v>
      </c>
      <c r="B23" s="22" t="s">
        <v>520</v>
      </c>
      <c r="C23" s="22" t="s">
        <v>472</v>
      </c>
      <c r="D23" s="22" t="s">
        <v>521</v>
      </c>
      <c r="E23" s="22" t="s">
        <v>477</v>
      </c>
      <c r="F23" s="22" t="s">
        <v>39</v>
      </c>
      <c r="G23" s="22"/>
      <c r="H23" s="22"/>
    </row>
    <row r="24" customFormat="false" ht="15" hidden="false" customHeight="false" outlineLevel="0" collapsed="false">
      <c r="A24" s="22" t="s">
        <v>522</v>
      </c>
      <c r="B24" s="22" t="s">
        <v>523</v>
      </c>
      <c r="C24" s="22" t="s">
        <v>524</v>
      </c>
      <c r="D24" s="22" t="s">
        <v>525</v>
      </c>
      <c r="E24" s="22" t="s">
        <v>477</v>
      </c>
      <c r="F24" s="22" t="s">
        <v>39</v>
      </c>
      <c r="G24" s="22"/>
      <c r="H24" s="22"/>
    </row>
    <row r="25" customFormat="false" ht="15" hidden="false" customHeight="false" outlineLevel="0" collapsed="false">
      <c r="A25" s="22" t="s">
        <v>526</v>
      </c>
      <c r="B25" s="22" t="s">
        <v>527</v>
      </c>
      <c r="C25" s="22" t="s">
        <v>528</v>
      </c>
      <c r="D25" s="22" t="s">
        <v>151</v>
      </c>
      <c r="E25" s="22" t="s">
        <v>465</v>
      </c>
      <c r="F25" s="22" t="s">
        <v>39</v>
      </c>
      <c r="G25" s="22"/>
      <c r="H25" s="22"/>
    </row>
    <row r="26" customFormat="false" ht="15" hidden="false" customHeight="false" outlineLevel="0" collapsed="false">
      <c r="A26" s="22" t="s">
        <v>54</v>
      </c>
      <c r="B26" s="22" t="s">
        <v>529</v>
      </c>
      <c r="C26" s="22" t="s">
        <v>490</v>
      </c>
      <c r="D26" s="22" t="s">
        <v>530</v>
      </c>
      <c r="E26" s="22" t="s">
        <v>465</v>
      </c>
      <c r="F26" s="22" t="s">
        <v>39</v>
      </c>
      <c r="G26" s="22"/>
      <c r="H26" s="22"/>
    </row>
    <row r="27" customFormat="false" ht="15" hidden="false" customHeight="false" outlineLevel="0" collapsed="false">
      <c r="A27" s="22" t="s">
        <v>531</v>
      </c>
      <c r="B27" s="22" t="s">
        <v>532</v>
      </c>
      <c r="C27" s="22" t="s">
        <v>472</v>
      </c>
      <c r="D27" s="22" t="s">
        <v>204</v>
      </c>
      <c r="E27" s="22" t="s">
        <v>533</v>
      </c>
      <c r="F27" s="22" t="s">
        <v>39</v>
      </c>
      <c r="G27" s="22"/>
      <c r="H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</row>
  </sheetData>
  <autoFilter ref="A4:H64"/>
  <dataValidations count="2">
    <dataValidation allowBlank="true" errorStyle="stop" operator="between" showDropDown="false" showErrorMessage="false" showInputMessage="false" sqref="F5:F64" type="list">
      <formula1>Lists!$A$2:$A$10</formula1>
      <formula2>0</formula2>
    </dataValidation>
    <dataValidation allowBlank="true" errorStyle="stop" operator="between" showDropDown="false" showErrorMessage="false" showInputMessage="false" sqref="G5:G64" type="list">
      <formula1>Lists!$I$2:$I$7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4" min="3" style="0" width="22"/>
    <col collapsed="false" customWidth="true" hidden="false" outlineLevel="0" max="5" min="5" style="0" width="30"/>
    <col collapsed="false" customWidth="true" hidden="false" outlineLevel="0" max="7" min="6" style="0" width="12"/>
    <col collapsed="false" customWidth="true" hidden="false" outlineLevel="0" max="10" min="8" style="0" width="10"/>
    <col collapsed="false" customWidth="true" hidden="false" outlineLevel="0" max="11" min="11" style="0" width="12"/>
    <col collapsed="false" customWidth="true" hidden="false" outlineLevel="0" max="12" min="12" style="0" width="10"/>
    <col collapsed="false" customWidth="true" hidden="false" outlineLevel="0" max="13" min="13" style="0" width="14"/>
    <col collapsed="false" customWidth="true" hidden="false" outlineLevel="0" max="14" min="14" style="0" width="22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8" min="18" style="0" width="60"/>
  </cols>
  <sheetData>
    <row r="1" customFormat="false" ht="19.7" hidden="false" customHeight="false" outlineLevel="0" collapsed="false">
      <c r="A1" s="1" t="s">
        <v>66</v>
      </c>
    </row>
    <row r="2" customFormat="false" ht="15" hidden="false" customHeight="false" outlineLevel="0" collapsed="false">
      <c r="A2" s="2" t="s">
        <v>534</v>
      </c>
    </row>
    <row r="4" customFormat="false" ht="31.5" hidden="false" customHeight="true" outlineLevel="0" collapsed="false">
      <c r="A4" s="9" t="s">
        <v>118</v>
      </c>
      <c r="B4" s="9" t="s">
        <v>112</v>
      </c>
      <c r="C4" s="9" t="s">
        <v>535</v>
      </c>
      <c r="D4" s="9" t="s">
        <v>536</v>
      </c>
      <c r="E4" s="9" t="s">
        <v>537</v>
      </c>
      <c r="F4" s="9" t="s">
        <v>120</v>
      </c>
      <c r="G4" s="9" t="s">
        <v>538</v>
      </c>
      <c r="H4" s="9" t="s">
        <v>539</v>
      </c>
      <c r="I4" s="9" t="s">
        <v>540</v>
      </c>
      <c r="J4" s="9" t="s">
        <v>541</v>
      </c>
      <c r="K4" s="9" t="s">
        <v>542</v>
      </c>
      <c r="L4" s="9" t="s">
        <v>543</v>
      </c>
      <c r="M4" s="9" t="s">
        <v>544</v>
      </c>
      <c r="N4" s="9" t="s">
        <v>545</v>
      </c>
      <c r="O4" s="9" t="s">
        <v>121</v>
      </c>
      <c r="P4" s="9" t="s">
        <v>546</v>
      </c>
      <c r="R4" s="2" t="s">
        <v>547</v>
      </c>
    </row>
    <row r="5" customFormat="false" ht="15" hidden="false" customHeight="false" outlineLevel="0" collapsed="false">
      <c r="A5" s="22" t="s">
        <v>548</v>
      </c>
      <c r="B5" s="22" t="s">
        <v>285</v>
      </c>
      <c r="C5" s="22" t="s">
        <v>549</v>
      </c>
      <c r="D5" s="22" t="s">
        <v>550</v>
      </c>
      <c r="E5" s="22" t="s">
        <v>551</v>
      </c>
      <c r="F5" s="26"/>
      <c r="G5" s="22"/>
      <c r="H5" s="22"/>
      <c r="I5" s="22"/>
      <c r="J5" s="22"/>
      <c r="K5" s="22"/>
      <c r="L5" s="22"/>
      <c r="M5" s="27" t="str">
        <f aca="false">IF(COUNT(H5:L5)=5,H5*I5*J5*K5/L5,"")</f>
        <v/>
      </c>
      <c r="N5" s="28" t="str">
        <f aca="false">IF(M5="","",IF(AND(M5&gt;=100,L5&lt;=2),"Quick win",IF(M5&gt;=100,"Strategic priority",IF(M5&gt;=30,"Long-term investment","Low priority / avoid"))))</f>
        <v/>
      </c>
      <c r="O5" s="22"/>
      <c r="P5" s="22"/>
    </row>
    <row r="6" customFormat="false" ht="15" hidden="false" customHeight="false" outlineLevel="0" collapsed="false">
      <c r="A6" s="22" t="s">
        <v>552</v>
      </c>
      <c r="B6" s="22" t="s">
        <v>285</v>
      </c>
      <c r="C6" s="22" t="s">
        <v>549</v>
      </c>
      <c r="D6" s="22" t="s">
        <v>550</v>
      </c>
      <c r="E6" s="22" t="s">
        <v>553</v>
      </c>
      <c r="F6" s="26"/>
      <c r="G6" s="22"/>
      <c r="H6" s="22"/>
      <c r="I6" s="22"/>
      <c r="J6" s="22"/>
      <c r="K6" s="22"/>
      <c r="L6" s="22"/>
      <c r="M6" s="27" t="str">
        <f aca="false">IF(COUNT(H6:L6)=5,H6*I6*J6*K6/L6,"")</f>
        <v/>
      </c>
      <c r="N6" s="28" t="str">
        <f aca="false">IF(M6="","",IF(AND(M6&gt;=100,L6&lt;=2),"Quick win",IF(M6&gt;=100,"Strategic priority",IF(M6&gt;=30,"Long-term investment","Low priority / avoid"))))</f>
        <v/>
      </c>
      <c r="O6" s="22"/>
      <c r="P6" s="22"/>
    </row>
    <row r="7" customFormat="false" ht="15" hidden="false" customHeight="false" outlineLevel="0" collapsed="false">
      <c r="A7" s="22" t="s">
        <v>554</v>
      </c>
      <c r="B7" s="22" t="s">
        <v>384</v>
      </c>
      <c r="C7" s="22" t="s">
        <v>549</v>
      </c>
      <c r="D7" s="22" t="s">
        <v>550</v>
      </c>
      <c r="E7" s="22" t="s">
        <v>555</v>
      </c>
      <c r="F7" s="26"/>
      <c r="G7" s="22"/>
      <c r="H7" s="22"/>
      <c r="I7" s="22"/>
      <c r="J7" s="22"/>
      <c r="K7" s="22"/>
      <c r="L7" s="22"/>
      <c r="M7" s="27" t="str">
        <f aca="false">IF(COUNT(H7:L7)=5,H7*I7*J7*K7/L7,"")</f>
        <v/>
      </c>
      <c r="N7" s="28" t="str">
        <f aca="false">IF(M7="","",IF(AND(M7&gt;=100,L7&lt;=2),"Quick win",IF(M7&gt;=100,"Strategic priority",IF(M7&gt;=30,"Long-term investment","Low priority / avoid"))))</f>
        <v/>
      </c>
      <c r="O7" s="22"/>
      <c r="P7" s="22"/>
    </row>
    <row r="8" customFormat="false" ht="15" hidden="false" customHeight="false" outlineLevel="0" collapsed="false">
      <c r="A8" s="22" t="s">
        <v>556</v>
      </c>
      <c r="B8" s="22" t="s">
        <v>249</v>
      </c>
      <c r="C8" s="22" t="s">
        <v>549</v>
      </c>
      <c r="D8" s="22" t="s">
        <v>550</v>
      </c>
      <c r="E8" s="22" t="s">
        <v>557</v>
      </c>
      <c r="F8" s="26"/>
      <c r="G8" s="22"/>
      <c r="H8" s="22"/>
      <c r="I8" s="22"/>
      <c r="J8" s="22"/>
      <c r="K8" s="22"/>
      <c r="L8" s="22"/>
      <c r="M8" s="27" t="str">
        <f aca="false">IF(COUNT(H8:L8)=5,H8*I8*J8*K8/L8,"")</f>
        <v/>
      </c>
      <c r="N8" s="28" t="str">
        <f aca="false">IF(M8="","",IF(AND(M8&gt;=100,L8&lt;=2),"Quick win",IF(M8&gt;=100,"Strategic priority",IF(M8&gt;=30,"Long-term investment","Low priority / avoid"))))</f>
        <v/>
      </c>
      <c r="O8" s="22"/>
      <c r="P8" s="22"/>
    </row>
    <row r="9" customFormat="false" ht="15" hidden="false" customHeight="false" outlineLevel="0" collapsed="false">
      <c r="A9" s="22" t="s">
        <v>558</v>
      </c>
      <c r="B9" s="22" t="s">
        <v>285</v>
      </c>
      <c r="C9" s="22" t="s">
        <v>396</v>
      </c>
      <c r="D9" s="22" t="s">
        <v>302</v>
      </c>
      <c r="E9" s="22" t="s">
        <v>301</v>
      </c>
      <c r="F9" s="26"/>
      <c r="G9" s="22"/>
      <c r="H9" s="22"/>
      <c r="I9" s="22"/>
      <c r="J9" s="22"/>
      <c r="K9" s="22"/>
      <c r="L9" s="22"/>
      <c r="M9" s="27" t="str">
        <f aca="false">IF(COUNT(H9:L9)=5,H9*I9*J9*K9/L9,"")</f>
        <v/>
      </c>
      <c r="N9" s="28" t="str">
        <f aca="false">IF(M9="","",IF(AND(M9&gt;=100,L9&lt;=2),"Quick win",IF(M9&gt;=100,"Strategic priority",IF(M9&gt;=30,"Long-term investment","Low priority / avoid"))))</f>
        <v/>
      </c>
      <c r="O9" s="22"/>
      <c r="P9" s="22"/>
    </row>
    <row r="10" customFormat="false" ht="23.85" hidden="false" customHeight="false" outlineLevel="0" collapsed="false">
      <c r="A10" s="22" t="s">
        <v>559</v>
      </c>
      <c r="B10" s="22" t="s">
        <v>140</v>
      </c>
      <c r="C10" s="22" t="s">
        <v>560</v>
      </c>
      <c r="D10" s="22" t="s">
        <v>58</v>
      </c>
      <c r="E10" s="22" t="s">
        <v>561</v>
      </c>
      <c r="F10" s="26"/>
      <c r="G10" s="22"/>
      <c r="H10" s="22"/>
      <c r="I10" s="22"/>
      <c r="J10" s="22"/>
      <c r="K10" s="22"/>
      <c r="L10" s="22"/>
      <c r="M10" s="27" t="str">
        <f aca="false">IF(COUNT(H10:L10)=5,H10*I10*J10*K10/L10,"")</f>
        <v/>
      </c>
      <c r="N10" s="28" t="str">
        <f aca="false">IF(M10="","",IF(AND(M10&gt;=100,L10&lt;=2),"Quick win",IF(M10&gt;=100,"Strategic priority",IF(M10&gt;=30,"Long-term investment","Low priority / avoid"))))</f>
        <v/>
      </c>
      <c r="O10" s="22"/>
      <c r="P10" s="22"/>
    </row>
    <row r="11" customFormat="false" ht="15" hidden="false" customHeight="false" outlineLevel="0" collapsed="false">
      <c r="A11" s="22" t="s">
        <v>562</v>
      </c>
      <c r="B11" s="22" t="s">
        <v>140</v>
      </c>
      <c r="C11" s="22" t="s">
        <v>563</v>
      </c>
      <c r="D11" s="22" t="s">
        <v>176</v>
      </c>
      <c r="E11" s="22" t="s">
        <v>564</v>
      </c>
      <c r="F11" s="26"/>
      <c r="G11" s="22"/>
      <c r="H11" s="22"/>
      <c r="I11" s="22"/>
      <c r="J11" s="22"/>
      <c r="K11" s="22"/>
      <c r="L11" s="22"/>
      <c r="M11" s="27" t="str">
        <f aca="false">IF(COUNT(H11:L11)=5,H11*I11*J11*K11/L11,"")</f>
        <v/>
      </c>
      <c r="N11" s="28" t="str">
        <f aca="false">IF(M11="","",IF(AND(M11&gt;=100,L11&lt;=2),"Quick win",IF(M11&gt;=100,"Strategic priority",IF(M11&gt;=30,"Long-term investment","Low priority / avoid"))))</f>
        <v/>
      </c>
      <c r="O11" s="22"/>
      <c r="P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6"/>
      <c r="G12" s="22"/>
      <c r="H12" s="22"/>
      <c r="I12" s="22"/>
      <c r="J12" s="22"/>
      <c r="K12" s="22"/>
      <c r="L12" s="22"/>
      <c r="M12" s="27" t="str">
        <f aca="false">IF(COUNT(H12:L12)=5,H12*I12*J12*K12/L12,"")</f>
        <v/>
      </c>
      <c r="N12" s="28" t="str">
        <f aca="false">IF(M12="","",IF(AND(M12&gt;=100,L12&lt;=2),"Quick win",IF(M12&gt;=100,"Strategic priority",IF(M12&gt;=30,"Long-term investment","Low priority / avoid"))))</f>
        <v/>
      </c>
      <c r="O12" s="22"/>
      <c r="P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6"/>
      <c r="G13" s="22"/>
      <c r="H13" s="22"/>
      <c r="I13" s="22"/>
      <c r="J13" s="22"/>
      <c r="K13" s="22"/>
      <c r="L13" s="22"/>
      <c r="M13" s="27" t="str">
        <f aca="false">IF(COUNT(H13:L13)=5,H13*I13*J13*K13/L13,"")</f>
        <v/>
      </c>
      <c r="N13" s="28" t="str">
        <f aca="false">IF(M13="","",IF(AND(M13&gt;=100,L13&lt;=2),"Quick win",IF(M13&gt;=100,"Strategic priority",IF(M13&gt;=30,"Long-term investment","Low priority / avoid"))))</f>
        <v/>
      </c>
      <c r="O13" s="22"/>
      <c r="P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6"/>
      <c r="G14" s="22"/>
      <c r="H14" s="22"/>
      <c r="I14" s="22"/>
      <c r="J14" s="22"/>
      <c r="K14" s="22"/>
      <c r="L14" s="22"/>
      <c r="M14" s="27" t="str">
        <f aca="false">IF(COUNT(H14:L14)=5,H14*I14*J14*K14/L14,"")</f>
        <v/>
      </c>
      <c r="N14" s="28" t="str">
        <f aca="false">IF(M14="","",IF(AND(M14&gt;=100,L14&lt;=2),"Quick win",IF(M14&gt;=100,"Strategic priority",IF(M14&gt;=30,"Long-term investment","Low priority / avoid"))))</f>
        <v/>
      </c>
      <c r="O14" s="22"/>
      <c r="P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6"/>
      <c r="G15" s="22"/>
      <c r="H15" s="22"/>
      <c r="I15" s="22"/>
      <c r="J15" s="22"/>
      <c r="K15" s="22"/>
      <c r="L15" s="22"/>
      <c r="M15" s="27" t="str">
        <f aca="false">IF(COUNT(H15:L15)=5,H15*I15*J15*K15/L15,"")</f>
        <v/>
      </c>
      <c r="N15" s="28" t="str">
        <f aca="false">IF(M15="","",IF(AND(M15&gt;=100,L15&lt;=2),"Quick win",IF(M15&gt;=100,"Strategic priority",IF(M15&gt;=30,"Long-term investment","Low priority / avoid"))))</f>
        <v/>
      </c>
      <c r="O15" s="22"/>
      <c r="P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6"/>
      <c r="G16" s="22"/>
      <c r="H16" s="22"/>
      <c r="I16" s="22"/>
      <c r="J16" s="22"/>
      <c r="K16" s="22"/>
      <c r="L16" s="22"/>
      <c r="M16" s="27" t="str">
        <f aca="false">IF(COUNT(H16:L16)=5,H16*I16*J16*K16/L16,"")</f>
        <v/>
      </c>
      <c r="N16" s="28" t="str">
        <f aca="false">IF(M16="","",IF(AND(M16&gt;=100,L16&lt;=2),"Quick win",IF(M16&gt;=100,"Strategic priority",IF(M16&gt;=30,"Long-term investment","Low priority / avoid"))))</f>
        <v/>
      </c>
      <c r="O16" s="22"/>
      <c r="P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6"/>
      <c r="G17" s="22"/>
      <c r="H17" s="22"/>
      <c r="I17" s="22"/>
      <c r="J17" s="22"/>
      <c r="K17" s="22"/>
      <c r="L17" s="22"/>
      <c r="M17" s="27" t="str">
        <f aca="false">IF(COUNT(H17:L17)=5,H17*I17*J17*K17/L17,"")</f>
        <v/>
      </c>
      <c r="N17" s="28" t="str">
        <f aca="false">IF(M17="","",IF(AND(M17&gt;=100,L17&lt;=2),"Quick win",IF(M17&gt;=100,"Strategic priority",IF(M17&gt;=30,"Long-term investment","Low priority / avoid"))))</f>
        <v/>
      </c>
      <c r="O17" s="22"/>
      <c r="P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6"/>
      <c r="G18" s="22"/>
      <c r="H18" s="22"/>
      <c r="I18" s="22"/>
      <c r="J18" s="22"/>
      <c r="K18" s="22"/>
      <c r="L18" s="22"/>
      <c r="M18" s="27" t="str">
        <f aca="false">IF(COUNT(H18:L18)=5,H18*I18*J18*K18/L18,"")</f>
        <v/>
      </c>
      <c r="N18" s="28" t="str">
        <f aca="false">IF(M18="","",IF(AND(M18&gt;=100,L18&lt;=2),"Quick win",IF(M18&gt;=100,"Strategic priority",IF(M18&gt;=30,"Long-term investment","Low priority / avoid"))))</f>
        <v/>
      </c>
      <c r="O18" s="22"/>
      <c r="P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6"/>
      <c r="G19" s="22"/>
      <c r="H19" s="22"/>
      <c r="I19" s="22"/>
      <c r="J19" s="22"/>
      <c r="K19" s="22"/>
      <c r="L19" s="22"/>
      <c r="M19" s="27" t="str">
        <f aca="false">IF(COUNT(H19:L19)=5,H19*I19*J19*K19/L19,"")</f>
        <v/>
      </c>
      <c r="N19" s="28" t="str">
        <f aca="false">IF(M19="","",IF(AND(M19&gt;=100,L19&lt;=2),"Quick win",IF(M19&gt;=100,"Strategic priority",IF(M19&gt;=30,"Long-term investment","Low priority / avoid"))))</f>
        <v/>
      </c>
      <c r="O19" s="22"/>
      <c r="P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6"/>
      <c r="G20" s="22"/>
      <c r="H20" s="22"/>
      <c r="I20" s="22"/>
      <c r="J20" s="22"/>
      <c r="K20" s="22"/>
      <c r="L20" s="22"/>
      <c r="M20" s="27" t="str">
        <f aca="false">IF(COUNT(H20:L20)=5,H20*I20*J20*K20/L20,"")</f>
        <v/>
      </c>
      <c r="N20" s="28" t="str">
        <f aca="false">IF(M20="","",IF(AND(M20&gt;=100,L20&lt;=2),"Quick win",IF(M20&gt;=100,"Strategic priority",IF(M20&gt;=30,"Long-term investment","Low priority / avoid"))))</f>
        <v/>
      </c>
      <c r="O20" s="22"/>
      <c r="P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6"/>
      <c r="G21" s="22"/>
      <c r="H21" s="22"/>
      <c r="I21" s="22"/>
      <c r="J21" s="22"/>
      <c r="K21" s="22"/>
      <c r="L21" s="22"/>
      <c r="M21" s="27" t="str">
        <f aca="false">IF(COUNT(H21:L21)=5,H21*I21*J21*K21/L21,"")</f>
        <v/>
      </c>
      <c r="N21" s="28" t="str">
        <f aca="false">IF(M21="","",IF(AND(M21&gt;=100,L21&lt;=2),"Quick win",IF(M21&gt;=100,"Strategic priority",IF(M21&gt;=30,"Long-term investment","Low priority / avoid"))))</f>
        <v/>
      </c>
      <c r="O21" s="22"/>
      <c r="P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6"/>
      <c r="G22" s="22"/>
      <c r="H22" s="22"/>
      <c r="I22" s="22"/>
      <c r="J22" s="22"/>
      <c r="K22" s="22"/>
      <c r="L22" s="22"/>
      <c r="M22" s="27" t="str">
        <f aca="false">IF(COUNT(H22:L22)=5,H22*I22*J22*K22/L22,"")</f>
        <v/>
      </c>
      <c r="N22" s="28" t="str">
        <f aca="false">IF(M22="","",IF(AND(M22&gt;=100,L22&lt;=2),"Quick win",IF(M22&gt;=100,"Strategic priority",IF(M22&gt;=30,"Long-term investment","Low priority / avoid"))))</f>
        <v/>
      </c>
      <c r="O22" s="22"/>
      <c r="P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6"/>
      <c r="G23" s="22"/>
      <c r="H23" s="22"/>
      <c r="I23" s="22"/>
      <c r="J23" s="22"/>
      <c r="K23" s="22"/>
      <c r="L23" s="22"/>
      <c r="M23" s="27" t="str">
        <f aca="false">IF(COUNT(H23:L23)=5,H23*I23*J23*K23/L23,"")</f>
        <v/>
      </c>
      <c r="N23" s="28" t="str">
        <f aca="false">IF(M23="","",IF(AND(M23&gt;=100,L23&lt;=2),"Quick win",IF(M23&gt;=100,"Strategic priority",IF(M23&gt;=30,"Long-term investment","Low priority / avoid"))))</f>
        <v/>
      </c>
      <c r="O23" s="22"/>
      <c r="P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6"/>
      <c r="G24" s="22"/>
      <c r="H24" s="22"/>
      <c r="I24" s="22"/>
      <c r="J24" s="22"/>
      <c r="K24" s="22"/>
      <c r="L24" s="22"/>
      <c r="M24" s="27" t="str">
        <f aca="false">IF(COUNT(H24:L24)=5,H24*I24*J24*K24/L24,"")</f>
        <v/>
      </c>
      <c r="N24" s="28" t="str">
        <f aca="false">IF(M24="","",IF(AND(M24&gt;=100,L24&lt;=2),"Quick win",IF(M24&gt;=100,"Strategic priority",IF(M24&gt;=30,"Long-term investment","Low priority / avoid"))))</f>
        <v/>
      </c>
      <c r="O24" s="22"/>
      <c r="P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6"/>
      <c r="G25" s="22"/>
      <c r="H25" s="22"/>
      <c r="I25" s="22"/>
      <c r="J25" s="22"/>
      <c r="K25" s="22"/>
      <c r="L25" s="22"/>
      <c r="M25" s="27" t="str">
        <f aca="false">IF(COUNT(H25:L25)=5,H25*I25*J25*K25/L25,"")</f>
        <v/>
      </c>
      <c r="N25" s="28" t="str">
        <f aca="false">IF(M25="","",IF(AND(M25&gt;=100,L25&lt;=2),"Quick win",IF(M25&gt;=100,"Strategic priority",IF(M25&gt;=30,"Long-term investment","Low priority / avoid"))))</f>
        <v/>
      </c>
      <c r="O25" s="22"/>
      <c r="P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6"/>
      <c r="G26" s="22"/>
      <c r="H26" s="22"/>
      <c r="I26" s="22"/>
      <c r="J26" s="22"/>
      <c r="K26" s="22"/>
      <c r="L26" s="22"/>
      <c r="M26" s="27" t="str">
        <f aca="false">IF(COUNT(H26:L26)=5,H26*I26*J26*K26/L26,"")</f>
        <v/>
      </c>
      <c r="N26" s="28" t="str">
        <f aca="false">IF(M26="","",IF(AND(M26&gt;=100,L26&lt;=2),"Quick win",IF(M26&gt;=100,"Strategic priority",IF(M26&gt;=30,"Long-term investment","Low priority / avoid"))))</f>
        <v/>
      </c>
      <c r="O26" s="22"/>
      <c r="P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6"/>
      <c r="G27" s="22"/>
      <c r="H27" s="22"/>
      <c r="I27" s="22"/>
      <c r="J27" s="22"/>
      <c r="K27" s="22"/>
      <c r="L27" s="22"/>
      <c r="M27" s="27" t="str">
        <f aca="false">IF(COUNT(H27:L27)=5,H27*I27*J27*K27/L27,"")</f>
        <v/>
      </c>
      <c r="N27" s="28" t="str">
        <f aca="false">IF(M27="","",IF(AND(M27&gt;=100,L27&lt;=2),"Quick win",IF(M27&gt;=100,"Strategic priority",IF(M27&gt;=30,"Long-term investment","Low priority / avoid"))))</f>
        <v/>
      </c>
      <c r="O27" s="22"/>
      <c r="P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6"/>
      <c r="G28" s="22"/>
      <c r="H28" s="22"/>
      <c r="I28" s="22"/>
      <c r="J28" s="22"/>
      <c r="K28" s="22"/>
      <c r="L28" s="22"/>
      <c r="M28" s="27" t="str">
        <f aca="false">IF(COUNT(H28:L28)=5,H28*I28*J28*K28/L28,"")</f>
        <v/>
      </c>
      <c r="N28" s="28" t="str">
        <f aca="false">IF(M28="","",IF(AND(M28&gt;=100,L28&lt;=2),"Quick win",IF(M28&gt;=100,"Strategic priority",IF(M28&gt;=30,"Long-term investment","Low priority / avoid"))))</f>
        <v/>
      </c>
      <c r="O28" s="22"/>
      <c r="P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6"/>
      <c r="G29" s="22"/>
      <c r="H29" s="22"/>
      <c r="I29" s="22"/>
      <c r="J29" s="22"/>
      <c r="K29" s="22"/>
      <c r="L29" s="22"/>
      <c r="M29" s="27" t="str">
        <f aca="false">IF(COUNT(H29:L29)=5,H29*I29*J29*K29/L29,"")</f>
        <v/>
      </c>
      <c r="N29" s="28" t="str">
        <f aca="false">IF(M29="","",IF(AND(M29&gt;=100,L29&lt;=2),"Quick win",IF(M29&gt;=100,"Strategic priority",IF(M29&gt;=30,"Long-term investment","Low priority / avoid"))))</f>
        <v/>
      </c>
      <c r="O29" s="22"/>
      <c r="P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6"/>
      <c r="G30" s="22"/>
      <c r="H30" s="22"/>
      <c r="I30" s="22"/>
      <c r="J30" s="22"/>
      <c r="K30" s="22"/>
      <c r="L30" s="22"/>
      <c r="M30" s="27" t="str">
        <f aca="false">IF(COUNT(H30:L30)=5,H30*I30*J30*K30/L30,"")</f>
        <v/>
      </c>
      <c r="N30" s="28" t="str">
        <f aca="false">IF(M30="","",IF(AND(M30&gt;=100,L30&lt;=2),"Quick win",IF(M30&gt;=100,"Strategic priority",IF(M30&gt;=30,"Long-term investment","Low priority / avoid"))))</f>
        <v/>
      </c>
      <c r="O30" s="22"/>
      <c r="P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6"/>
      <c r="G31" s="22"/>
      <c r="H31" s="22"/>
      <c r="I31" s="22"/>
      <c r="J31" s="22"/>
      <c r="K31" s="22"/>
      <c r="L31" s="22"/>
      <c r="M31" s="27" t="str">
        <f aca="false">IF(COUNT(H31:L31)=5,H31*I31*J31*K31/L31,"")</f>
        <v/>
      </c>
      <c r="N31" s="28" t="str">
        <f aca="false">IF(M31="","",IF(AND(M31&gt;=100,L31&lt;=2),"Quick win",IF(M31&gt;=100,"Strategic priority",IF(M31&gt;=30,"Long-term investment","Low priority / avoid"))))</f>
        <v/>
      </c>
      <c r="O31" s="22"/>
      <c r="P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6"/>
      <c r="G32" s="22"/>
      <c r="H32" s="22"/>
      <c r="I32" s="22"/>
      <c r="J32" s="22"/>
      <c r="K32" s="22"/>
      <c r="L32" s="22"/>
      <c r="M32" s="27" t="str">
        <f aca="false">IF(COUNT(H32:L32)=5,H32*I32*J32*K32/L32,"")</f>
        <v/>
      </c>
      <c r="N32" s="28" t="str">
        <f aca="false">IF(M32="","",IF(AND(M32&gt;=100,L32&lt;=2),"Quick win",IF(M32&gt;=100,"Strategic priority",IF(M32&gt;=30,"Long-term investment","Low priority / avoid"))))</f>
        <v/>
      </c>
      <c r="O32" s="22"/>
      <c r="P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6"/>
      <c r="G33" s="22"/>
      <c r="H33" s="22"/>
      <c r="I33" s="22"/>
      <c r="J33" s="22"/>
      <c r="K33" s="22"/>
      <c r="L33" s="22"/>
      <c r="M33" s="27" t="str">
        <f aca="false">IF(COUNT(H33:L33)=5,H33*I33*J33*K33/L33,"")</f>
        <v/>
      </c>
      <c r="N33" s="28" t="str">
        <f aca="false">IF(M33="","",IF(AND(M33&gt;=100,L33&lt;=2),"Quick win",IF(M33&gt;=100,"Strategic priority",IF(M33&gt;=30,"Long-term investment","Low priority / avoid"))))</f>
        <v/>
      </c>
      <c r="O33" s="22"/>
      <c r="P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6"/>
      <c r="G34" s="22"/>
      <c r="H34" s="22"/>
      <c r="I34" s="22"/>
      <c r="J34" s="22"/>
      <c r="K34" s="22"/>
      <c r="L34" s="22"/>
      <c r="M34" s="27" t="str">
        <f aca="false">IF(COUNT(H34:L34)=5,H34*I34*J34*K34/L34,"")</f>
        <v/>
      </c>
      <c r="N34" s="28" t="str">
        <f aca="false">IF(M34="","",IF(AND(M34&gt;=100,L34&lt;=2),"Quick win",IF(M34&gt;=100,"Strategic priority",IF(M34&gt;=30,"Long-term investment","Low priority / avoid"))))</f>
        <v/>
      </c>
      <c r="O34" s="22"/>
      <c r="P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6"/>
      <c r="G35" s="22"/>
      <c r="H35" s="22"/>
      <c r="I35" s="22"/>
      <c r="J35" s="22"/>
      <c r="K35" s="22"/>
      <c r="L35" s="22"/>
      <c r="M35" s="27" t="str">
        <f aca="false">IF(COUNT(H35:L35)=5,H35*I35*J35*K35/L35,"")</f>
        <v/>
      </c>
      <c r="N35" s="28" t="str">
        <f aca="false">IF(M35="","",IF(AND(M35&gt;=100,L35&lt;=2),"Quick win",IF(M35&gt;=100,"Strategic priority",IF(M35&gt;=30,"Long-term investment","Low priority / avoid"))))</f>
        <v/>
      </c>
      <c r="O35" s="22"/>
      <c r="P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6"/>
      <c r="G36" s="22"/>
      <c r="H36" s="22"/>
      <c r="I36" s="22"/>
      <c r="J36" s="22"/>
      <c r="K36" s="22"/>
      <c r="L36" s="22"/>
      <c r="M36" s="27" t="str">
        <f aca="false">IF(COUNT(H36:L36)=5,H36*I36*J36*K36/L36,"")</f>
        <v/>
      </c>
      <c r="N36" s="28" t="str">
        <f aca="false">IF(M36="","",IF(AND(M36&gt;=100,L36&lt;=2),"Quick win",IF(M36&gt;=100,"Strategic priority",IF(M36&gt;=30,"Long-term investment","Low priority / avoid"))))</f>
        <v/>
      </c>
      <c r="O36" s="22"/>
      <c r="P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6"/>
      <c r="G37" s="22"/>
      <c r="H37" s="22"/>
      <c r="I37" s="22"/>
      <c r="J37" s="22"/>
      <c r="K37" s="22"/>
      <c r="L37" s="22"/>
      <c r="M37" s="27" t="str">
        <f aca="false">IF(COUNT(H37:L37)=5,H37*I37*J37*K37/L37,"")</f>
        <v/>
      </c>
      <c r="N37" s="28" t="str">
        <f aca="false">IF(M37="","",IF(AND(M37&gt;=100,L37&lt;=2),"Quick win",IF(M37&gt;=100,"Strategic priority",IF(M37&gt;=30,"Long-term investment","Low priority / avoid"))))</f>
        <v/>
      </c>
      <c r="O37" s="22"/>
      <c r="P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6"/>
      <c r="G38" s="22"/>
      <c r="H38" s="22"/>
      <c r="I38" s="22"/>
      <c r="J38" s="22"/>
      <c r="K38" s="22"/>
      <c r="L38" s="22"/>
      <c r="M38" s="27" t="str">
        <f aca="false">IF(COUNT(H38:L38)=5,H38*I38*J38*K38/L38,"")</f>
        <v/>
      </c>
      <c r="N38" s="28" t="str">
        <f aca="false">IF(M38="","",IF(AND(M38&gt;=100,L38&lt;=2),"Quick win",IF(M38&gt;=100,"Strategic priority",IF(M38&gt;=30,"Long-term investment","Low priority / avoid"))))</f>
        <v/>
      </c>
      <c r="O38" s="22"/>
      <c r="P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6"/>
      <c r="G39" s="22"/>
      <c r="H39" s="22"/>
      <c r="I39" s="22"/>
      <c r="J39" s="22"/>
      <c r="K39" s="22"/>
      <c r="L39" s="22"/>
      <c r="M39" s="27" t="str">
        <f aca="false">IF(COUNT(H39:L39)=5,H39*I39*J39*K39/L39,"")</f>
        <v/>
      </c>
      <c r="N39" s="28" t="str">
        <f aca="false">IF(M39="","",IF(AND(M39&gt;=100,L39&lt;=2),"Quick win",IF(M39&gt;=100,"Strategic priority",IF(M39&gt;=30,"Long-term investment","Low priority / avoid"))))</f>
        <v/>
      </c>
      <c r="O39" s="22"/>
      <c r="P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6"/>
      <c r="G40" s="22"/>
      <c r="H40" s="22"/>
      <c r="I40" s="22"/>
      <c r="J40" s="22"/>
      <c r="K40" s="22"/>
      <c r="L40" s="22"/>
      <c r="M40" s="27" t="str">
        <f aca="false">IF(COUNT(H40:L40)=5,H40*I40*J40*K40/L40,"")</f>
        <v/>
      </c>
      <c r="N40" s="28" t="str">
        <f aca="false">IF(M40="","",IF(AND(M40&gt;=100,L40&lt;=2),"Quick win",IF(M40&gt;=100,"Strategic priority",IF(M40&gt;=30,"Long-term investment","Low priority / avoid"))))</f>
        <v/>
      </c>
      <c r="O40" s="22"/>
      <c r="P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6"/>
      <c r="G41" s="22"/>
      <c r="H41" s="22"/>
      <c r="I41" s="22"/>
      <c r="J41" s="22"/>
      <c r="K41" s="22"/>
      <c r="L41" s="22"/>
      <c r="M41" s="27" t="str">
        <f aca="false">IF(COUNT(H41:L41)=5,H41*I41*J41*K41/L41,"")</f>
        <v/>
      </c>
      <c r="N41" s="28" t="str">
        <f aca="false">IF(M41="","",IF(AND(M41&gt;=100,L41&lt;=2),"Quick win",IF(M41&gt;=100,"Strategic priority",IF(M41&gt;=30,"Long-term investment","Low priority / avoid"))))</f>
        <v/>
      </c>
      <c r="O41" s="22"/>
      <c r="P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6"/>
      <c r="G42" s="22"/>
      <c r="H42" s="22"/>
      <c r="I42" s="22"/>
      <c r="J42" s="22"/>
      <c r="K42" s="22"/>
      <c r="L42" s="22"/>
      <c r="M42" s="27" t="str">
        <f aca="false">IF(COUNT(H42:L42)=5,H42*I42*J42*K42/L42,"")</f>
        <v/>
      </c>
      <c r="N42" s="28" t="str">
        <f aca="false">IF(M42="","",IF(AND(M42&gt;=100,L42&lt;=2),"Quick win",IF(M42&gt;=100,"Strategic priority",IF(M42&gt;=30,"Long-term investment","Low priority / avoid"))))</f>
        <v/>
      </c>
      <c r="O42" s="22"/>
      <c r="P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6"/>
      <c r="G43" s="22"/>
      <c r="H43" s="22"/>
      <c r="I43" s="22"/>
      <c r="J43" s="22"/>
      <c r="K43" s="22"/>
      <c r="L43" s="22"/>
      <c r="M43" s="27" t="str">
        <f aca="false">IF(COUNT(H43:L43)=5,H43*I43*J43*K43/L43,"")</f>
        <v/>
      </c>
      <c r="N43" s="28" t="str">
        <f aca="false">IF(M43="","",IF(AND(M43&gt;=100,L43&lt;=2),"Quick win",IF(M43&gt;=100,"Strategic priority",IF(M43&gt;=30,"Long-term investment","Low priority / avoid"))))</f>
        <v/>
      </c>
      <c r="O43" s="22"/>
      <c r="P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6"/>
      <c r="G44" s="22"/>
      <c r="H44" s="22"/>
      <c r="I44" s="22"/>
      <c r="J44" s="22"/>
      <c r="K44" s="22"/>
      <c r="L44" s="22"/>
      <c r="M44" s="27" t="str">
        <f aca="false">IF(COUNT(H44:L44)=5,H44*I44*J44*K44/L44,"")</f>
        <v/>
      </c>
      <c r="N44" s="28" t="str">
        <f aca="false">IF(M44="","",IF(AND(M44&gt;=100,L44&lt;=2),"Quick win",IF(M44&gt;=100,"Strategic priority",IF(M44&gt;=30,"Long-term investment","Low priority / avoid"))))</f>
        <v/>
      </c>
      <c r="O44" s="22"/>
      <c r="P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6"/>
      <c r="G45" s="22"/>
      <c r="H45" s="22"/>
      <c r="I45" s="22"/>
      <c r="J45" s="22"/>
      <c r="K45" s="22"/>
      <c r="L45" s="22"/>
      <c r="M45" s="27" t="str">
        <f aca="false">IF(COUNT(H45:L45)=5,H45*I45*J45*K45/L45,"")</f>
        <v/>
      </c>
      <c r="N45" s="28" t="str">
        <f aca="false">IF(M45="","",IF(AND(M45&gt;=100,L45&lt;=2),"Quick win",IF(M45&gt;=100,"Strategic priority",IF(M45&gt;=30,"Long-term investment","Low priority / avoid"))))</f>
        <v/>
      </c>
      <c r="O45" s="22"/>
      <c r="P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6"/>
      <c r="G46" s="22"/>
      <c r="H46" s="22"/>
      <c r="I46" s="22"/>
      <c r="J46" s="22"/>
      <c r="K46" s="22"/>
      <c r="L46" s="22"/>
      <c r="M46" s="27" t="str">
        <f aca="false">IF(COUNT(H46:L46)=5,H46*I46*J46*K46/L46,"")</f>
        <v/>
      </c>
      <c r="N46" s="28" t="str">
        <f aca="false">IF(M46="","",IF(AND(M46&gt;=100,L46&lt;=2),"Quick win",IF(M46&gt;=100,"Strategic priority",IF(M46&gt;=30,"Long-term investment","Low priority / avoid"))))</f>
        <v/>
      </c>
      <c r="O46" s="22"/>
      <c r="P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6"/>
      <c r="G47" s="22"/>
      <c r="H47" s="22"/>
      <c r="I47" s="22"/>
      <c r="J47" s="22"/>
      <c r="K47" s="22"/>
      <c r="L47" s="22"/>
      <c r="M47" s="27" t="str">
        <f aca="false">IF(COUNT(H47:L47)=5,H47*I47*J47*K47/L47,"")</f>
        <v/>
      </c>
      <c r="N47" s="28" t="str">
        <f aca="false">IF(M47="","",IF(AND(M47&gt;=100,L47&lt;=2),"Quick win",IF(M47&gt;=100,"Strategic priority",IF(M47&gt;=30,"Long-term investment","Low priority / avoid"))))</f>
        <v/>
      </c>
      <c r="O47" s="22"/>
      <c r="P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6"/>
      <c r="G48" s="22"/>
      <c r="H48" s="22"/>
      <c r="I48" s="22"/>
      <c r="J48" s="22"/>
      <c r="K48" s="22"/>
      <c r="L48" s="22"/>
      <c r="M48" s="27" t="str">
        <f aca="false">IF(COUNT(H48:L48)=5,H48*I48*J48*K48/L48,"")</f>
        <v/>
      </c>
      <c r="N48" s="28" t="str">
        <f aca="false">IF(M48="","",IF(AND(M48&gt;=100,L48&lt;=2),"Quick win",IF(M48&gt;=100,"Strategic priority",IF(M48&gt;=30,"Long-term investment","Low priority / avoid"))))</f>
        <v/>
      </c>
      <c r="O48" s="22"/>
      <c r="P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6"/>
      <c r="G49" s="22"/>
      <c r="H49" s="22"/>
      <c r="I49" s="22"/>
      <c r="J49" s="22"/>
      <c r="K49" s="22"/>
      <c r="L49" s="22"/>
      <c r="M49" s="27" t="str">
        <f aca="false">IF(COUNT(H49:L49)=5,H49*I49*J49*K49/L49,"")</f>
        <v/>
      </c>
      <c r="N49" s="28" t="str">
        <f aca="false">IF(M49="","",IF(AND(M49&gt;=100,L49&lt;=2),"Quick win",IF(M49&gt;=100,"Strategic priority",IF(M49&gt;=30,"Long-term investment","Low priority / avoid"))))</f>
        <v/>
      </c>
      <c r="O49" s="22"/>
      <c r="P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6"/>
      <c r="G50" s="22"/>
      <c r="H50" s="22"/>
      <c r="I50" s="22"/>
      <c r="J50" s="22"/>
      <c r="K50" s="22"/>
      <c r="L50" s="22"/>
      <c r="M50" s="27" t="str">
        <f aca="false">IF(COUNT(H50:L50)=5,H50*I50*J50*K50/L50,"")</f>
        <v/>
      </c>
      <c r="N50" s="28" t="str">
        <f aca="false">IF(M50="","",IF(AND(M50&gt;=100,L50&lt;=2),"Quick win",IF(M50&gt;=100,"Strategic priority",IF(M50&gt;=30,"Long-term investment","Low priority / avoid"))))</f>
        <v/>
      </c>
      <c r="O50" s="22"/>
      <c r="P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6"/>
      <c r="G51" s="22"/>
      <c r="H51" s="22"/>
      <c r="I51" s="22"/>
      <c r="J51" s="22"/>
      <c r="K51" s="22"/>
      <c r="L51" s="22"/>
      <c r="M51" s="27" t="str">
        <f aca="false">IF(COUNT(H51:L51)=5,H51*I51*J51*K51/L51,"")</f>
        <v/>
      </c>
      <c r="N51" s="28" t="str">
        <f aca="false">IF(M51="","",IF(AND(M51&gt;=100,L51&lt;=2),"Quick win",IF(M51&gt;=100,"Strategic priority",IF(M51&gt;=30,"Long-term investment","Low priority / avoid"))))</f>
        <v/>
      </c>
      <c r="O51" s="22"/>
      <c r="P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6"/>
      <c r="G52" s="22"/>
      <c r="H52" s="22"/>
      <c r="I52" s="22"/>
      <c r="J52" s="22"/>
      <c r="K52" s="22"/>
      <c r="L52" s="22"/>
      <c r="M52" s="27" t="str">
        <f aca="false">IF(COUNT(H52:L52)=5,H52*I52*J52*K52/L52,"")</f>
        <v/>
      </c>
      <c r="N52" s="28" t="str">
        <f aca="false">IF(M52="","",IF(AND(M52&gt;=100,L52&lt;=2),"Quick win",IF(M52&gt;=100,"Strategic priority",IF(M52&gt;=30,"Long-term investment","Low priority / avoid"))))</f>
        <v/>
      </c>
      <c r="O52" s="22"/>
      <c r="P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6"/>
      <c r="G53" s="22"/>
      <c r="H53" s="22"/>
      <c r="I53" s="22"/>
      <c r="J53" s="22"/>
      <c r="K53" s="22"/>
      <c r="L53" s="22"/>
      <c r="M53" s="27" t="str">
        <f aca="false">IF(COUNT(H53:L53)=5,H53*I53*J53*K53/L53,"")</f>
        <v/>
      </c>
      <c r="N53" s="28" t="str">
        <f aca="false">IF(M53="","",IF(AND(M53&gt;=100,L53&lt;=2),"Quick win",IF(M53&gt;=100,"Strategic priority",IF(M53&gt;=30,"Long-term investment","Low priority / avoid"))))</f>
        <v/>
      </c>
      <c r="O53" s="22"/>
      <c r="P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6"/>
      <c r="G54" s="22"/>
      <c r="H54" s="22"/>
      <c r="I54" s="22"/>
      <c r="J54" s="22"/>
      <c r="K54" s="22"/>
      <c r="L54" s="22"/>
      <c r="M54" s="27" t="str">
        <f aca="false">IF(COUNT(H54:L54)=5,H54*I54*J54*K54/L54,"")</f>
        <v/>
      </c>
      <c r="N54" s="28" t="str">
        <f aca="false">IF(M54="","",IF(AND(M54&gt;=100,L54&lt;=2),"Quick win",IF(M54&gt;=100,"Strategic priority",IF(M54&gt;=30,"Long-term investment","Low priority / avoid"))))</f>
        <v/>
      </c>
      <c r="O54" s="22"/>
      <c r="P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6"/>
      <c r="G55" s="22"/>
      <c r="H55" s="22"/>
      <c r="I55" s="22"/>
      <c r="J55" s="22"/>
      <c r="K55" s="22"/>
      <c r="L55" s="22"/>
      <c r="M55" s="27" t="str">
        <f aca="false">IF(COUNT(H55:L55)=5,H55*I55*J55*K55/L55,"")</f>
        <v/>
      </c>
      <c r="N55" s="28" t="str">
        <f aca="false">IF(M55="","",IF(AND(M55&gt;=100,L55&lt;=2),"Quick win",IF(M55&gt;=100,"Strategic priority",IF(M55&gt;=30,"Long-term investment","Low priority / avoid"))))</f>
        <v/>
      </c>
      <c r="O55" s="22"/>
      <c r="P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6"/>
      <c r="G56" s="22"/>
      <c r="H56" s="22"/>
      <c r="I56" s="22"/>
      <c r="J56" s="22"/>
      <c r="K56" s="22"/>
      <c r="L56" s="22"/>
      <c r="M56" s="27" t="str">
        <f aca="false">IF(COUNT(H56:L56)=5,H56*I56*J56*K56/L56,"")</f>
        <v/>
      </c>
      <c r="N56" s="28" t="str">
        <f aca="false">IF(M56="","",IF(AND(M56&gt;=100,L56&lt;=2),"Quick win",IF(M56&gt;=100,"Strategic priority",IF(M56&gt;=30,"Long-term investment","Low priority / avoid"))))</f>
        <v/>
      </c>
      <c r="O56" s="22"/>
      <c r="P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6"/>
      <c r="G57" s="22"/>
      <c r="H57" s="22"/>
      <c r="I57" s="22"/>
      <c r="J57" s="22"/>
      <c r="K57" s="22"/>
      <c r="L57" s="22"/>
      <c r="M57" s="27" t="str">
        <f aca="false">IF(COUNT(H57:L57)=5,H57*I57*J57*K57/L57,"")</f>
        <v/>
      </c>
      <c r="N57" s="28" t="str">
        <f aca="false">IF(M57="","",IF(AND(M57&gt;=100,L57&lt;=2),"Quick win",IF(M57&gt;=100,"Strategic priority",IF(M57&gt;=30,"Long-term investment","Low priority / avoid"))))</f>
        <v/>
      </c>
      <c r="O57" s="22"/>
      <c r="P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6"/>
      <c r="G58" s="22"/>
      <c r="H58" s="22"/>
      <c r="I58" s="22"/>
      <c r="J58" s="22"/>
      <c r="K58" s="22"/>
      <c r="L58" s="22"/>
      <c r="M58" s="27" t="str">
        <f aca="false">IF(COUNT(H58:L58)=5,H58*I58*J58*K58/L58,"")</f>
        <v/>
      </c>
      <c r="N58" s="28" t="str">
        <f aca="false">IF(M58="","",IF(AND(M58&gt;=100,L58&lt;=2),"Quick win",IF(M58&gt;=100,"Strategic priority",IF(M58&gt;=30,"Long-term investment","Low priority / avoid"))))</f>
        <v/>
      </c>
      <c r="O58" s="22"/>
      <c r="P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6"/>
      <c r="G59" s="22"/>
      <c r="H59" s="22"/>
      <c r="I59" s="22"/>
      <c r="J59" s="22"/>
      <c r="K59" s="22"/>
      <c r="L59" s="22"/>
      <c r="M59" s="27" t="str">
        <f aca="false">IF(COUNT(H59:L59)=5,H59*I59*J59*K59/L59,"")</f>
        <v/>
      </c>
      <c r="N59" s="28" t="str">
        <f aca="false">IF(M59="","",IF(AND(M59&gt;=100,L59&lt;=2),"Quick win",IF(M59&gt;=100,"Strategic priority",IF(M59&gt;=30,"Long-term investment","Low priority / avoid"))))</f>
        <v/>
      </c>
      <c r="O59" s="22"/>
      <c r="P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6"/>
      <c r="G60" s="22"/>
      <c r="H60" s="22"/>
      <c r="I60" s="22"/>
      <c r="J60" s="22"/>
      <c r="K60" s="22"/>
      <c r="L60" s="22"/>
      <c r="M60" s="27" t="str">
        <f aca="false">IF(COUNT(H60:L60)=5,H60*I60*J60*K60/L60,"")</f>
        <v/>
      </c>
      <c r="N60" s="28" t="str">
        <f aca="false">IF(M60="","",IF(AND(M60&gt;=100,L60&lt;=2),"Quick win",IF(M60&gt;=100,"Strategic priority",IF(M60&gt;=30,"Long-term investment","Low priority / avoid"))))</f>
        <v/>
      </c>
      <c r="O60" s="22"/>
      <c r="P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6"/>
      <c r="G61" s="22"/>
      <c r="H61" s="22"/>
      <c r="I61" s="22"/>
      <c r="J61" s="22"/>
      <c r="K61" s="22"/>
      <c r="L61" s="22"/>
      <c r="M61" s="27" t="str">
        <f aca="false">IF(COUNT(H61:L61)=5,H61*I61*J61*K61/L61,"")</f>
        <v/>
      </c>
      <c r="N61" s="28" t="str">
        <f aca="false">IF(M61="","",IF(AND(M61&gt;=100,L61&lt;=2),"Quick win",IF(M61&gt;=100,"Strategic priority",IF(M61&gt;=30,"Long-term investment","Low priority / avoid"))))</f>
        <v/>
      </c>
      <c r="O61" s="22"/>
      <c r="P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6"/>
      <c r="G62" s="22"/>
      <c r="H62" s="22"/>
      <c r="I62" s="22"/>
      <c r="J62" s="22"/>
      <c r="K62" s="22"/>
      <c r="L62" s="22"/>
      <c r="M62" s="27" t="str">
        <f aca="false">IF(COUNT(H62:L62)=5,H62*I62*J62*K62/L62,"")</f>
        <v/>
      </c>
      <c r="N62" s="28" t="str">
        <f aca="false">IF(M62="","",IF(AND(M62&gt;=100,L62&lt;=2),"Quick win",IF(M62&gt;=100,"Strategic priority",IF(M62&gt;=30,"Long-term investment","Low priority / avoid"))))</f>
        <v/>
      </c>
      <c r="O62" s="22"/>
      <c r="P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6"/>
      <c r="G63" s="22"/>
      <c r="H63" s="22"/>
      <c r="I63" s="22"/>
      <c r="J63" s="22"/>
      <c r="K63" s="22"/>
      <c r="L63" s="22"/>
      <c r="M63" s="27" t="str">
        <f aca="false">IF(COUNT(H63:L63)=5,H63*I63*J63*K63/L63,"")</f>
        <v/>
      </c>
      <c r="N63" s="28" t="str">
        <f aca="false">IF(M63="","",IF(AND(M63&gt;=100,L63&lt;=2),"Quick win",IF(M63&gt;=100,"Strategic priority",IF(M63&gt;=30,"Long-term investment","Low priority / avoid"))))</f>
        <v/>
      </c>
      <c r="O63" s="22"/>
      <c r="P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6"/>
      <c r="G64" s="22"/>
      <c r="H64" s="22"/>
      <c r="I64" s="22"/>
      <c r="J64" s="22"/>
      <c r="K64" s="22"/>
      <c r="L64" s="22"/>
      <c r="M64" s="27" t="str">
        <f aca="false">IF(COUNT(H64:L64)=5,H64*I64*J64*K64/L64,"")</f>
        <v/>
      </c>
      <c r="N64" s="28" t="str">
        <f aca="false">IF(M64="","",IF(AND(M64&gt;=100,L64&lt;=2),"Quick win",IF(M64&gt;=100,"Strategic priority",IF(M64&gt;=30,"Long-term investment","Low priority / avoid"))))</f>
        <v/>
      </c>
      <c r="O64" s="22"/>
      <c r="P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6"/>
      <c r="G65" s="22"/>
      <c r="H65" s="22"/>
      <c r="I65" s="22"/>
      <c r="J65" s="22"/>
      <c r="K65" s="22"/>
      <c r="L65" s="22"/>
      <c r="M65" s="27" t="str">
        <f aca="false">IF(COUNT(H65:L65)=5,H65*I65*J65*K65/L65,"")</f>
        <v/>
      </c>
      <c r="N65" s="28" t="str">
        <f aca="false">IF(M65="","",IF(AND(M65&gt;=100,L65&lt;=2),"Quick win",IF(M65&gt;=100,"Strategic priority",IF(M65&gt;=30,"Long-term investment","Low priority / avoid"))))</f>
        <v/>
      </c>
      <c r="O65" s="22"/>
      <c r="P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6"/>
      <c r="G66" s="22"/>
      <c r="H66" s="22"/>
      <c r="I66" s="22"/>
      <c r="J66" s="22"/>
      <c r="K66" s="22"/>
      <c r="L66" s="22"/>
      <c r="M66" s="27" t="str">
        <f aca="false">IF(COUNT(H66:L66)=5,H66*I66*J66*K66/L66,"")</f>
        <v/>
      </c>
      <c r="N66" s="28" t="str">
        <f aca="false">IF(M66="","",IF(AND(M66&gt;=100,L66&lt;=2),"Quick win",IF(M66&gt;=100,"Strategic priority",IF(M66&gt;=30,"Long-term investment","Low priority / avoid"))))</f>
        <v/>
      </c>
      <c r="O66" s="22"/>
      <c r="P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6"/>
      <c r="G67" s="22"/>
      <c r="H67" s="22"/>
      <c r="I67" s="22"/>
      <c r="J67" s="22"/>
      <c r="K67" s="22"/>
      <c r="L67" s="22"/>
      <c r="M67" s="27" t="str">
        <f aca="false">IF(COUNT(H67:L67)=5,H67*I67*J67*K67/L67,"")</f>
        <v/>
      </c>
      <c r="N67" s="28" t="str">
        <f aca="false">IF(M67="","",IF(AND(M67&gt;=100,L67&lt;=2),"Quick win",IF(M67&gt;=100,"Strategic priority",IF(M67&gt;=30,"Long-term investment","Low priority / avoid"))))</f>
        <v/>
      </c>
      <c r="O67" s="22"/>
      <c r="P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6"/>
      <c r="G68" s="22"/>
      <c r="H68" s="22"/>
      <c r="I68" s="22"/>
      <c r="J68" s="22"/>
      <c r="K68" s="22"/>
      <c r="L68" s="22"/>
      <c r="M68" s="27" t="str">
        <f aca="false">IF(COUNT(H68:L68)=5,H68*I68*J68*K68/L68,"")</f>
        <v/>
      </c>
      <c r="N68" s="28" t="str">
        <f aca="false">IF(M68="","",IF(AND(M68&gt;=100,L68&lt;=2),"Quick win",IF(M68&gt;=100,"Strategic priority",IF(M68&gt;=30,"Long-term investment","Low priority / avoid"))))</f>
        <v/>
      </c>
      <c r="O68" s="22"/>
      <c r="P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6"/>
      <c r="G69" s="22"/>
      <c r="H69" s="22"/>
      <c r="I69" s="22"/>
      <c r="J69" s="22"/>
      <c r="K69" s="22"/>
      <c r="L69" s="22"/>
      <c r="M69" s="27" t="str">
        <f aca="false">IF(COUNT(H69:L69)=5,H69*I69*J69*K69/L69,"")</f>
        <v/>
      </c>
      <c r="N69" s="28" t="str">
        <f aca="false">IF(M69="","",IF(AND(M69&gt;=100,L69&lt;=2),"Quick win",IF(M69&gt;=100,"Strategic priority",IF(M69&gt;=30,"Long-term investment","Low priority / avoid"))))</f>
        <v/>
      </c>
      <c r="O69" s="22"/>
      <c r="P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6"/>
      <c r="G70" s="22"/>
      <c r="H70" s="22"/>
      <c r="I70" s="22"/>
      <c r="J70" s="22"/>
      <c r="K70" s="22"/>
      <c r="L70" s="22"/>
      <c r="M70" s="27" t="str">
        <f aca="false">IF(COUNT(H70:L70)=5,H70*I70*J70*K70/L70,"")</f>
        <v/>
      </c>
      <c r="N70" s="28" t="str">
        <f aca="false">IF(M70="","",IF(AND(M70&gt;=100,L70&lt;=2),"Quick win",IF(M70&gt;=100,"Strategic priority",IF(M70&gt;=30,"Long-term investment","Low priority / avoid"))))</f>
        <v/>
      </c>
      <c r="O70" s="22"/>
      <c r="P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6"/>
      <c r="G71" s="22"/>
      <c r="H71" s="22"/>
      <c r="I71" s="22"/>
      <c r="J71" s="22"/>
      <c r="K71" s="22"/>
      <c r="L71" s="22"/>
      <c r="M71" s="27" t="str">
        <f aca="false">IF(COUNT(H71:L71)=5,H71*I71*J71*K71/L71,"")</f>
        <v/>
      </c>
      <c r="N71" s="28" t="str">
        <f aca="false">IF(M71="","",IF(AND(M71&gt;=100,L71&lt;=2),"Quick win",IF(M71&gt;=100,"Strategic priority",IF(M71&gt;=30,"Long-term investment","Low priority / avoid"))))</f>
        <v/>
      </c>
      <c r="O71" s="22"/>
      <c r="P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6"/>
      <c r="G72" s="22"/>
      <c r="H72" s="22"/>
      <c r="I72" s="22"/>
      <c r="J72" s="22"/>
      <c r="K72" s="22"/>
      <c r="L72" s="22"/>
      <c r="M72" s="27" t="str">
        <f aca="false">IF(COUNT(H72:L72)=5,H72*I72*J72*K72/L72,"")</f>
        <v/>
      </c>
      <c r="N72" s="28" t="str">
        <f aca="false">IF(M72="","",IF(AND(M72&gt;=100,L72&lt;=2),"Quick win",IF(M72&gt;=100,"Strategic priority",IF(M72&gt;=30,"Long-term investment","Low priority / avoid"))))</f>
        <v/>
      </c>
      <c r="O72" s="22"/>
      <c r="P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6"/>
      <c r="G73" s="22"/>
      <c r="H73" s="22"/>
      <c r="I73" s="22"/>
      <c r="J73" s="22"/>
      <c r="K73" s="22"/>
      <c r="L73" s="22"/>
      <c r="M73" s="27" t="str">
        <f aca="false">IF(COUNT(H73:L73)=5,H73*I73*J73*K73/L73,"")</f>
        <v/>
      </c>
      <c r="N73" s="28" t="str">
        <f aca="false">IF(M73="","",IF(AND(M73&gt;=100,L73&lt;=2),"Quick win",IF(M73&gt;=100,"Strategic priority",IF(M73&gt;=30,"Long-term investment","Low priority / avoid"))))</f>
        <v/>
      </c>
      <c r="O73" s="22"/>
      <c r="P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6"/>
      <c r="G74" s="22"/>
      <c r="H74" s="22"/>
      <c r="I74" s="22"/>
      <c r="J74" s="22"/>
      <c r="K74" s="22"/>
      <c r="L74" s="22"/>
      <c r="M74" s="27" t="str">
        <f aca="false">IF(COUNT(H74:L74)=5,H74*I74*J74*K74/L74,"")</f>
        <v/>
      </c>
      <c r="N74" s="28" t="str">
        <f aca="false">IF(M74="","",IF(AND(M74&gt;=100,L74&lt;=2),"Quick win",IF(M74&gt;=100,"Strategic priority",IF(M74&gt;=30,"Long-term investment","Low priority / avoid"))))</f>
        <v/>
      </c>
      <c r="O74" s="22"/>
      <c r="P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6"/>
      <c r="G75" s="22"/>
      <c r="H75" s="22"/>
      <c r="I75" s="22"/>
      <c r="J75" s="22"/>
      <c r="K75" s="22"/>
      <c r="L75" s="22"/>
      <c r="M75" s="27" t="str">
        <f aca="false">IF(COUNT(H75:L75)=5,H75*I75*J75*K75/L75,"")</f>
        <v/>
      </c>
      <c r="N75" s="28" t="str">
        <f aca="false">IF(M75="","",IF(AND(M75&gt;=100,L75&lt;=2),"Quick win",IF(M75&gt;=100,"Strategic priority",IF(M75&gt;=30,"Long-term investment","Low priority / avoid"))))</f>
        <v/>
      </c>
      <c r="O75" s="22"/>
      <c r="P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6"/>
      <c r="G76" s="22"/>
      <c r="H76" s="22"/>
      <c r="I76" s="22"/>
      <c r="J76" s="22"/>
      <c r="K76" s="22"/>
      <c r="L76" s="22"/>
      <c r="M76" s="27" t="str">
        <f aca="false">IF(COUNT(H76:L76)=5,H76*I76*J76*K76/L76,"")</f>
        <v/>
      </c>
      <c r="N76" s="28" t="str">
        <f aca="false">IF(M76="","",IF(AND(M76&gt;=100,L76&lt;=2),"Quick win",IF(M76&gt;=100,"Strategic priority",IF(M76&gt;=30,"Long-term investment","Low priority / avoid"))))</f>
        <v/>
      </c>
      <c r="O76" s="22"/>
      <c r="P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6"/>
      <c r="G77" s="22"/>
      <c r="H77" s="22"/>
      <c r="I77" s="22"/>
      <c r="J77" s="22"/>
      <c r="K77" s="22"/>
      <c r="L77" s="22"/>
      <c r="M77" s="27" t="str">
        <f aca="false">IF(COUNT(H77:L77)=5,H77*I77*J77*K77/L77,"")</f>
        <v/>
      </c>
      <c r="N77" s="28" t="str">
        <f aca="false">IF(M77="","",IF(AND(M77&gt;=100,L77&lt;=2),"Quick win",IF(M77&gt;=100,"Strategic priority",IF(M77&gt;=30,"Long-term investment","Low priority / avoid"))))</f>
        <v/>
      </c>
      <c r="O77" s="22"/>
      <c r="P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6"/>
      <c r="G78" s="22"/>
      <c r="H78" s="22"/>
      <c r="I78" s="22"/>
      <c r="J78" s="22"/>
      <c r="K78" s="22"/>
      <c r="L78" s="22"/>
      <c r="M78" s="27" t="str">
        <f aca="false">IF(COUNT(H78:L78)=5,H78*I78*J78*K78/L78,"")</f>
        <v/>
      </c>
      <c r="N78" s="28" t="str">
        <f aca="false">IF(M78="","",IF(AND(M78&gt;=100,L78&lt;=2),"Quick win",IF(M78&gt;=100,"Strategic priority",IF(M78&gt;=30,"Long-term investment","Low priority / avoid"))))</f>
        <v/>
      </c>
      <c r="O78" s="22"/>
      <c r="P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6"/>
      <c r="G79" s="22"/>
      <c r="H79" s="22"/>
      <c r="I79" s="22"/>
      <c r="J79" s="22"/>
      <c r="K79" s="22"/>
      <c r="L79" s="22"/>
      <c r="M79" s="27" t="str">
        <f aca="false">IF(COUNT(H79:L79)=5,H79*I79*J79*K79/L79,"")</f>
        <v/>
      </c>
      <c r="N79" s="28" t="str">
        <f aca="false">IF(M79="","",IF(AND(M79&gt;=100,L79&lt;=2),"Quick win",IF(M79&gt;=100,"Strategic priority",IF(M79&gt;=30,"Long-term investment","Low priority / avoid"))))</f>
        <v/>
      </c>
      <c r="O79" s="22"/>
      <c r="P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6"/>
      <c r="G80" s="22"/>
      <c r="H80" s="22"/>
      <c r="I80" s="22"/>
      <c r="J80" s="22"/>
      <c r="K80" s="22"/>
      <c r="L80" s="22"/>
      <c r="M80" s="27" t="str">
        <f aca="false">IF(COUNT(H80:L80)=5,H80*I80*J80*K80/L80,"")</f>
        <v/>
      </c>
      <c r="N80" s="28" t="str">
        <f aca="false">IF(M80="","",IF(AND(M80&gt;=100,L80&lt;=2),"Quick win",IF(M80&gt;=100,"Strategic priority",IF(M80&gt;=30,"Long-term investment","Low priority / avoid"))))</f>
        <v/>
      </c>
      <c r="O80" s="22"/>
      <c r="P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6"/>
      <c r="G81" s="22"/>
      <c r="H81" s="22"/>
      <c r="I81" s="22"/>
      <c r="J81" s="22"/>
      <c r="K81" s="22"/>
      <c r="L81" s="22"/>
      <c r="M81" s="27" t="str">
        <f aca="false">IF(COUNT(H81:L81)=5,H81*I81*J81*K81/L81,"")</f>
        <v/>
      </c>
      <c r="N81" s="28" t="str">
        <f aca="false">IF(M81="","",IF(AND(M81&gt;=100,L81&lt;=2),"Quick win",IF(M81&gt;=100,"Strategic priority",IF(M81&gt;=30,"Long-term investment","Low priority / avoid"))))</f>
        <v/>
      </c>
      <c r="O81" s="22"/>
      <c r="P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6"/>
      <c r="G82" s="22"/>
      <c r="H82" s="22"/>
      <c r="I82" s="22"/>
      <c r="J82" s="22"/>
      <c r="K82" s="22"/>
      <c r="L82" s="22"/>
      <c r="M82" s="27" t="str">
        <f aca="false">IF(COUNT(H82:L82)=5,H82*I82*J82*K82/L82,"")</f>
        <v/>
      </c>
      <c r="N82" s="28" t="str">
        <f aca="false">IF(M82="","",IF(AND(M82&gt;=100,L82&lt;=2),"Quick win",IF(M82&gt;=100,"Strategic priority",IF(M82&gt;=30,"Long-term investment","Low priority / avoid"))))</f>
        <v/>
      </c>
      <c r="O82" s="22"/>
      <c r="P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6"/>
      <c r="G83" s="22"/>
      <c r="H83" s="22"/>
      <c r="I83" s="22"/>
      <c r="J83" s="22"/>
      <c r="K83" s="22"/>
      <c r="L83" s="22"/>
      <c r="M83" s="27" t="str">
        <f aca="false">IF(COUNT(H83:L83)=5,H83*I83*J83*K83/L83,"")</f>
        <v/>
      </c>
      <c r="N83" s="28" t="str">
        <f aca="false">IF(M83="","",IF(AND(M83&gt;=100,L83&lt;=2),"Quick win",IF(M83&gt;=100,"Strategic priority",IF(M83&gt;=30,"Long-term investment","Low priority / avoid"))))</f>
        <v/>
      </c>
      <c r="O83" s="22"/>
      <c r="P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6"/>
      <c r="G84" s="22"/>
      <c r="H84" s="22"/>
      <c r="I84" s="22"/>
      <c r="J84" s="22"/>
      <c r="K84" s="22"/>
      <c r="L84" s="22"/>
      <c r="M84" s="27" t="str">
        <f aca="false">IF(COUNT(H84:L84)=5,H84*I84*J84*K84/L84,"")</f>
        <v/>
      </c>
      <c r="N84" s="28" t="str">
        <f aca="false">IF(M84="","",IF(AND(M84&gt;=100,L84&lt;=2),"Quick win",IF(M84&gt;=100,"Strategic priority",IF(M84&gt;=30,"Long-term investment","Low priority / avoid"))))</f>
        <v/>
      </c>
      <c r="O84" s="22"/>
      <c r="P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6"/>
      <c r="G85" s="22"/>
      <c r="H85" s="22"/>
      <c r="I85" s="22"/>
      <c r="J85" s="22"/>
      <c r="K85" s="22"/>
      <c r="L85" s="22"/>
      <c r="M85" s="27" t="str">
        <f aca="false">IF(COUNT(H85:L85)=5,H85*I85*J85*K85/L85,"")</f>
        <v/>
      </c>
      <c r="N85" s="28" t="str">
        <f aca="false">IF(M85="","",IF(AND(M85&gt;=100,L85&lt;=2),"Quick win",IF(M85&gt;=100,"Strategic priority",IF(M85&gt;=30,"Long-term investment","Low priority / avoid"))))</f>
        <v/>
      </c>
      <c r="O85" s="22"/>
      <c r="P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6"/>
      <c r="G86" s="22"/>
      <c r="H86" s="22"/>
      <c r="I86" s="22"/>
      <c r="J86" s="22"/>
      <c r="K86" s="22"/>
      <c r="L86" s="22"/>
      <c r="M86" s="27" t="str">
        <f aca="false">IF(COUNT(H86:L86)=5,H86*I86*J86*K86/L86,"")</f>
        <v/>
      </c>
      <c r="N86" s="28" t="str">
        <f aca="false">IF(M86="","",IF(AND(M86&gt;=100,L86&lt;=2),"Quick win",IF(M86&gt;=100,"Strategic priority",IF(M86&gt;=30,"Long-term investment","Low priority / avoid"))))</f>
        <v/>
      </c>
      <c r="O86" s="22"/>
      <c r="P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6"/>
      <c r="G87" s="22"/>
      <c r="H87" s="22"/>
      <c r="I87" s="22"/>
      <c r="J87" s="22"/>
      <c r="K87" s="22"/>
      <c r="L87" s="22"/>
      <c r="M87" s="27" t="str">
        <f aca="false">IF(COUNT(H87:L87)=5,H87*I87*J87*K87/L87,"")</f>
        <v/>
      </c>
      <c r="N87" s="28" t="str">
        <f aca="false">IF(M87="","",IF(AND(M87&gt;=100,L87&lt;=2),"Quick win",IF(M87&gt;=100,"Strategic priority",IF(M87&gt;=30,"Long-term investment","Low priority / avoid"))))</f>
        <v/>
      </c>
      <c r="O87" s="22"/>
      <c r="P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6"/>
      <c r="G88" s="22"/>
      <c r="H88" s="22"/>
      <c r="I88" s="22"/>
      <c r="J88" s="22"/>
      <c r="K88" s="22"/>
      <c r="L88" s="22"/>
      <c r="M88" s="27" t="str">
        <f aca="false">IF(COUNT(H88:L88)=5,H88*I88*J88*K88/L88,"")</f>
        <v/>
      </c>
      <c r="N88" s="28" t="str">
        <f aca="false">IF(M88="","",IF(AND(M88&gt;=100,L88&lt;=2),"Quick win",IF(M88&gt;=100,"Strategic priority",IF(M88&gt;=30,"Long-term investment","Low priority / avoid"))))</f>
        <v/>
      </c>
      <c r="O88" s="22"/>
      <c r="P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6"/>
      <c r="G89" s="22"/>
      <c r="H89" s="22"/>
      <c r="I89" s="22"/>
      <c r="J89" s="22"/>
      <c r="K89" s="22"/>
      <c r="L89" s="22"/>
      <c r="M89" s="27" t="str">
        <f aca="false">IF(COUNT(H89:L89)=5,H89*I89*J89*K89/L89,"")</f>
        <v/>
      </c>
      <c r="N89" s="28" t="str">
        <f aca="false">IF(M89="","",IF(AND(M89&gt;=100,L89&lt;=2),"Quick win",IF(M89&gt;=100,"Strategic priority",IF(M89&gt;=30,"Long-term investment","Low priority / avoid"))))</f>
        <v/>
      </c>
      <c r="O89" s="22"/>
      <c r="P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6"/>
      <c r="G90" s="22"/>
      <c r="H90" s="22"/>
      <c r="I90" s="22"/>
      <c r="J90" s="22"/>
      <c r="K90" s="22"/>
      <c r="L90" s="22"/>
      <c r="M90" s="27" t="str">
        <f aca="false">IF(COUNT(H90:L90)=5,H90*I90*J90*K90/L90,"")</f>
        <v/>
      </c>
      <c r="N90" s="28" t="str">
        <f aca="false">IF(M90="","",IF(AND(M90&gt;=100,L90&lt;=2),"Quick win",IF(M90&gt;=100,"Strategic priority",IF(M90&gt;=30,"Long-term investment","Low priority / avoid"))))</f>
        <v/>
      </c>
      <c r="O90" s="22"/>
      <c r="P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6"/>
      <c r="G91" s="22"/>
      <c r="H91" s="22"/>
      <c r="I91" s="22"/>
      <c r="J91" s="22"/>
      <c r="K91" s="22"/>
      <c r="L91" s="22"/>
      <c r="M91" s="27" t="str">
        <f aca="false">IF(COUNT(H91:L91)=5,H91*I91*J91*K91/L91,"")</f>
        <v/>
      </c>
      <c r="N91" s="28" t="str">
        <f aca="false">IF(M91="","",IF(AND(M91&gt;=100,L91&lt;=2),"Quick win",IF(M91&gt;=100,"Strategic priority",IF(M91&gt;=30,"Long-term investment","Low priority / avoid"))))</f>
        <v/>
      </c>
      <c r="O91" s="22"/>
      <c r="P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6"/>
      <c r="G92" s="22"/>
      <c r="H92" s="22"/>
      <c r="I92" s="22"/>
      <c r="J92" s="22"/>
      <c r="K92" s="22"/>
      <c r="L92" s="22"/>
      <c r="M92" s="27" t="str">
        <f aca="false">IF(COUNT(H92:L92)=5,H92*I92*J92*K92/L92,"")</f>
        <v/>
      </c>
      <c r="N92" s="28" t="str">
        <f aca="false">IF(M92="","",IF(AND(M92&gt;=100,L92&lt;=2),"Quick win",IF(M92&gt;=100,"Strategic priority",IF(M92&gt;=30,"Long-term investment","Low priority / avoid"))))</f>
        <v/>
      </c>
      <c r="O92" s="22"/>
      <c r="P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6"/>
      <c r="G93" s="22"/>
      <c r="H93" s="22"/>
      <c r="I93" s="22"/>
      <c r="J93" s="22"/>
      <c r="K93" s="22"/>
      <c r="L93" s="22"/>
      <c r="M93" s="27" t="str">
        <f aca="false">IF(COUNT(H93:L93)=5,H93*I93*J93*K93/L93,"")</f>
        <v/>
      </c>
      <c r="N93" s="28" t="str">
        <f aca="false">IF(M93="","",IF(AND(M93&gt;=100,L93&lt;=2),"Quick win",IF(M93&gt;=100,"Strategic priority",IF(M93&gt;=30,"Long-term investment","Low priority / avoid"))))</f>
        <v/>
      </c>
      <c r="O93" s="22"/>
      <c r="P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6"/>
      <c r="G94" s="22"/>
      <c r="H94" s="22"/>
      <c r="I94" s="22"/>
      <c r="J94" s="22"/>
      <c r="K94" s="22"/>
      <c r="L94" s="22"/>
      <c r="M94" s="27" t="str">
        <f aca="false">IF(COUNT(H94:L94)=5,H94*I94*J94*K94/L94,"")</f>
        <v/>
      </c>
      <c r="N94" s="28" t="str">
        <f aca="false">IF(M94="","",IF(AND(M94&gt;=100,L94&lt;=2),"Quick win",IF(M94&gt;=100,"Strategic priority",IF(M94&gt;=30,"Long-term investment","Low priority / avoid"))))</f>
        <v/>
      </c>
      <c r="O94" s="22"/>
      <c r="P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6"/>
      <c r="G95" s="22"/>
      <c r="H95" s="22"/>
      <c r="I95" s="22"/>
      <c r="J95" s="22"/>
      <c r="K95" s="22"/>
      <c r="L95" s="22"/>
      <c r="M95" s="27" t="str">
        <f aca="false">IF(COUNT(H95:L95)=5,H95*I95*J95*K95/L95,"")</f>
        <v/>
      </c>
      <c r="N95" s="28" t="str">
        <f aca="false">IF(M95="","",IF(AND(M95&gt;=100,L95&lt;=2),"Quick win",IF(M95&gt;=100,"Strategic priority",IF(M95&gt;=30,"Long-term investment","Low priority / avoid"))))</f>
        <v/>
      </c>
      <c r="O95" s="22"/>
      <c r="P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6"/>
      <c r="G96" s="22"/>
      <c r="H96" s="22"/>
      <c r="I96" s="22"/>
      <c r="J96" s="22"/>
      <c r="K96" s="22"/>
      <c r="L96" s="22"/>
      <c r="M96" s="27" t="str">
        <f aca="false">IF(COUNT(H96:L96)=5,H96*I96*J96*K96/L96,"")</f>
        <v/>
      </c>
      <c r="N96" s="28" t="str">
        <f aca="false">IF(M96="","",IF(AND(M96&gt;=100,L96&lt;=2),"Quick win",IF(M96&gt;=100,"Strategic priority",IF(M96&gt;=30,"Long-term investment","Low priority / avoid"))))</f>
        <v/>
      </c>
      <c r="O96" s="22"/>
      <c r="P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6"/>
      <c r="G97" s="22"/>
      <c r="H97" s="22"/>
      <c r="I97" s="22"/>
      <c r="J97" s="22"/>
      <c r="K97" s="22"/>
      <c r="L97" s="22"/>
      <c r="M97" s="27" t="str">
        <f aca="false">IF(COUNT(H97:L97)=5,H97*I97*J97*K97/L97,"")</f>
        <v/>
      </c>
      <c r="N97" s="28" t="str">
        <f aca="false">IF(M97="","",IF(AND(M97&gt;=100,L97&lt;=2),"Quick win",IF(M97&gt;=100,"Strategic priority",IF(M97&gt;=30,"Long-term investment","Low priority / avoid"))))</f>
        <v/>
      </c>
      <c r="O97" s="22"/>
      <c r="P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6"/>
      <c r="G98" s="22"/>
      <c r="H98" s="22"/>
      <c r="I98" s="22"/>
      <c r="J98" s="22"/>
      <c r="K98" s="22"/>
      <c r="L98" s="22"/>
      <c r="M98" s="27" t="str">
        <f aca="false">IF(COUNT(H98:L98)=5,H98*I98*J98*K98/L98,"")</f>
        <v/>
      </c>
      <c r="N98" s="28" t="str">
        <f aca="false">IF(M98="","",IF(AND(M98&gt;=100,L98&lt;=2),"Quick win",IF(M98&gt;=100,"Strategic priority",IF(M98&gt;=30,"Long-term investment","Low priority / avoid"))))</f>
        <v/>
      </c>
      <c r="O98" s="22"/>
      <c r="P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6"/>
      <c r="G99" s="22"/>
      <c r="H99" s="22"/>
      <c r="I99" s="22"/>
      <c r="J99" s="22"/>
      <c r="K99" s="22"/>
      <c r="L99" s="22"/>
      <c r="M99" s="27" t="str">
        <f aca="false">IF(COUNT(H99:L99)=5,H99*I99*J99*K99/L99,"")</f>
        <v/>
      </c>
      <c r="N99" s="28" t="str">
        <f aca="false">IF(M99="","",IF(AND(M99&gt;=100,L99&lt;=2),"Quick win",IF(M99&gt;=100,"Strategic priority",IF(M99&gt;=30,"Long-term investment","Low priority / avoid"))))</f>
        <v/>
      </c>
      <c r="O99" s="22"/>
      <c r="P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6"/>
      <c r="G100" s="22"/>
      <c r="H100" s="22"/>
      <c r="I100" s="22"/>
      <c r="J100" s="22"/>
      <c r="K100" s="22"/>
      <c r="L100" s="22"/>
      <c r="M100" s="27" t="str">
        <f aca="false">IF(COUNT(H100:L100)=5,H100*I100*J100*K100/L100,"")</f>
        <v/>
      </c>
      <c r="N100" s="28" t="str">
        <f aca="false">IF(M100="","",IF(AND(M100&gt;=100,L100&lt;=2),"Quick win",IF(M100&gt;=100,"Strategic priority",IF(M100&gt;=30,"Long-term investment","Low priority / avoid"))))</f>
        <v/>
      </c>
      <c r="O100" s="22"/>
      <c r="P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6"/>
      <c r="G101" s="22"/>
      <c r="H101" s="22"/>
      <c r="I101" s="22"/>
      <c r="J101" s="22"/>
      <c r="K101" s="22"/>
      <c r="L101" s="22"/>
      <c r="M101" s="27" t="str">
        <f aca="false">IF(COUNT(H101:L101)=5,H101*I101*J101*K101/L101,"")</f>
        <v/>
      </c>
      <c r="N101" s="28" t="str">
        <f aca="false">IF(M101="","",IF(AND(M101&gt;=100,L101&lt;=2),"Quick win",IF(M101&gt;=100,"Strategic priority",IF(M101&gt;=30,"Long-term investment","Low priority / avoid"))))</f>
        <v/>
      </c>
      <c r="O101" s="22"/>
      <c r="P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6"/>
      <c r="G102" s="22"/>
      <c r="H102" s="22"/>
      <c r="I102" s="22"/>
      <c r="J102" s="22"/>
      <c r="K102" s="22"/>
      <c r="L102" s="22"/>
      <c r="M102" s="27" t="str">
        <f aca="false">IF(COUNT(H102:L102)=5,H102*I102*J102*K102/L102,"")</f>
        <v/>
      </c>
      <c r="N102" s="28" t="str">
        <f aca="false">IF(M102="","",IF(AND(M102&gt;=100,L102&lt;=2),"Quick win",IF(M102&gt;=100,"Strategic priority",IF(M102&gt;=30,"Long-term investment","Low priority / avoid"))))</f>
        <v/>
      </c>
      <c r="O102" s="22"/>
      <c r="P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6"/>
      <c r="G103" s="22"/>
      <c r="H103" s="22"/>
      <c r="I103" s="22"/>
      <c r="J103" s="22"/>
      <c r="K103" s="22"/>
      <c r="L103" s="22"/>
      <c r="M103" s="27" t="str">
        <f aca="false">IF(COUNT(H103:L103)=5,H103*I103*J103*K103/L103,"")</f>
        <v/>
      </c>
      <c r="N103" s="28" t="str">
        <f aca="false">IF(M103="","",IF(AND(M103&gt;=100,L103&lt;=2),"Quick win",IF(M103&gt;=100,"Strategic priority",IF(M103&gt;=30,"Long-term investment","Low priority / avoid"))))</f>
        <v/>
      </c>
      <c r="O103" s="22"/>
      <c r="P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6"/>
      <c r="G104" s="22"/>
      <c r="H104" s="22"/>
      <c r="I104" s="22"/>
      <c r="J104" s="22"/>
      <c r="K104" s="22"/>
      <c r="L104" s="22"/>
      <c r="M104" s="27" t="str">
        <f aca="false">IF(COUNT(H104:L104)=5,H104*I104*J104*K104/L104,"")</f>
        <v/>
      </c>
      <c r="N104" s="28" t="str">
        <f aca="false">IF(M104="","",IF(AND(M104&gt;=100,L104&lt;=2),"Quick win",IF(M104&gt;=100,"Strategic priority",IF(M104&gt;=30,"Long-term investment","Low priority / avoid"))))</f>
        <v/>
      </c>
      <c r="O104" s="22"/>
      <c r="P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6"/>
      <c r="G105" s="22"/>
      <c r="H105" s="22"/>
      <c r="I105" s="22"/>
      <c r="J105" s="22"/>
      <c r="K105" s="22"/>
      <c r="L105" s="22"/>
      <c r="M105" s="27" t="str">
        <f aca="false">IF(COUNT(H105:L105)=5,H105*I105*J105*K105/L105,"")</f>
        <v/>
      </c>
      <c r="N105" s="28" t="str">
        <f aca="false">IF(M105="","",IF(AND(M105&gt;=100,L105&lt;=2),"Quick win",IF(M105&gt;=100,"Strategic priority",IF(M105&gt;=30,"Long-term investment","Low priority / avoid"))))</f>
        <v/>
      </c>
      <c r="O105" s="22"/>
      <c r="P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6"/>
      <c r="G106" s="22"/>
      <c r="H106" s="22"/>
      <c r="I106" s="22"/>
      <c r="J106" s="22"/>
      <c r="K106" s="22"/>
      <c r="L106" s="22"/>
      <c r="M106" s="27" t="str">
        <f aca="false">IF(COUNT(H106:L106)=5,H106*I106*J106*K106/L106,"")</f>
        <v/>
      </c>
      <c r="N106" s="28" t="str">
        <f aca="false">IF(M106="","",IF(AND(M106&gt;=100,L106&lt;=2),"Quick win",IF(M106&gt;=100,"Strategic priority",IF(M106&gt;=30,"Long-term investment","Low priority / avoid"))))</f>
        <v/>
      </c>
      <c r="O106" s="22"/>
      <c r="P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6"/>
      <c r="G107" s="22"/>
      <c r="H107" s="22"/>
      <c r="I107" s="22"/>
      <c r="J107" s="22"/>
      <c r="K107" s="22"/>
      <c r="L107" s="22"/>
      <c r="M107" s="27" t="str">
        <f aca="false">IF(COUNT(H107:L107)=5,H107*I107*J107*K107/L107,"")</f>
        <v/>
      </c>
      <c r="N107" s="28" t="str">
        <f aca="false">IF(M107="","",IF(AND(M107&gt;=100,L107&lt;=2),"Quick win",IF(M107&gt;=100,"Strategic priority",IF(M107&gt;=30,"Long-term investment","Low priority / avoid"))))</f>
        <v/>
      </c>
      <c r="O107" s="22"/>
      <c r="P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6"/>
      <c r="G108" s="22"/>
      <c r="H108" s="22"/>
      <c r="I108" s="22"/>
      <c r="J108" s="22"/>
      <c r="K108" s="22"/>
      <c r="L108" s="22"/>
      <c r="M108" s="27" t="str">
        <f aca="false">IF(COUNT(H108:L108)=5,H108*I108*J108*K108/L108,"")</f>
        <v/>
      </c>
      <c r="N108" s="28" t="str">
        <f aca="false">IF(M108="","",IF(AND(M108&gt;=100,L108&lt;=2),"Quick win",IF(M108&gt;=100,"Strategic priority",IF(M108&gt;=30,"Long-term investment","Low priority / avoid"))))</f>
        <v/>
      </c>
      <c r="O108" s="22"/>
      <c r="P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6"/>
      <c r="G109" s="22"/>
      <c r="H109" s="22"/>
      <c r="I109" s="22"/>
      <c r="J109" s="22"/>
      <c r="K109" s="22"/>
      <c r="L109" s="22"/>
      <c r="M109" s="27" t="str">
        <f aca="false">IF(COUNT(H109:L109)=5,H109*I109*J109*K109/L109,"")</f>
        <v/>
      </c>
      <c r="N109" s="28" t="str">
        <f aca="false">IF(M109="","",IF(AND(M109&gt;=100,L109&lt;=2),"Quick win",IF(M109&gt;=100,"Strategic priority",IF(M109&gt;=30,"Long-term investment","Low priority / avoid"))))</f>
        <v/>
      </c>
      <c r="O109" s="22"/>
      <c r="P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6"/>
      <c r="G110" s="22"/>
      <c r="H110" s="22"/>
      <c r="I110" s="22"/>
      <c r="J110" s="22"/>
      <c r="K110" s="22"/>
      <c r="L110" s="22"/>
      <c r="M110" s="27" t="str">
        <f aca="false">IF(COUNT(H110:L110)=5,H110*I110*J110*K110/L110,"")</f>
        <v/>
      </c>
      <c r="N110" s="28" t="str">
        <f aca="false">IF(M110="","",IF(AND(M110&gt;=100,L110&lt;=2),"Quick win",IF(M110&gt;=100,"Strategic priority",IF(M110&gt;=30,"Long-term investment","Low priority / avoid"))))</f>
        <v/>
      </c>
      <c r="O110" s="22"/>
      <c r="P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6"/>
      <c r="G111" s="22"/>
      <c r="H111" s="22"/>
      <c r="I111" s="22"/>
      <c r="J111" s="22"/>
      <c r="K111" s="22"/>
      <c r="L111" s="22"/>
      <c r="M111" s="27" t="str">
        <f aca="false">IF(COUNT(H111:L111)=5,H111*I111*J111*K111/L111,"")</f>
        <v/>
      </c>
      <c r="N111" s="28" t="str">
        <f aca="false">IF(M111="","",IF(AND(M111&gt;=100,L111&lt;=2),"Quick win",IF(M111&gt;=100,"Strategic priority",IF(M111&gt;=30,"Long-term investment","Low priority / avoid"))))</f>
        <v/>
      </c>
      <c r="O111" s="22"/>
      <c r="P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6"/>
      <c r="G112" s="22"/>
      <c r="H112" s="22"/>
      <c r="I112" s="22"/>
      <c r="J112" s="22"/>
      <c r="K112" s="22"/>
      <c r="L112" s="22"/>
      <c r="M112" s="27" t="str">
        <f aca="false">IF(COUNT(H112:L112)=5,H112*I112*J112*K112/L112,"")</f>
        <v/>
      </c>
      <c r="N112" s="28" t="str">
        <f aca="false">IF(M112="","",IF(AND(M112&gt;=100,L112&lt;=2),"Quick win",IF(M112&gt;=100,"Strategic priority",IF(M112&gt;=30,"Long-term investment","Low priority / avoid"))))</f>
        <v/>
      </c>
      <c r="O112" s="22"/>
      <c r="P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6"/>
      <c r="G113" s="22"/>
      <c r="H113" s="22"/>
      <c r="I113" s="22"/>
      <c r="J113" s="22"/>
      <c r="K113" s="22"/>
      <c r="L113" s="22"/>
      <c r="M113" s="27" t="str">
        <f aca="false">IF(COUNT(H113:L113)=5,H113*I113*J113*K113/L113,"")</f>
        <v/>
      </c>
      <c r="N113" s="28" t="str">
        <f aca="false">IF(M113="","",IF(AND(M113&gt;=100,L113&lt;=2),"Quick win",IF(M113&gt;=100,"Strategic priority",IF(M113&gt;=30,"Long-term investment","Low priority / avoid"))))</f>
        <v/>
      </c>
      <c r="O113" s="22"/>
      <c r="P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6"/>
      <c r="G114" s="22"/>
      <c r="H114" s="22"/>
      <c r="I114" s="22"/>
      <c r="J114" s="22"/>
      <c r="K114" s="22"/>
      <c r="L114" s="22"/>
      <c r="M114" s="27" t="str">
        <f aca="false">IF(COUNT(H114:L114)=5,H114*I114*J114*K114/L114,"")</f>
        <v/>
      </c>
      <c r="N114" s="28" t="str">
        <f aca="false">IF(M114="","",IF(AND(M114&gt;=100,L114&lt;=2),"Quick win",IF(M114&gt;=100,"Strategic priority",IF(M114&gt;=30,"Long-term investment","Low priority / avoid"))))</f>
        <v/>
      </c>
      <c r="O114" s="22"/>
      <c r="P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6"/>
      <c r="G115" s="22"/>
      <c r="H115" s="22"/>
      <c r="I115" s="22"/>
      <c r="J115" s="22"/>
      <c r="K115" s="22"/>
      <c r="L115" s="22"/>
      <c r="M115" s="27" t="str">
        <f aca="false">IF(COUNT(H115:L115)=5,H115*I115*J115*K115/L115,"")</f>
        <v/>
      </c>
      <c r="N115" s="28" t="str">
        <f aca="false">IF(M115="","",IF(AND(M115&gt;=100,L115&lt;=2),"Quick win",IF(M115&gt;=100,"Strategic priority",IF(M115&gt;=30,"Long-term investment","Low priority / avoid"))))</f>
        <v/>
      </c>
      <c r="O115" s="22"/>
      <c r="P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6"/>
      <c r="G116" s="22"/>
      <c r="H116" s="22"/>
      <c r="I116" s="22"/>
      <c r="J116" s="22"/>
      <c r="K116" s="22"/>
      <c r="L116" s="22"/>
      <c r="M116" s="27" t="str">
        <f aca="false">IF(COUNT(H116:L116)=5,H116*I116*J116*K116/L116,"")</f>
        <v/>
      </c>
      <c r="N116" s="28" t="str">
        <f aca="false">IF(M116="","",IF(AND(M116&gt;=100,L116&lt;=2),"Quick win",IF(M116&gt;=100,"Strategic priority",IF(M116&gt;=30,"Long-term investment","Low priority / avoid"))))</f>
        <v/>
      </c>
      <c r="O116" s="22"/>
      <c r="P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6"/>
      <c r="G117" s="22"/>
      <c r="H117" s="22"/>
      <c r="I117" s="22"/>
      <c r="J117" s="22"/>
      <c r="K117" s="22"/>
      <c r="L117" s="22"/>
      <c r="M117" s="27" t="str">
        <f aca="false">IF(COUNT(H117:L117)=5,H117*I117*J117*K117/L117,"")</f>
        <v/>
      </c>
      <c r="N117" s="28" t="str">
        <f aca="false">IF(M117="","",IF(AND(M117&gt;=100,L117&lt;=2),"Quick win",IF(M117&gt;=100,"Strategic priority",IF(M117&gt;=30,"Long-term investment","Low priority / avoid"))))</f>
        <v/>
      </c>
      <c r="O117" s="22"/>
      <c r="P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6"/>
      <c r="G118" s="22"/>
      <c r="H118" s="22"/>
      <c r="I118" s="22"/>
      <c r="J118" s="22"/>
      <c r="K118" s="22"/>
      <c r="L118" s="22"/>
      <c r="M118" s="27" t="str">
        <f aca="false">IF(COUNT(H118:L118)=5,H118*I118*J118*K118/L118,"")</f>
        <v/>
      </c>
      <c r="N118" s="28" t="str">
        <f aca="false">IF(M118="","",IF(AND(M118&gt;=100,L118&lt;=2),"Quick win",IF(M118&gt;=100,"Strategic priority",IF(M118&gt;=30,"Long-term investment","Low priority / avoid"))))</f>
        <v/>
      </c>
      <c r="O118" s="22"/>
      <c r="P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6"/>
      <c r="G119" s="22"/>
      <c r="H119" s="22"/>
      <c r="I119" s="22"/>
      <c r="J119" s="22"/>
      <c r="K119" s="22"/>
      <c r="L119" s="22"/>
      <c r="M119" s="27" t="str">
        <f aca="false">IF(COUNT(H119:L119)=5,H119*I119*J119*K119/L119,"")</f>
        <v/>
      </c>
      <c r="N119" s="28" t="str">
        <f aca="false">IF(M119="","",IF(AND(M119&gt;=100,L119&lt;=2),"Quick win",IF(M119&gt;=100,"Strategic priority",IF(M119&gt;=30,"Long-term investment","Low priority / avoid"))))</f>
        <v/>
      </c>
      <c r="O119" s="22"/>
      <c r="P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6"/>
      <c r="G120" s="22"/>
      <c r="H120" s="22"/>
      <c r="I120" s="22"/>
      <c r="J120" s="22"/>
      <c r="K120" s="22"/>
      <c r="L120" s="22"/>
      <c r="M120" s="27" t="str">
        <f aca="false">IF(COUNT(H120:L120)=5,H120*I120*J120*K120/L120,"")</f>
        <v/>
      </c>
      <c r="N120" s="28" t="str">
        <f aca="false">IF(M120="","",IF(AND(M120&gt;=100,L120&lt;=2),"Quick win",IF(M120&gt;=100,"Strategic priority",IF(M120&gt;=30,"Long-term investment","Low priority / avoid"))))</f>
        <v/>
      </c>
      <c r="O120" s="22"/>
      <c r="P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6"/>
      <c r="G121" s="22"/>
      <c r="H121" s="22"/>
      <c r="I121" s="22"/>
      <c r="J121" s="22"/>
      <c r="K121" s="22"/>
      <c r="L121" s="22"/>
      <c r="M121" s="27" t="str">
        <f aca="false">IF(COUNT(H121:L121)=5,H121*I121*J121*K121/L121,"")</f>
        <v/>
      </c>
      <c r="N121" s="28" t="str">
        <f aca="false">IF(M121="","",IF(AND(M121&gt;=100,L121&lt;=2),"Quick win",IF(M121&gt;=100,"Strategic priority",IF(M121&gt;=30,"Long-term investment","Low priority / avoid"))))</f>
        <v/>
      </c>
      <c r="O121" s="22"/>
      <c r="P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6"/>
      <c r="G122" s="22"/>
      <c r="H122" s="22"/>
      <c r="I122" s="22"/>
      <c r="J122" s="22"/>
      <c r="K122" s="22"/>
      <c r="L122" s="22"/>
      <c r="M122" s="27" t="str">
        <f aca="false">IF(COUNT(H122:L122)=5,H122*I122*J122*K122/L122,"")</f>
        <v/>
      </c>
      <c r="N122" s="28" t="str">
        <f aca="false">IF(M122="","",IF(AND(M122&gt;=100,L122&lt;=2),"Quick win",IF(M122&gt;=100,"Strategic priority",IF(M122&gt;=30,"Long-term investment","Low priority / avoid"))))</f>
        <v/>
      </c>
      <c r="O122" s="22"/>
      <c r="P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6"/>
      <c r="G123" s="22"/>
      <c r="H123" s="22"/>
      <c r="I123" s="22"/>
      <c r="J123" s="22"/>
      <c r="K123" s="22"/>
      <c r="L123" s="22"/>
      <c r="M123" s="27" t="str">
        <f aca="false">IF(COUNT(H123:L123)=5,H123*I123*J123*K123/L123,"")</f>
        <v/>
      </c>
      <c r="N123" s="28" t="str">
        <f aca="false">IF(M123="","",IF(AND(M123&gt;=100,L123&lt;=2),"Quick win",IF(M123&gt;=100,"Strategic priority",IF(M123&gt;=30,"Long-term investment","Low priority / avoid"))))</f>
        <v/>
      </c>
      <c r="O123" s="22"/>
      <c r="P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6"/>
      <c r="G124" s="22"/>
      <c r="H124" s="22"/>
      <c r="I124" s="22"/>
      <c r="J124" s="22"/>
      <c r="K124" s="22"/>
      <c r="L124" s="22"/>
      <c r="M124" s="27" t="str">
        <f aca="false">IF(COUNT(H124:L124)=5,H124*I124*J124*K124/L124,"")</f>
        <v/>
      </c>
      <c r="N124" s="28" t="str">
        <f aca="false">IF(M124="","",IF(AND(M124&gt;=100,L124&lt;=2),"Quick win",IF(M124&gt;=100,"Strategic priority",IF(M124&gt;=30,"Long-term investment","Low priority / avoid"))))</f>
        <v/>
      </c>
      <c r="O124" s="22"/>
      <c r="P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6"/>
      <c r="G125" s="22"/>
      <c r="H125" s="22"/>
      <c r="I125" s="22"/>
      <c r="J125" s="22"/>
      <c r="K125" s="22"/>
      <c r="L125" s="22"/>
      <c r="M125" s="27" t="str">
        <f aca="false">IF(COUNT(H125:L125)=5,H125*I125*J125*K125/L125,"")</f>
        <v/>
      </c>
      <c r="N125" s="28" t="str">
        <f aca="false">IF(M125="","",IF(AND(M125&gt;=100,L125&lt;=2),"Quick win",IF(M125&gt;=100,"Strategic priority",IF(M125&gt;=30,"Long-term investment","Low priority / avoid"))))</f>
        <v/>
      </c>
      <c r="O125" s="22"/>
      <c r="P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6"/>
      <c r="G126" s="22"/>
      <c r="H126" s="22"/>
      <c r="I126" s="22"/>
      <c r="J126" s="22"/>
      <c r="K126" s="22"/>
      <c r="L126" s="22"/>
      <c r="M126" s="27" t="str">
        <f aca="false">IF(COUNT(H126:L126)=5,H126*I126*J126*K126/L126,"")</f>
        <v/>
      </c>
      <c r="N126" s="28" t="str">
        <f aca="false">IF(M126="","",IF(AND(M126&gt;=100,L126&lt;=2),"Quick win",IF(M126&gt;=100,"Strategic priority",IF(M126&gt;=30,"Long-term investment","Low priority / avoid"))))</f>
        <v/>
      </c>
      <c r="O126" s="22"/>
      <c r="P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6"/>
      <c r="G127" s="22"/>
      <c r="H127" s="22"/>
      <c r="I127" s="22"/>
      <c r="J127" s="22"/>
      <c r="K127" s="22"/>
      <c r="L127" s="22"/>
      <c r="M127" s="27" t="str">
        <f aca="false">IF(COUNT(H127:L127)=5,H127*I127*J127*K127/L127,"")</f>
        <v/>
      </c>
      <c r="N127" s="28" t="str">
        <f aca="false">IF(M127="","",IF(AND(M127&gt;=100,L127&lt;=2),"Quick win",IF(M127&gt;=100,"Strategic priority",IF(M127&gt;=30,"Long-term investment","Low priority / avoid"))))</f>
        <v/>
      </c>
      <c r="O127" s="22"/>
      <c r="P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6"/>
      <c r="G128" s="22"/>
      <c r="H128" s="22"/>
      <c r="I128" s="22"/>
      <c r="J128" s="22"/>
      <c r="K128" s="22"/>
      <c r="L128" s="22"/>
      <c r="M128" s="27" t="str">
        <f aca="false">IF(COUNT(H128:L128)=5,H128*I128*J128*K128/L128,"")</f>
        <v/>
      </c>
      <c r="N128" s="28" t="str">
        <f aca="false">IF(M128="","",IF(AND(M128&gt;=100,L128&lt;=2),"Quick win",IF(M128&gt;=100,"Strategic priority",IF(M128&gt;=30,"Long-term investment","Low priority / avoid"))))</f>
        <v/>
      </c>
      <c r="O128" s="22"/>
      <c r="P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6"/>
      <c r="G129" s="22"/>
      <c r="H129" s="22"/>
      <c r="I129" s="22"/>
      <c r="J129" s="22"/>
      <c r="K129" s="22"/>
      <c r="L129" s="22"/>
      <c r="M129" s="27" t="str">
        <f aca="false">IF(COUNT(H129:L129)=5,H129*I129*J129*K129/L129,"")</f>
        <v/>
      </c>
      <c r="N129" s="28" t="str">
        <f aca="false">IF(M129="","",IF(AND(M129&gt;=100,L129&lt;=2),"Quick win",IF(M129&gt;=100,"Strategic priority",IF(M129&gt;=30,"Long-term investment","Low priority / avoid"))))</f>
        <v/>
      </c>
      <c r="O129" s="22"/>
      <c r="P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6"/>
      <c r="G130" s="22"/>
      <c r="H130" s="22"/>
      <c r="I130" s="22"/>
      <c r="J130" s="22"/>
      <c r="K130" s="22"/>
      <c r="L130" s="22"/>
      <c r="M130" s="27" t="str">
        <f aca="false">IF(COUNT(H130:L130)=5,H130*I130*J130*K130/L130,"")</f>
        <v/>
      </c>
      <c r="N130" s="28" t="str">
        <f aca="false">IF(M130="","",IF(AND(M130&gt;=100,L130&lt;=2),"Quick win",IF(M130&gt;=100,"Strategic priority",IF(M130&gt;=30,"Long-term investment","Low priority / avoid"))))</f>
        <v/>
      </c>
      <c r="O130" s="22"/>
      <c r="P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6"/>
      <c r="G131" s="22"/>
      <c r="H131" s="22"/>
      <c r="I131" s="22"/>
      <c r="J131" s="22"/>
      <c r="K131" s="22"/>
      <c r="L131" s="22"/>
      <c r="M131" s="27" t="str">
        <f aca="false">IF(COUNT(H131:L131)=5,H131*I131*J131*K131/L131,"")</f>
        <v/>
      </c>
      <c r="N131" s="28" t="str">
        <f aca="false">IF(M131="","",IF(AND(M131&gt;=100,L131&lt;=2),"Quick win",IF(M131&gt;=100,"Strategic priority",IF(M131&gt;=30,"Long-term investment","Low priority / avoid"))))</f>
        <v/>
      </c>
      <c r="O131" s="22"/>
      <c r="P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6"/>
      <c r="G132" s="22"/>
      <c r="H132" s="22"/>
      <c r="I132" s="22"/>
      <c r="J132" s="22"/>
      <c r="K132" s="22"/>
      <c r="L132" s="22"/>
      <c r="M132" s="27" t="str">
        <f aca="false">IF(COUNT(H132:L132)=5,H132*I132*J132*K132/L132,"")</f>
        <v/>
      </c>
      <c r="N132" s="28" t="str">
        <f aca="false">IF(M132="","",IF(AND(M132&gt;=100,L132&lt;=2),"Quick win",IF(M132&gt;=100,"Strategic priority",IF(M132&gt;=30,"Long-term investment","Low priority / avoid"))))</f>
        <v/>
      </c>
      <c r="O132" s="22"/>
      <c r="P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6"/>
      <c r="G133" s="22"/>
      <c r="H133" s="22"/>
      <c r="I133" s="22"/>
      <c r="J133" s="22"/>
      <c r="K133" s="22"/>
      <c r="L133" s="22"/>
      <c r="M133" s="27" t="str">
        <f aca="false">IF(COUNT(H133:L133)=5,H133*I133*J133*K133/L133,"")</f>
        <v/>
      </c>
      <c r="N133" s="28" t="str">
        <f aca="false">IF(M133="","",IF(AND(M133&gt;=100,L133&lt;=2),"Quick win",IF(M133&gt;=100,"Strategic priority",IF(M133&gt;=30,"Long-term investment","Low priority / avoid"))))</f>
        <v/>
      </c>
      <c r="O133" s="22"/>
      <c r="P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6"/>
      <c r="G134" s="22"/>
      <c r="H134" s="22"/>
      <c r="I134" s="22"/>
      <c r="J134" s="22"/>
      <c r="K134" s="22"/>
      <c r="L134" s="22"/>
      <c r="M134" s="27" t="str">
        <f aca="false">IF(COUNT(H134:L134)=5,H134*I134*J134*K134/L134,"")</f>
        <v/>
      </c>
      <c r="N134" s="28" t="str">
        <f aca="false">IF(M134="","",IF(AND(M134&gt;=100,L134&lt;=2),"Quick win",IF(M134&gt;=100,"Strategic priority",IF(M134&gt;=30,"Long-term investment","Low priority / avoid"))))</f>
        <v/>
      </c>
      <c r="O134" s="22"/>
      <c r="P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6"/>
      <c r="G135" s="22"/>
      <c r="H135" s="22"/>
      <c r="I135" s="22"/>
      <c r="J135" s="22"/>
      <c r="K135" s="22"/>
      <c r="L135" s="22"/>
      <c r="M135" s="27" t="str">
        <f aca="false">IF(COUNT(H135:L135)=5,H135*I135*J135*K135/L135,"")</f>
        <v/>
      </c>
      <c r="N135" s="28" t="str">
        <f aca="false">IF(M135="","",IF(AND(M135&gt;=100,L135&lt;=2),"Quick win",IF(M135&gt;=100,"Strategic priority",IF(M135&gt;=30,"Long-term investment","Low priority / avoid"))))</f>
        <v/>
      </c>
      <c r="O135" s="22"/>
      <c r="P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6"/>
      <c r="G136" s="22"/>
      <c r="H136" s="22"/>
      <c r="I136" s="22"/>
      <c r="J136" s="22"/>
      <c r="K136" s="22"/>
      <c r="L136" s="22"/>
      <c r="M136" s="27" t="str">
        <f aca="false">IF(COUNT(H136:L136)=5,H136*I136*J136*K136/L136,"")</f>
        <v/>
      </c>
      <c r="N136" s="28" t="str">
        <f aca="false">IF(M136="","",IF(AND(M136&gt;=100,L136&lt;=2),"Quick win",IF(M136&gt;=100,"Strategic priority",IF(M136&gt;=30,"Long-term investment","Low priority / avoid"))))</f>
        <v/>
      </c>
      <c r="O136" s="22"/>
      <c r="P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6"/>
      <c r="G137" s="22"/>
      <c r="H137" s="22"/>
      <c r="I137" s="22"/>
      <c r="J137" s="22"/>
      <c r="K137" s="22"/>
      <c r="L137" s="22"/>
      <c r="M137" s="27" t="str">
        <f aca="false">IF(COUNT(H137:L137)=5,H137*I137*J137*K137/L137,"")</f>
        <v/>
      </c>
      <c r="N137" s="28" t="str">
        <f aca="false">IF(M137="","",IF(AND(M137&gt;=100,L137&lt;=2),"Quick win",IF(M137&gt;=100,"Strategic priority",IF(M137&gt;=30,"Long-term investment","Low priority / avoid"))))</f>
        <v/>
      </c>
      <c r="O137" s="22"/>
      <c r="P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6"/>
      <c r="G138" s="22"/>
      <c r="H138" s="22"/>
      <c r="I138" s="22"/>
      <c r="J138" s="22"/>
      <c r="K138" s="22"/>
      <c r="L138" s="22"/>
      <c r="M138" s="27" t="str">
        <f aca="false">IF(COUNT(H138:L138)=5,H138*I138*J138*K138/L138,"")</f>
        <v/>
      </c>
      <c r="N138" s="28" t="str">
        <f aca="false">IF(M138="","",IF(AND(M138&gt;=100,L138&lt;=2),"Quick win",IF(M138&gt;=100,"Strategic priority",IF(M138&gt;=30,"Long-term investment","Low priority / avoid"))))</f>
        <v/>
      </c>
      <c r="O138" s="22"/>
      <c r="P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6"/>
      <c r="G139" s="22"/>
      <c r="H139" s="22"/>
      <c r="I139" s="22"/>
      <c r="J139" s="22"/>
      <c r="K139" s="22"/>
      <c r="L139" s="22"/>
      <c r="M139" s="27" t="str">
        <f aca="false">IF(COUNT(H139:L139)=5,H139*I139*J139*K139/L139,"")</f>
        <v/>
      </c>
      <c r="N139" s="28" t="str">
        <f aca="false">IF(M139="","",IF(AND(M139&gt;=100,L139&lt;=2),"Quick win",IF(M139&gt;=100,"Strategic priority",IF(M139&gt;=30,"Long-term investment","Low priority / avoid"))))</f>
        <v/>
      </c>
      <c r="O139" s="22"/>
      <c r="P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6"/>
      <c r="G140" s="22"/>
      <c r="H140" s="22"/>
      <c r="I140" s="22"/>
      <c r="J140" s="22"/>
      <c r="K140" s="22"/>
      <c r="L140" s="22"/>
      <c r="M140" s="27" t="str">
        <f aca="false">IF(COUNT(H140:L140)=5,H140*I140*J140*K140/L140,"")</f>
        <v/>
      </c>
      <c r="N140" s="28" t="str">
        <f aca="false">IF(M140="","",IF(AND(M140&gt;=100,L140&lt;=2),"Quick win",IF(M140&gt;=100,"Strategic priority",IF(M140&gt;=30,"Long-term investment","Low priority / avoid"))))</f>
        <v/>
      </c>
      <c r="O140" s="22"/>
      <c r="P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6"/>
      <c r="G141" s="22"/>
      <c r="H141" s="22"/>
      <c r="I141" s="22"/>
      <c r="J141" s="22"/>
      <c r="K141" s="22"/>
      <c r="L141" s="22"/>
      <c r="M141" s="27" t="str">
        <f aca="false">IF(COUNT(H141:L141)=5,H141*I141*J141*K141/L141,"")</f>
        <v/>
      </c>
      <c r="N141" s="28" t="str">
        <f aca="false">IF(M141="","",IF(AND(M141&gt;=100,L141&lt;=2),"Quick win",IF(M141&gt;=100,"Strategic priority",IF(M141&gt;=30,"Long-term investment","Low priority / avoid"))))</f>
        <v/>
      </c>
      <c r="O141" s="22"/>
      <c r="P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6"/>
      <c r="G142" s="22"/>
      <c r="H142" s="22"/>
      <c r="I142" s="22"/>
      <c r="J142" s="22"/>
      <c r="K142" s="22"/>
      <c r="L142" s="22"/>
      <c r="M142" s="27" t="str">
        <f aca="false">IF(COUNT(H142:L142)=5,H142*I142*J142*K142/L142,"")</f>
        <v/>
      </c>
      <c r="N142" s="28" t="str">
        <f aca="false">IF(M142="","",IF(AND(M142&gt;=100,L142&lt;=2),"Quick win",IF(M142&gt;=100,"Strategic priority",IF(M142&gt;=30,"Long-term investment","Low priority / avoid"))))</f>
        <v/>
      </c>
      <c r="O142" s="22"/>
      <c r="P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6"/>
      <c r="G143" s="22"/>
      <c r="H143" s="22"/>
      <c r="I143" s="22"/>
      <c r="J143" s="22"/>
      <c r="K143" s="22"/>
      <c r="L143" s="22"/>
      <c r="M143" s="27" t="str">
        <f aca="false">IF(COUNT(H143:L143)=5,H143*I143*J143*K143/L143,"")</f>
        <v/>
      </c>
      <c r="N143" s="28" t="str">
        <f aca="false">IF(M143="","",IF(AND(M143&gt;=100,L143&lt;=2),"Quick win",IF(M143&gt;=100,"Strategic priority",IF(M143&gt;=30,"Long-term investment","Low priority / avoid"))))</f>
        <v/>
      </c>
      <c r="O143" s="22"/>
      <c r="P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6"/>
      <c r="G144" s="22"/>
      <c r="H144" s="22"/>
      <c r="I144" s="22"/>
      <c r="J144" s="22"/>
      <c r="K144" s="22"/>
      <c r="L144" s="22"/>
      <c r="M144" s="27" t="str">
        <f aca="false">IF(COUNT(H144:L144)=5,H144*I144*J144*K144/L144,"")</f>
        <v/>
      </c>
      <c r="N144" s="28" t="str">
        <f aca="false">IF(M144="","",IF(AND(M144&gt;=100,L144&lt;=2),"Quick win",IF(M144&gt;=100,"Strategic priority",IF(M144&gt;=30,"Long-term investment","Low priority / avoid"))))</f>
        <v/>
      </c>
      <c r="O144" s="22"/>
      <c r="P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6"/>
      <c r="G145" s="22"/>
      <c r="H145" s="22"/>
      <c r="I145" s="22"/>
      <c r="J145" s="22"/>
      <c r="K145" s="22"/>
      <c r="L145" s="22"/>
      <c r="M145" s="27" t="str">
        <f aca="false">IF(COUNT(H145:L145)=5,H145*I145*J145*K145/L145,"")</f>
        <v/>
      </c>
      <c r="N145" s="28" t="str">
        <f aca="false">IF(M145="","",IF(AND(M145&gt;=100,L145&lt;=2),"Quick win",IF(M145&gt;=100,"Strategic priority",IF(M145&gt;=30,"Long-term investment","Low priority / avoid"))))</f>
        <v/>
      </c>
      <c r="O145" s="22"/>
      <c r="P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6"/>
      <c r="G146" s="22"/>
      <c r="H146" s="22"/>
      <c r="I146" s="22"/>
      <c r="J146" s="22"/>
      <c r="K146" s="22"/>
      <c r="L146" s="22"/>
      <c r="M146" s="27" t="str">
        <f aca="false">IF(COUNT(H146:L146)=5,H146*I146*J146*K146/L146,"")</f>
        <v/>
      </c>
      <c r="N146" s="28" t="str">
        <f aca="false">IF(M146="","",IF(AND(M146&gt;=100,L146&lt;=2),"Quick win",IF(M146&gt;=100,"Strategic priority",IF(M146&gt;=30,"Long-term investment","Low priority / avoid"))))</f>
        <v/>
      </c>
      <c r="O146" s="22"/>
      <c r="P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6"/>
      <c r="G147" s="22"/>
      <c r="H147" s="22"/>
      <c r="I147" s="22"/>
      <c r="J147" s="22"/>
      <c r="K147" s="22"/>
      <c r="L147" s="22"/>
      <c r="M147" s="27" t="str">
        <f aca="false">IF(COUNT(H147:L147)=5,H147*I147*J147*K147/L147,"")</f>
        <v/>
      </c>
      <c r="N147" s="28" t="str">
        <f aca="false">IF(M147="","",IF(AND(M147&gt;=100,L147&lt;=2),"Quick win",IF(M147&gt;=100,"Strategic priority",IF(M147&gt;=30,"Long-term investment","Low priority / avoid"))))</f>
        <v/>
      </c>
      <c r="O147" s="22"/>
      <c r="P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6"/>
      <c r="G148" s="22"/>
      <c r="H148" s="22"/>
      <c r="I148" s="22"/>
      <c r="J148" s="22"/>
      <c r="K148" s="22"/>
      <c r="L148" s="22"/>
      <c r="M148" s="27" t="str">
        <f aca="false">IF(COUNT(H148:L148)=5,H148*I148*J148*K148/L148,"")</f>
        <v/>
      </c>
      <c r="N148" s="28" t="str">
        <f aca="false">IF(M148="","",IF(AND(M148&gt;=100,L148&lt;=2),"Quick win",IF(M148&gt;=100,"Strategic priority",IF(M148&gt;=30,"Long-term investment","Low priority / avoid"))))</f>
        <v/>
      </c>
      <c r="O148" s="22"/>
      <c r="P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6"/>
      <c r="G149" s="22"/>
      <c r="H149" s="22"/>
      <c r="I149" s="22"/>
      <c r="J149" s="22"/>
      <c r="K149" s="22"/>
      <c r="L149" s="22"/>
      <c r="M149" s="27" t="str">
        <f aca="false">IF(COUNT(H149:L149)=5,H149*I149*J149*K149/L149,"")</f>
        <v/>
      </c>
      <c r="N149" s="28" t="str">
        <f aca="false">IF(M149="","",IF(AND(M149&gt;=100,L149&lt;=2),"Quick win",IF(M149&gt;=100,"Strategic priority",IF(M149&gt;=30,"Long-term investment","Low priority / avoid"))))</f>
        <v/>
      </c>
      <c r="O149" s="22"/>
      <c r="P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6"/>
      <c r="G150" s="22"/>
      <c r="H150" s="22"/>
      <c r="I150" s="22"/>
      <c r="J150" s="22"/>
      <c r="K150" s="22"/>
      <c r="L150" s="22"/>
      <c r="M150" s="27" t="str">
        <f aca="false">IF(COUNT(H150:L150)=5,H150*I150*J150*K150/L150,"")</f>
        <v/>
      </c>
      <c r="N150" s="28" t="str">
        <f aca="false">IF(M150="","",IF(AND(M150&gt;=100,L150&lt;=2),"Quick win",IF(M150&gt;=100,"Strategic priority",IF(M150&gt;=30,"Long-term investment","Low priority / avoid"))))</f>
        <v/>
      </c>
      <c r="O150" s="22"/>
      <c r="P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6"/>
      <c r="G151" s="22"/>
      <c r="H151" s="22"/>
      <c r="I151" s="22"/>
      <c r="J151" s="22"/>
      <c r="K151" s="22"/>
      <c r="L151" s="22"/>
      <c r="M151" s="27" t="str">
        <f aca="false">IF(COUNT(H151:L151)=5,H151*I151*J151*K151/L151,"")</f>
        <v/>
      </c>
      <c r="N151" s="28" t="str">
        <f aca="false">IF(M151="","",IF(AND(M151&gt;=100,L151&lt;=2),"Quick win",IF(M151&gt;=100,"Strategic priority",IF(M151&gt;=30,"Long-term investment","Low priority / avoid"))))</f>
        <v/>
      </c>
      <c r="O151" s="22"/>
      <c r="P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6"/>
      <c r="G152" s="22"/>
      <c r="H152" s="22"/>
      <c r="I152" s="22"/>
      <c r="J152" s="22"/>
      <c r="K152" s="22"/>
      <c r="L152" s="22"/>
      <c r="M152" s="27" t="str">
        <f aca="false">IF(COUNT(H152:L152)=5,H152*I152*J152*K152/L152,"")</f>
        <v/>
      </c>
      <c r="N152" s="28" t="str">
        <f aca="false">IF(M152="","",IF(AND(M152&gt;=100,L152&lt;=2),"Quick win",IF(M152&gt;=100,"Strategic priority",IF(M152&gt;=30,"Long-term investment","Low priority / avoid"))))</f>
        <v/>
      </c>
      <c r="O152" s="22"/>
      <c r="P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6"/>
      <c r="G153" s="22"/>
      <c r="H153" s="22"/>
      <c r="I153" s="22"/>
      <c r="J153" s="22"/>
      <c r="K153" s="22"/>
      <c r="L153" s="22"/>
      <c r="M153" s="27" t="str">
        <f aca="false">IF(COUNT(H153:L153)=5,H153*I153*J153*K153/L153,"")</f>
        <v/>
      </c>
      <c r="N153" s="28" t="str">
        <f aca="false">IF(M153="","",IF(AND(M153&gt;=100,L153&lt;=2),"Quick win",IF(M153&gt;=100,"Strategic priority",IF(M153&gt;=30,"Long-term investment","Low priority / avoid"))))</f>
        <v/>
      </c>
      <c r="O153" s="22"/>
      <c r="P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6"/>
      <c r="G154" s="22"/>
      <c r="H154" s="22"/>
      <c r="I154" s="22"/>
      <c r="J154" s="22"/>
      <c r="K154" s="22"/>
      <c r="L154" s="22"/>
      <c r="M154" s="27" t="str">
        <f aca="false">IF(COUNT(H154:L154)=5,H154*I154*J154*K154/L154,"")</f>
        <v/>
      </c>
      <c r="N154" s="28" t="str">
        <f aca="false">IF(M154="","",IF(AND(M154&gt;=100,L154&lt;=2),"Quick win",IF(M154&gt;=100,"Strategic priority",IF(M154&gt;=30,"Long-term investment","Low priority / avoid"))))</f>
        <v/>
      </c>
      <c r="O154" s="22"/>
      <c r="P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6"/>
      <c r="G155" s="22"/>
      <c r="H155" s="22"/>
      <c r="I155" s="22"/>
      <c r="J155" s="22"/>
      <c r="K155" s="22"/>
      <c r="L155" s="22"/>
      <c r="M155" s="27" t="str">
        <f aca="false">IF(COUNT(H155:L155)=5,H155*I155*J155*K155/L155,"")</f>
        <v/>
      </c>
      <c r="N155" s="28" t="str">
        <f aca="false">IF(M155="","",IF(AND(M155&gt;=100,L155&lt;=2),"Quick win",IF(M155&gt;=100,"Strategic priority",IF(M155&gt;=30,"Long-term investment","Low priority / avoid"))))</f>
        <v/>
      </c>
      <c r="O155" s="22"/>
      <c r="P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6"/>
      <c r="G156" s="22"/>
      <c r="H156" s="22"/>
      <c r="I156" s="22"/>
      <c r="J156" s="22"/>
      <c r="K156" s="22"/>
      <c r="L156" s="22"/>
      <c r="M156" s="27" t="str">
        <f aca="false">IF(COUNT(H156:L156)=5,H156*I156*J156*K156/L156,"")</f>
        <v/>
      </c>
      <c r="N156" s="28" t="str">
        <f aca="false">IF(M156="","",IF(AND(M156&gt;=100,L156&lt;=2),"Quick win",IF(M156&gt;=100,"Strategic priority",IF(M156&gt;=30,"Long-term investment","Low priority / avoid"))))</f>
        <v/>
      </c>
      <c r="O156" s="22"/>
      <c r="P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6"/>
      <c r="G157" s="22"/>
      <c r="H157" s="22"/>
      <c r="I157" s="22"/>
      <c r="J157" s="22"/>
      <c r="K157" s="22"/>
      <c r="L157" s="22"/>
      <c r="M157" s="27" t="str">
        <f aca="false">IF(COUNT(H157:L157)=5,H157*I157*J157*K157/L157,"")</f>
        <v/>
      </c>
      <c r="N157" s="28" t="str">
        <f aca="false">IF(M157="","",IF(AND(M157&gt;=100,L157&lt;=2),"Quick win",IF(M157&gt;=100,"Strategic priority",IF(M157&gt;=30,"Long-term investment","Low priority / avoid"))))</f>
        <v/>
      </c>
      <c r="O157" s="22"/>
      <c r="P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6"/>
      <c r="G158" s="22"/>
      <c r="H158" s="22"/>
      <c r="I158" s="22"/>
      <c r="J158" s="22"/>
      <c r="K158" s="22"/>
      <c r="L158" s="22"/>
      <c r="M158" s="27" t="str">
        <f aca="false">IF(COUNT(H158:L158)=5,H158*I158*J158*K158/L158,"")</f>
        <v/>
      </c>
      <c r="N158" s="28" t="str">
        <f aca="false">IF(M158="","",IF(AND(M158&gt;=100,L158&lt;=2),"Quick win",IF(M158&gt;=100,"Strategic priority",IF(M158&gt;=30,"Long-term investment","Low priority / avoid"))))</f>
        <v/>
      </c>
      <c r="O158" s="22"/>
      <c r="P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6"/>
      <c r="G159" s="22"/>
      <c r="H159" s="22"/>
      <c r="I159" s="22"/>
      <c r="J159" s="22"/>
      <c r="K159" s="22"/>
      <c r="L159" s="22"/>
      <c r="M159" s="27" t="str">
        <f aca="false">IF(COUNT(H159:L159)=5,H159*I159*J159*K159/L159,"")</f>
        <v/>
      </c>
      <c r="N159" s="28" t="str">
        <f aca="false">IF(M159="","",IF(AND(M159&gt;=100,L159&lt;=2),"Quick win",IF(M159&gt;=100,"Strategic priority",IF(M159&gt;=30,"Long-term investment","Low priority / avoid"))))</f>
        <v/>
      </c>
      <c r="O159" s="22"/>
      <c r="P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6"/>
      <c r="G160" s="22"/>
      <c r="H160" s="22"/>
      <c r="I160" s="22"/>
      <c r="J160" s="22"/>
      <c r="K160" s="22"/>
      <c r="L160" s="22"/>
      <c r="M160" s="27" t="str">
        <f aca="false">IF(COUNT(H160:L160)=5,H160*I160*J160*K160/L160,"")</f>
        <v/>
      </c>
      <c r="N160" s="28" t="str">
        <f aca="false">IF(M160="","",IF(AND(M160&gt;=100,L160&lt;=2),"Quick win",IF(M160&gt;=100,"Strategic priority",IF(M160&gt;=30,"Long-term investment","Low priority / avoid"))))</f>
        <v/>
      </c>
      <c r="O160" s="22"/>
      <c r="P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6"/>
      <c r="G161" s="22"/>
      <c r="H161" s="22"/>
      <c r="I161" s="22"/>
      <c r="J161" s="22"/>
      <c r="K161" s="22"/>
      <c r="L161" s="22"/>
      <c r="M161" s="27" t="str">
        <f aca="false">IF(COUNT(H161:L161)=5,H161*I161*J161*K161/L161,"")</f>
        <v/>
      </c>
      <c r="N161" s="28" t="str">
        <f aca="false">IF(M161="","",IF(AND(M161&gt;=100,L161&lt;=2),"Quick win",IF(M161&gt;=100,"Strategic priority",IF(M161&gt;=30,"Long-term investment","Low priority / avoid"))))</f>
        <v/>
      </c>
      <c r="O161" s="22"/>
      <c r="P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6"/>
      <c r="G162" s="22"/>
      <c r="H162" s="22"/>
      <c r="I162" s="22"/>
      <c r="J162" s="22"/>
      <c r="K162" s="22"/>
      <c r="L162" s="22"/>
      <c r="M162" s="27" t="str">
        <f aca="false">IF(COUNT(H162:L162)=5,H162*I162*J162*K162/L162,"")</f>
        <v/>
      </c>
      <c r="N162" s="28" t="str">
        <f aca="false">IF(M162="","",IF(AND(M162&gt;=100,L162&lt;=2),"Quick win",IF(M162&gt;=100,"Strategic priority",IF(M162&gt;=30,"Long-term investment","Low priority / avoid"))))</f>
        <v/>
      </c>
      <c r="O162" s="22"/>
      <c r="P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6"/>
      <c r="G163" s="22"/>
      <c r="H163" s="22"/>
      <c r="I163" s="22"/>
      <c r="J163" s="22"/>
      <c r="K163" s="22"/>
      <c r="L163" s="22"/>
      <c r="M163" s="27" t="str">
        <f aca="false">IF(COUNT(H163:L163)=5,H163*I163*J163*K163/L163,"")</f>
        <v/>
      </c>
      <c r="N163" s="28" t="str">
        <f aca="false">IF(M163="","",IF(AND(M163&gt;=100,L163&lt;=2),"Quick win",IF(M163&gt;=100,"Strategic priority",IF(M163&gt;=30,"Long-term investment","Low priority / avoid"))))</f>
        <v/>
      </c>
      <c r="O163" s="22"/>
      <c r="P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6"/>
      <c r="G164" s="22"/>
      <c r="H164" s="22"/>
      <c r="I164" s="22"/>
      <c r="J164" s="22"/>
      <c r="K164" s="22"/>
      <c r="L164" s="22"/>
      <c r="M164" s="27" t="str">
        <f aca="false">IF(COUNT(H164:L164)=5,H164*I164*J164*K164/L164,"")</f>
        <v/>
      </c>
      <c r="N164" s="28" t="str">
        <f aca="false">IF(M164="","",IF(AND(M164&gt;=100,L164&lt;=2),"Quick win",IF(M164&gt;=100,"Strategic priority",IF(M164&gt;=30,"Long-term investment","Low priority / avoid"))))</f>
        <v/>
      </c>
      <c r="O164" s="22"/>
      <c r="P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6"/>
      <c r="G165" s="22"/>
      <c r="H165" s="22"/>
      <c r="I165" s="22"/>
      <c r="J165" s="22"/>
      <c r="K165" s="22"/>
      <c r="L165" s="22"/>
      <c r="M165" s="27" t="str">
        <f aca="false">IF(COUNT(H165:L165)=5,H165*I165*J165*K165/L165,"")</f>
        <v/>
      </c>
      <c r="N165" s="28" t="str">
        <f aca="false">IF(M165="","",IF(AND(M165&gt;=100,L165&lt;=2),"Quick win",IF(M165&gt;=100,"Strategic priority",IF(M165&gt;=30,"Long-term investment","Low priority / avoid"))))</f>
        <v/>
      </c>
      <c r="O165" s="22"/>
      <c r="P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6"/>
      <c r="G166" s="22"/>
      <c r="H166" s="22"/>
      <c r="I166" s="22"/>
      <c r="J166" s="22"/>
      <c r="K166" s="22"/>
      <c r="L166" s="22"/>
      <c r="M166" s="27" t="str">
        <f aca="false">IF(COUNT(H166:L166)=5,H166*I166*J166*K166/L166,"")</f>
        <v/>
      </c>
      <c r="N166" s="28" t="str">
        <f aca="false">IF(M166="","",IF(AND(M166&gt;=100,L166&lt;=2),"Quick win",IF(M166&gt;=100,"Strategic priority",IF(M166&gt;=30,"Long-term investment","Low priority / avoid"))))</f>
        <v/>
      </c>
      <c r="O166" s="22"/>
      <c r="P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6"/>
      <c r="G167" s="22"/>
      <c r="H167" s="22"/>
      <c r="I167" s="22"/>
      <c r="J167" s="22"/>
      <c r="K167" s="22"/>
      <c r="L167" s="22"/>
      <c r="M167" s="27" t="str">
        <f aca="false">IF(COUNT(H167:L167)=5,H167*I167*J167*K167/L167,"")</f>
        <v/>
      </c>
      <c r="N167" s="28" t="str">
        <f aca="false">IF(M167="","",IF(AND(M167&gt;=100,L167&lt;=2),"Quick win",IF(M167&gt;=100,"Strategic priority",IF(M167&gt;=30,"Long-term investment","Low priority / avoid"))))</f>
        <v/>
      </c>
      <c r="O167" s="22"/>
      <c r="P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6"/>
      <c r="G168" s="22"/>
      <c r="H168" s="22"/>
      <c r="I168" s="22"/>
      <c r="J168" s="22"/>
      <c r="K168" s="22"/>
      <c r="L168" s="22"/>
      <c r="M168" s="27" t="str">
        <f aca="false">IF(COUNT(H168:L168)=5,H168*I168*J168*K168/L168,"")</f>
        <v/>
      </c>
      <c r="N168" s="28" t="str">
        <f aca="false">IF(M168="","",IF(AND(M168&gt;=100,L168&lt;=2),"Quick win",IF(M168&gt;=100,"Strategic priority",IF(M168&gt;=30,"Long-term investment","Low priority / avoid"))))</f>
        <v/>
      </c>
      <c r="O168" s="22"/>
      <c r="P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6"/>
      <c r="G169" s="22"/>
      <c r="H169" s="22"/>
      <c r="I169" s="22"/>
      <c r="J169" s="22"/>
      <c r="K169" s="22"/>
      <c r="L169" s="22"/>
      <c r="M169" s="27" t="str">
        <f aca="false">IF(COUNT(H169:L169)=5,H169*I169*J169*K169/L169,"")</f>
        <v/>
      </c>
      <c r="N169" s="28" t="str">
        <f aca="false">IF(M169="","",IF(AND(M169&gt;=100,L169&lt;=2),"Quick win",IF(M169&gt;=100,"Strategic priority",IF(M169&gt;=30,"Long-term investment","Low priority / avoid"))))</f>
        <v/>
      </c>
      <c r="O169" s="22"/>
      <c r="P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6"/>
      <c r="G170" s="22"/>
      <c r="H170" s="22"/>
      <c r="I170" s="22"/>
      <c r="J170" s="22"/>
      <c r="K170" s="22"/>
      <c r="L170" s="22"/>
      <c r="M170" s="27" t="str">
        <f aca="false">IF(COUNT(H170:L170)=5,H170*I170*J170*K170/L170,"")</f>
        <v/>
      </c>
      <c r="N170" s="28" t="str">
        <f aca="false">IF(M170="","",IF(AND(M170&gt;=100,L170&lt;=2),"Quick win",IF(M170&gt;=100,"Strategic priority",IF(M170&gt;=30,"Long-term investment","Low priority / avoid"))))</f>
        <v/>
      </c>
      <c r="O170" s="22"/>
      <c r="P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6"/>
      <c r="G171" s="22"/>
      <c r="H171" s="22"/>
      <c r="I171" s="22"/>
      <c r="J171" s="22"/>
      <c r="K171" s="22"/>
      <c r="L171" s="22"/>
      <c r="M171" s="27" t="str">
        <f aca="false">IF(COUNT(H171:L171)=5,H171*I171*J171*K171/L171,"")</f>
        <v/>
      </c>
      <c r="N171" s="28" t="str">
        <f aca="false">IF(M171="","",IF(AND(M171&gt;=100,L171&lt;=2),"Quick win",IF(M171&gt;=100,"Strategic priority",IF(M171&gt;=30,"Long-term investment","Low priority / avoid"))))</f>
        <v/>
      </c>
      <c r="O171" s="22"/>
      <c r="P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6"/>
      <c r="G172" s="22"/>
      <c r="H172" s="22"/>
      <c r="I172" s="22"/>
      <c r="J172" s="22"/>
      <c r="K172" s="22"/>
      <c r="L172" s="22"/>
      <c r="M172" s="27" t="str">
        <f aca="false">IF(COUNT(H172:L172)=5,H172*I172*J172*K172/L172,"")</f>
        <v/>
      </c>
      <c r="N172" s="28" t="str">
        <f aca="false">IF(M172="","",IF(AND(M172&gt;=100,L172&lt;=2),"Quick win",IF(M172&gt;=100,"Strategic priority",IF(M172&gt;=30,"Long-term investment","Low priority / avoid"))))</f>
        <v/>
      </c>
      <c r="O172" s="22"/>
      <c r="P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6"/>
      <c r="G173" s="22"/>
      <c r="H173" s="22"/>
      <c r="I173" s="22"/>
      <c r="J173" s="22"/>
      <c r="K173" s="22"/>
      <c r="L173" s="22"/>
      <c r="M173" s="27" t="str">
        <f aca="false">IF(COUNT(H173:L173)=5,H173*I173*J173*K173/L173,"")</f>
        <v/>
      </c>
      <c r="N173" s="28" t="str">
        <f aca="false">IF(M173="","",IF(AND(M173&gt;=100,L173&lt;=2),"Quick win",IF(M173&gt;=100,"Strategic priority",IF(M173&gt;=30,"Long-term investment","Low priority / avoid"))))</f>
        <v/>
      </c>
      <c r="O173" s="22"/>
      <c r="P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6"/>
      <c r="G174" s="22"/>
      <c r="H174" s="22"/>
      <c r="I174" s="22"/>
      <c r="J174" s="22"/>
      <c r="K174" s="22"/>
      <c r="L174" s="22"/>
      <c r="M174" s="27" t="str">
        <f aca="false">IF(COUNT(H174:L174)=5,H174*I174*J174*K174/L174,"")</f>
        <v/>
      </c>
      <c r="N174" s="28" t="str">
        <f aca="false">IF(M174="","",IF(AND(M174&gt;=100,L174&lt;=2),"Quick win",IF(M174&gt;=100,"Strategic priority",IF(M174&gt;=30,"Long-term investment","Low priority / avoid"))))</f>
        <v/>
      </c>
      <c r="O174" s="22"/>
      <c r="P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6"/>
      <c r="G175" s="22"/>
      <c r="H175" s="22"/>
      <c r="I175" s="22"/>
      <c r="J175" s="22"/>
      <c r="K175" s="22"/>
      <c r="L175" s="22"/>
      <c r="M175" s="27" t="str">
        <f aca="false">IF(COUNT(H175:L175)=5,H175*I175*J175*K175/L175,"")</f>
        <v/>
      </c>
      <c r="N175" s="28" t="str">
        <f aca="false">IF(M175="","",IF(AND(M175&gt;=100,L175&lt;=2),"Quick win",IF(M175&gt;=100,"Strategic priority",IF(M175&gt;=30,"Long-term investment","Low priority / avoid"))))</f>
        <v/>
      </c>
      <c r="O175" s="22"/>
      <c r="P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6"/>
      <c r="G176" s="22"/>
      <c r="H176" s="22"/>
      <c r="I176" s="22"/>
      <c r="J176" s="22"/>
      <c r="K176" s="22"/>
      <c r="L176" s="22"/>
      <c r="M176" s="27" t="str">
        <f aca="false">IF(COUNT(H176:L176)=5,H176*I176*J176*K176/L176,"")</f>
        <v/>
      </c>
      <c r="N176" s="28" t="str">
        <f aca="false">IF(M176="","",IF(AND(M176&gt;=100,L176&lt;=2),"Quick win",IF(M176&gt;=100,"Strategic priority",IF(M176&gt;=30,"Long-term investment","Low priority / avoid"))))</f>
        <v/>
      </c>
      <c r="O176" s="22"/>
      <c r="P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6"/>
      <c r="G177" s="22"/>
      <c r="H177" s="22"/>
      <c r="I177" s="22"/>
      <c r="J177" s="22"/>
      <c r="K177" s="22"/>
      <c r="L177" s="22"/>
      <c r="M177" s="27" t="str">
        <f aca="false">IF(COUNT(H177:L177)=5,H177*I177*J177*K177/L177,"")</f>
        <v/>
      </c>
      <c r="N177" s="28" t="str">
        <f aca="false">IF(M177="","",IF(AND(M177&gt;=100,L177&lt;=2),"Quick win",IF(M177&gt;=100,"Strategic priority",IF(M177&gt;=30,"Long-term investment","Low priority / avoid"))))</f>
        <v/>
      </c>
      <c r="O177" s="22"/>
      <c r="P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6"/>
      <c r="G178" s="22"/>
      <c r="H178" s="22"/>
      <c r="I178" s="22"/>
      <c r="J178" s="22"/>
      <c r="K178" s="22"/>
      <c r="L178" s="22"/>
      <c r="M178" s="27" t="str">
        <f aca="false">IF(COUNT(H178:L178)=5,H178*I178*J178*K178/L178,"")</f>
        <v/>
      </c>
      <c r="N178" s="28" t="str">
        <f aca="false">IF(M178="","",IF(AND(M178&gt;=100,L178&lt;=2),"Quick win",IF(M178&gt;=100,"Strategic priority",IF(M178&gt;=30,"Long-term investment","Low priority / avoid"))))</f>
        <v/>
      </c>
      <c r="O178" s="22"/>
      <c r="P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6"/>
      <c r="G179" s="22"/>
      <c r="H179" s="22"/>
      <c r="I179" s="22"/>
      <c r="J179" s="22"/>
      <c r="K179" s="22"/>
      <c r="L179" s="22"/>
      <c r="M179" s="27" t="str">
        <f aca="false">IF(COUNT(H179:L179)=5,H179*I179*J179*K179/L179,"")</f>
        <v/>
      </c>
      <c r="N179" s="28" t="str">
        <f aca="false">IF(M179="","",IF(AND(M179&gt;=100,L179&lt;=2),"Quick win",IF(M179&gt;=100,"Strategic priority",IF(M179&gt;=30,"Long-term investment","Low priority / avoid"))))</f>
        <v/>
      </c>
      <c r="O179" s="22"/>
      <c r="P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6"/>
      <c r="G180" s="22"/>
      <c r="H180" s="22"/>
      <c r="I180" s="22"/>
      <c r="J180" s="22"/>
      <c r="K180" s="22"/>
      <c r="L180" s="22"/>
      <c r="M180" s="27" t="str">
        <f aca="false">IF(COUNT(H180:L180)=5,H180*I180*J180*K180/L180,"")</f>
        <v/>
      </c>
      <c r="N180" s="28" t="str">
        <f aca="false">IF(M180="","",IF(AND(M180&gt;=100,L180&lt;=2),"Quick win",IF(M180&gt;=100,"Strategic priority",IF(M180&gt;=30,"Long-term investment","Low priority / avoid"))))</f>
        <v/>
      </c>
      <c r="O180" s="22"/>
      <c r="P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6"/>
      <c r="G181" s="22"/>
      <c r="H181" s="22"/>
      <c r="I181" s="22"/>
      <c r="J181" s="22"/>
      <c r="K181" s="22"/>
      <c r="L181" s="22"/>
      <c r="M181" s="27" t="str">
        <f aca="false">IF(COUNT(H181:L181)=5,H181*I181*J181*K181/L181,"")</f>
        <v/>
      </c>
      <c r="N181" s="28" t="str">
        <f aca="false">IF(M181="","",IF(AND(M181&gt;=100,L181&lt;=2),"Quick win",IF(M181&gt;=100,"Strategic priority",IF(M181&gt;=30,"Long-term investment","Low priority / avoid"))))</f>
        <v/>
      </c>
      <c r="O181" s="22"/>
      <c r="P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6"/>
      <c r="G182" s="22"/>
      <c r="H182" s="22"/>
      <c r="I182" s="22"/>
      <c r="J182" s="22"/>
      <c r="K182" s="22"/>
      <c r="L182" s="22"/>
      <c r="M182" s="27" t="str">
        <f aca="false">IF(COUNT(H182:L182)=5,H182*I182*J182*K182/L182,"")</f>
        <v/>
      </c>
      <c r="N182" s="28" t="str">
        <f aca="false">IF(M182="","",IF(AND(M182&gt;=100,L182&lt;=2),"Quick win",IF(M182&gt;=100,"Strategic priority",IF(M182&gt;=30,"Long-term investment","Low priority / avoid"))))</f>
        <v/>
      </c>
      <c r="O182" s="22"/>
      <c r="P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6"/>
      <c r="G183" s="22"/>
      <c r="H183" s="22"/>
      <c r="I183" s="22"/>
      <c r="J183" s="22"/>
      <c r="K183" s="22"/>
      <c r="L183" s="22"/>
      <c r="M183" s="27" t="str">
        <f aca="false">IF(COUNT(H183:L183)=5,H183*I183*J183*K183/L183,"")</f>
        <v/>
      </c>
      <c r="N183" s="28" t="str">
        <f aca="false">IF(M183="","",IF(AND(M183&gt;=100,L183&lt;=2),"Quick win",IF(M183&gt;=100,"Strategic priority",IF(M183&gt;=30,"Long-term investment","Low priority / avoid"))))</f>
        <v/>
      </c>
      <c r="O183" s="22"/>
      <c r="P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6"/>
      <c r="G184" s="22"/>
      <c r="H184" s="22"/>
      <c r="I184" s="22"/>
      <c r="J184" s="22"/>
      <c r="K184" s="22"/>
      <c r="L184" s="22"/>
      <c r="M184" s="27" t="str">
        <f aca="false">IF(COUNT(H184:L184)=5,H184*I184*J184*K184/L184,"")</f>
        <v/>
      </c>
      <c r="N184" s="28" t="str">
        <f aca="false">IF(M184="","",IF(AND(M184&gt;=100,L184&lt;=2),"Quick win",IF(M184&gt;=100,"Strategic priority",IF(M184&gt;=30,"Long-term investment","Low priority / avoid"))))</f>
        <v/>
      </c>
      <c r="O184" s="22"/>
      <c r="P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6"/>
      <c r="G185" s="22"/>
      <c r="H185" s="22"/>
      <c r="I185" s="22"/>
      <c r="J185" s="22"/>
      <c r="K185" s="22"/>
      <c r="L185" s="22"/>
      <c r="M185" s="27" t="str">
        <f aca="false">IF(COUNT(H185:L185)=5,H185*I185*J185*K185/L185,"")</f>
        <v/>
      </c>
      <c r="N185" s="28" t="str">
        <f aca="false">IF(M185="","",IF(AND(M185&gt;=100,L185&lt;=2),"Quick win",IF(M185&gt;=100,"Strategic priority",IF(M185&gt;=30,"Long-term investment","Low priority / avoid"))))</f>
        <v/>
      </c>
      <c r="O185" s="22"/>
      <c r="P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6"/>
      <c r="G186" s="22"/>
      <c r="H186" s="22"/>
      <c r="I186" s="22"/>
      <c r="J186" s="22"/>
      <c r="K186" s="22"/>
      <c r="L186" s="22"/>
      <c r="M186" s="27" t="str">
        <f aca="false">IF(COUNT(H186:L186)=5,H186*I186*J186*K186/L186,"")</f>
        <v/>
      </c>
      <c r="N186" s="28" t="str">
        <f aca="false">IF(M186="","",IF(AND(M186&gt;=100,L186&lt;=2),"Quick win",IF(M186&gt;=100,"Strategic priority",IF(M186&gt;=30,"Long-term investment","Low priority / avoid"))))</f>
        <v/>
      </c>
      <c r="O186" s="22"/>
      <c r="P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6"/>
      <c r="G187" s="22"/>
      <c r="H187" s="22"/>
      <c r="I187" s="22"/>
      <c r="J187" s="22"/>
      <c r="K187" s="22"/>
      <c r="L187" s="22"/>
      <c r="M187" s="27" t="str">
        <f aca="false">IF(COUNT(H187:L187)=5,H187*I187*J187*K187/L187,"")</f>
        <v/>
      </c>
      <c r="N187" s="28" t="str">
        <f aca="false">IF(M187="","",IF(AND(M187&gt;=100,L187&lt;=2),"Quick win",IF(M187&gt;=100,"Strategic priority",IF(M187&gt;=30,"Long-term investment","Low priority / avoid"))))</f>
        <v/>
      </c>
      <c r="O187" s="22"/>
      <c r="P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6"/>
      <c r="G188" s="22"/>
      <c r="H188" s="22"/>
      <c r="I188" s="22"/>
      <c r="J188" s="22"/>
      <c r="K188" s="22"/>
      <c r="L188" s="22"/>
      <c r="M188" s="27" t="str">
        <f aca="false">IF(COUNT(H188:L188)=5,H188*I188*J188*K188/L188,"")</f>
        <v/>
      </c>
      <c r="N188" s="28" t="str">
        <f aca="false">IF(M188="","",IF(AND(M188&gt;=100,L188&lt;=2),"Quick win",IF(M188&gt;=100,"Strategic priority",IF(M188&gt;=30,"Long-term investment","Low priority / avoid"))))</f>
        <v/>
      </c>
      <c r="O188" s="22"/>
      <c r="P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6"/>
      <c r="G189" s="22"/>
      <c r="H189" s="22"/>
      <c r="I189" s="22"/>
      <c r="J189" s="22"/>
      <c r="K189" s="22"/>
      <c r="L189" s="22"/>
      <c r="M189" s="27" t="str">
        <f aca="false">IF(COUNT(H189:L189)=5,H189*I189*J189*K189/L189,"")</f>
        <v/>
      </c>
      <c r="N189" s="28" t="str">
        <f aca="false">IF(M189="","",IF(AND(M189&gt;=100,L189&lt;=2),"Quick win",IF(M189&gt;=100,"Strategic priority",IF(M189&gt;=30,"Long-term investment","Low priority / avoid"))))</f>
        <v/>
      </c>
      <c r="O189" s="22"/>
      <c r="P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6"/>
      <c r="G190" s="22"/>
      <c r="H190" s="22"/>
      <c r="I190" s="22"/>
      <c r="J190" s="22"/>
      <c r="K190" s="22"/>
      <c r="L190" s="22"/>
      <c r="M190" s="27" t="str">
        <f aca="false">IF(COUNT(H190:L190)=5,H190*I190*J190*K190/L190,"")</f>
        <v/>
      </c>
      <c r="N190" s="28" t="str">
        <f aca="false">IF(M190="","",IF(AND(M190&gt;=100,L190&lt;=2),"Quick win",IF(M190&gt;=100,"Strategic priority",IF(M190&gt;=30,"Long-term investment","Low priority / avoid"))))</f>
        <v/>
      </c>
      <c r="O190" s="22"/>
      <c r="P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6"/>
      <c r="G191" s="22"/>
      <c r="H191" s="22"/>
      <c r="I191" s="22"/>
      <c r="J191" s="22"/>
      <c r="K191" s="22"/>
      <c r="L191" s="22"/>
      <c r="M191" s="27" t="str">
        <f aca="false">IF(COUNT(H191:L191)=5,H191*I191*J191*K191/L191,"")</f>
        <v/>
      </c>
      <c r="N191" s="28" t="str">
        <f aca="false">IF(M191="","",IF(AND(M191&gt;=100,L191&lt;=2),"Quick win",IF(M191&gt;=100,"Strategic priority",IF(M191&gt;=30,"Long-term investment","Low priority / avoid"))))</f>
        <v/>
      </c>
      <c r="O191" s="22"/>
      <c r="P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6"/>
      <c r="G192" s="22"/>
      <c r="H192" s="22"/>
      <c r="I192" s="22"/>
      <c r="J192" s="22"/>
      <c r="K192" s="22"/>
      <c r="L192" s="22"/>
      <c r="M192" s="27" t="str">
        <f aca="false">IF(COUNT(H192:L192)=5,H192*I192*J192*K192/L192,"")</f>
        <v/>
      </c>
      <c r="N192" s="28" t="str">
        <f aca="false">IF(M192="","",IF(AND(M192&gt;=100,L192&lt;=2),"Quick win",IF(M192&gt;=100,"Strategic priority",IF(M192&gt;=30,"Long-term investment","Low priority / avoid"))))</f>
        <v/>
      </c>
      <c r="O192" s="22"/>
      <c r="P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6"/>
      <c r="G193" s="22"/>
      <c r="H193" s="22"/>
      <c r="I193" s="22"/>
      <c r="J193" s="22"/>
      <c r="K193" s="22"/>
      <c r="L193" s="22"/>
      <c r="M193" s="27" t="str">
        <f aca="false">IF(COUNT(H193:L193)=5,H193*I193*J193*K193/L193,"")</f>
        <v/>
      </c>
      <c r="N193" s="28" t="str">
        <f aca="false">IF(M193="","",IF(AND(M193&gt;=100,L193&lt;=2),"Quick win",IF(M193&gt;=100,"Strategic priority",IF(M193&gt;=30,"Long-term investment","Low priority / avoid"))))</f>
        <v/>
      </c>
      <c r="O193" s="22"/>
      <c r="P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6"/>
      <c r="G194" s="22"/>
      <c r="H194" s="22"/>
      <c r="I194" s="22"/>
      <c r="J194" s="22"/>
      <c r="K194" s="22"/>
      <c r="L194" s="22"/>
      <c r="M194" s="27" t="str">
        <f aca="false">IF(COUNT(H194:L194)=5,H194*I194*J194*K194/L194,"")</f>
        <v/>
      </c>
      <c r="N194" s="28" t="str">
        <f aca="false">IF(M194="","",IF(AND(M194&gt;=100,L194&lt;=2),"Quick win",IF(M194&gt;=100,"Strategic priority",IF(M194&gt;=30,"Long-term investment","Low priority / avoid"))))</f>
        <v/>
      </c>
      <c r="O194" s="22"/>
      <c r="P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6"/>
      <c r="G195" s="22"/>
      <c r="H195" s="22"/>
      <c r="I195" s="22"/>
      <c r="J195" s="22"/>
      <c r="K195" s="22"/>
      <c r="L195" s="22"/>
      <c r="M195" s="27" t="str">
        <f aca="false">IF(COUNT(H195:L195)=5,H195*I195*J195*K195/L195,"")</f>
        <v/>
      </c>
      <c r="N195" s="28" t="str">
        <f aca="false">IF(M195="","",IF(AND(M195&gt;=100,L195&lt;=2),"Quick win",IF(M195&gt;=100,"Strategic priority",IF(M195&gt;=30,"Long-term investment","Low priority / avoid"))))</f>
        <v/>
      </c>
      <c r="O195" s="22"/>
      <c r="P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6"/>
      <c r="G196" s="22"/>
      <c r="H196" s="22"/>
      <c r="I196" s="22"/>
      <c r="J196" s="22"/>
      <c r="K196" s="22"/>
      <c r="L196" s="22"/>
      <c r="M196" s="27" t="str">
        <f aca="false">IF(COUNT(H196:L196)=5,H196*I196*J196*K196/L196,"")</f>
        <v/>
      </c>
      <c r="N196" s="28" t="str">
        <f aca="false">IF(M196="","",IF(AND(M196&gt;=100,L196&lt;=2),"Quick win",IF(M196&gt;=100,"Strategic priority",IF(M196&gt;=30,"Long-term investment","Low priority / avoid"))))</f>
        <v/>
      </c>
      <c r="O196" s="22"/>
      <c r="P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6"/>
      <c r="G197" s="22"/>
      <c r="H197" s="22"/>
      <c r="I197" s="22"/>
      <c r="J197" s="22"/>
      <c r="K197" s="22"/>
      <c r="L197" s="22"/>
      <c r="M197" s="27" t="str">
        <f aca="false">IF(COUNT(H197:L197)=5,H197*I197*J197*K197/L197,"")</f>
        <v/>
      </c>
      <c r="N197" s="28" t="str">
        <f aca="false">IF(M197="","",IF(AND(M197&gt;=100,L197&lt;=2),"Quick win",IF(M197&gt;=100,"Strategic priority",IF(M197&gt;=30,"Long-term investment","Low priority / avoid"))))</f>
        <v/>
      </c>
      <c r="O197" s="22"/>
      <c r="P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6"/>
      <c r="G198" s="22"/>
      <c r="H198" s="22"/>
      <c r="I198" s="22"/>
      <c r="J198" s="22"/>
      <c r="K198" s="22"/>
      <c r="L198" s="22"/>
      <c r="M198" s="27" t="str">
        <f aca="false">IF(COUNT(H198:L198)=5,H198*I198*J198*K198/L198,"")</f>
        <v/>
      </c>
      <c r="N198" s="28" t="str">
        <f aca="false">IF(M198="","",IF(AND(M198&gt;=100,L198&lt;=2),"Quick win",IF(M198&gt;=100,"Strategic priority",IF(M198&gt;=30,"Long-term investment","Low priority / avoid"))))</f>
        <v/>
      </c>
      <c r="O198" s="22"/>
      <c r="P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6"/>
      <c r="G199" s="22"/>
      <c r="H199" s="22"/>
      <c r="I199" s="22"/>
      <c r="J199" s="22"/>
      <c r="K199" s="22"/>
      <c r="L199" s="22"/>
      <c r="M199" s="27" t="str">
        <f aca="false">IF(COUNT(H199:L199)=5,H199*I199*J199*K199/L199,"")</f>
        <v/>
      </c>
      <c r="N199" s="28" t="str">
        <f aca="false">IF(M199="","",IF(AND(M199&gt;=100,L199&lt;=2),"Quick win",IF(M199&gt;=100,"Strategic priority",IF(M199&gt;=30,"Long-term investment","Low priority / avoid"))))</f>
        <v/>
      </c>
      <c r="O199" s="22"/>
      <c r="P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6"/>
      <c r="G200" s="22"/>
      <c r="H200" s="22"/>
      <c r="I200" s="22"/>
      <c r="J200" s="22"/>
      <c r="K200" s="22"/>
      <c r="L200" s="22"/>
      <c r="M200" s="27" t="str">
        <f aca="false">IF(COUNT(H200:L200)=5,H200*I200*J200*K200/L200,"")</f>
        <v/>
      </c>
      <c r="N200" s="28" t="str">
        <f aca="false">IF(M200="","",IF(AND(M200&gt;=100,L200&lt;=2),"Quick win",IF(M200&gt;=100,"Strategic priority",IF(M200&gt;=30,"Long-term investment","Low priority / avoid"))))</f>
        <v/>
      </c>
      <c r="O200" s="22"/>
      <c r="P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6"/>
      <c r="G201" s="22"/>
      <c r="H201" s="22"/>
      <c r="I201" s="22"/>
      <c r="J201" s="22"/>
      <c r="K201" s="22"/>
      <c r="L201" s="22"/>
      <c r="M201" s="27" t="str">
        <f aca="false">IF(COUNT(H201:L201)=5,H201*I201*J201*K201/L201,"")</f>
        <v/>
      </c>
      <c r="N201" s="28" t="str">
        <f aca="false">IF(M201="","",IF(AND(M201&gt;=100,L201&lt;=2),"Quick win",IF(M201&gt;=100,"Strategic priority",IF(M201&gt;=30,"Long-term investment","Low priority / avoid"))))</f>
        <v/>
      </c>
      <c r="O201" s="22"/>
      <c r="P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6"/>
      <c r="G202" s="22"/>
      <c r="H202" s="22"/>
      <c r="I202" s="22"/>
      <c r="J202" s="22"/>
      <c r="K202" s="22"/>
      <c r="L202" s="22"/>
      <c r="M202" s="27" t="str">
        <f aca="false">IF(COUNT(H202:L202)=5,H202*I202*J202*K202/L202,"")</f>
        <v/>
      </c>
      <c r="N202" s="28" t="str">
        <f aca="false">IF(M202="","",IF(AND(M202&gt;=100,L202&lt;=2),"Quick win",IF(M202&gt;=100,"Strategic priority",IF(M202&gt;=30,"Long-term investment","Low priority / avoid"))))</f>
        <v/>
      </c>
      <c r="O202" s="22"/>
      <c r="P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6"/>
      <c r="G203" s="22"/>
      <c r="H203" s="22"/>
      <c r="I203" s="22"/>
      <c r="J203" s="22"/>
      <c r="K203" s="22"/>
      <c r="L203" s="22"/>
      <c r="M203" s="27" t="str">
        <f aca="false">IF(COUNT(H203:L203)=5,H203*I203*J203*K203/L203,"")</f>
        <v/>
      </c>
      <c r="N203" s="28" t="str">
        <f aca="false">IF(M203="","",IF(AND(M203&gt;=100,L203&lt;=2),"Quick win",IF(M203&gt;=100,"Strategic priority",IF(M203&gt;=30,"Long-term investment","Low priority / avoid"))))</f>
        <v/>
      </c>
      <c r="O203" s="22"/>
      <c r="P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6"/>
      <c r="G204" s="22"/>
      <c r="H204" s="22"/>
      <c r="I204" s="22"/>
      <c r="J204" s="22"/>
      <c r="K204" s="22"/>
      <c r="L204" s="22"/>
      <c r="M204" s="27" t="str">
        <f aca="false">IF(COUNT(H204:L204)=5,H204*I204*J204*K204/L204,"")</f>
        <v/>
      </c>
      <c r="N204" s="28" t="str">
        <f aca="false">IF(M204="","",IF(AND(M204&gt;=100,L204&lt;=2),"Quick win",IF(M204&gt;=100,"Strategic priority",IF(M204&gt;=30,"Long-term investment","Low priority / avoid"))))</f>
        <v/>
      </c>
      <c r="O204" s="22"/>
      <c r="P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6"/>
      <c r="G205" s="22"/>
      <c r="H205" s="22"/>
      <c r="I205" s="22"/>
      <c r="J205" s="22"/>
      <c r="K205" s="22"/>
      <c r="L205" s="22"/>
      <c r="M205" s="27" t="str">
        <f aca="false">IF(COUNT(H205:L205)=5,H205*I205*J205*K205/L205,"")</f>
        <v/>
      </c>
      <c r="N205" s="28" t="str">
        <f aca="false">IF(M205="","",IF(AND(M205&gt;=100,L205&lt;=2),"Quick win",IF(M205&gt;=100,"Strategic priority",IF(M205&gt;=30,"Long-term investment","Low priority / avoid"))))</f>
        <v/>
      </c>
      <c r="O205" s="22"/>
      <c r="P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6"/>
      <c r="G206" s="22"/>
      <c r="H206" s="22"/>
      <c r="I206" s="22"/>
      <c r="J206" s="22"/>
      <c r="K206" s="22"/>
      <c r="L206" s="22"/>
      <c r="M206" s="27" t="str">
        <f aca="false">IF(COUNT(H206:L206)=5,H206*I206*J206*K206/L206,"")</f>
        <v/>
      </c>
      <c r="N206" s="28" t="str">
        <f aca="false">IF(M206="","",IF(AND(M206&gt;=100,L206&lt;=2),"Quick win",IF(M206&gt;=100,"Strategic priority",IF(M206&gt;=30,"Long-term investment","Low priority / avoid"))))</f>
        <v/>
      </c>
      <c r="O206" s="22"/>
      <c r="P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6"/>
      <c r="G207" s="22"/>
      <c r="H207" s="22"/>
      <c r="I207" s="22"/>
      <c r="J207" s="22"/>
      <c r="K207" s="22"/>
      <c r="L207" s="22"/>
      <c r="M207" s="27" t="str">
        <f aca="false">IF(COUNT(H207:L207)=5,H207*I207*J207*K207/L207,"")</f>
        <v/>
      </c>
      <c r="N207" s="28" t="str">
        <f aca="false">IF(M207="","",IF(AND(M207&gt;=100,L207&lt;=2),"Quick win",IF(M207&gt;=100,"Strategic priority",IF(M207&gt;=30,"Long-term investment","Low priority / avoid"))))</f>
        <v/>
      </c>
      <c r="O207" s="22"/>
      <c r="P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6"/>
      <c r="G208" s="22"/>
      <c r="H208" s="22"/>
      <c r="I208" s="22"/>
      <c r="J208" s="22"/>
      <c r="K208" s="22"/>
      <c r="L208" s="22"/>
      <c r="M208" s="27" t="str">
        <f aca="false">IF(COUNT(H208:L208)=5,H208*I208*J208*K208/L208,"")</f>
        <v/>
      </c>
      <c r="N208" s="28" t="str">
        <f aca="false">IF(M208="","",IF(AND(M208&gt;=100,L208&lt;=2),"Quick win",IF(M208&gt;=100,"Strategic priority",IF(M208&gt;=30,"Long-term investment","Low priority / avoid"))))</f>
        <v/>
      </c>
      <c r="O208" s="22"/>
      <c r="P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6"/>
      <c r="G209" s="22"/>
      <c r="H209" s="22"/>
      <c r="I209" s="22"/>
      <c r="J209" s="22"/>
      <c r="K209" s="22"/>
      <c r="L209" s="22"/>
      <c r="M209" s="27" t="str">
        <f aca="false">IF(COUNT(H209:L209)=5,H209*I209*J209*K209/L209,"")</f>
        <v/>
      </c>
      <c r="N209" s="28" t="str">
        <f aca="false">IF(M209="","",IF(AND(M209&gt;=100,L209&lt;=2),"Quick win",IF(M209&gt;=100,"Strategic priority",IF(M209&gt;=30,"Long-term investment","Low priority / avoid"))))</f>
        <v/>
      </c>
      <c r="O209" s="22"/>
      <c r="P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6"/>
      <c r="G210" s="22"/>
      <c r="H210" s="22"/>
      <c r="I210" s="22"/>
      <c r="J210" s="22"/>
      <c r="K210" s="22"/>
      <c r="L210" s="22"/>
      <c r="M210" s="27" t="str">
        <f aca="false">IF(COUNT(H210:L210)=5,H210*I210*J210*K210/L210,"")</f>
        <v/>
      </c>
      <c r="N210" s="28" t="str">
        <f aca="false">IF(M210="","",IF(AND(M210&gt;=100,L210&lt;=2),"Quick win",IF(M210&gt;=100,"Strategic priority",IF(M210&gt;=30,"Long-term investment","Low priority / avoid"))))</f>
        <v/>
      </c>
      <c r="O210" s="22"/>
      <c r="P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6"/>
      <c r="G211" s="22"/>
      <c r="H211" s="22"/>
      <c r="I211" s="22"/>
      <c r="J211" s="22"/>
      <c r="K211" s="22"/>
      <c r="L211" s="22"/>
      <c r="M211" s="27" t="str">
        <f aca="false">IF(COUNT(H211:L211)=5,H211*I211*J211*K211/L211,"")</f>
        <v/>
      </c>
      <c r="N211" s="28" t="str">
        <f aca="false">IF(M211="","",IF(AND(M211&gt;=100,L211&lt;=2),"Quick win",IF(M211&gt;=100,"Strategic priority",IF(M211&gt;=30,"Long-term investment","Low priority / avoid"))))</f>
        <v/>
      </c>
      <c r="O211" s="22"/>
      <c r="P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6"/>
      <c r="G212" s="22"/>
      <c r="H212" s="22"/>
      <c r="I212" s="22"/>
      <c r="J212" s="22"/>
      <c r="K212" s="22"/>
      <c r="L212" s="22"/>
      <c r="M212" s="27" t="str">
        <f aca="false">IF(COUNT(H212:L212)=5,H212*I212*J212*K212/L212,"")</f>
        <v/>
      </c>
      <c r="N212" s="28" t="str">
        <f aca="false">IF(M212="","",IF(AND(M212&gt;=100,L212&lt;=2),"Quick win",IF(M212&gt;=100,"Strategic priority",IF(M212&gt;=30,"Long-term investment","Low priority / avoid"))))</f>
        <v/>
      </c>
      <c r="O212" s="22"/>
      <c r="P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6"/>
      <c r="G213" s="22"/>
      <c r="H213" s="22"/>
      <c r="I213" s="22"/>
      <c r="J213" s="22"/>
      <c r="K213" s="22"/>
      <c r="L213" s="22"/>
      <c r="M213" s="27" t="str">
        <f aca="false">IF(COUNT(H213:L213)=5,H213*I213*J213*K213/L213,"")</f>
        <v/>
      </c>
      <c r="N213" s="28" t="str">
        <f aca="false">IF(M213="","",IF(AND(M213&gt;=100,L213&lt;=2),"Quick win",IF(M213&gt;=100,"Strategic priority",IF(M213&gt;=30,"Long-term investment","Low priority / avoid"))))</f>
        <v/>
      </c>
      <c r="O213" s="22"/>
      <c r="P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6"/>
      <c r="G214" s="22"/>
      <c r="H214" s="22"/>
      <c r="I214" s="22"/>
      <c r="J214" s="22"/>
      <c r="K214" s="22"/>
      <c r="L214" s="22"/>
      <c r="M214" s="27" t="str">
        <f aca="false">IF(COUNT(H214:L214)=5,H214*I214*J214*K214/L214,"")</f>
        <v/>
      </c>
      <c r="N214" s="28" t="str">
        <f aca="false">IF(M214="","",IF(AND(M214&gt;=100,L214&lt;=2),"Quick win",IF(M214&gt;=100,"Strategic priority",IF(M214&gt;=30,"Long-term investment","Low priority / avoid"))))</f>
        <v/>
      </c>
      <c r="O214" s="22"/>
      <c r="P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6"/>
      <c r="G215" s="22"/>
      <c r="H215" s="22"/>
      <c r="I215" s="22"/>
      <c r="J215" s="22"/>
      <c r="K215" s="22"/>
      <c r="L215" s="22"/>
      <c r="M215" s="27" t="str">
        <f aca="false">IF(COUNT(H215:L215)=5,H215*I215*J215*K215/L215,"")</f>
        <v/>
      </c>
      <c r="N215" s="28" t="str">
        <f aca="false">IF(M215="","",IF(AND(M215&gt;=100,L215&lt;=2),"Quick win",IF(M215&gt;=100,"Strategic priority",IF(M215&gt;=30,"Long-term investment","Low priority / avoid"))))</f>
        <v/>
      </c>
      <c r="O215" s="22"/>
      <c r="P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6"/>
      <c r="G216" s="22"/>
      <c r="H216" s="22"/>
      <c r="I216" s="22"/>
      <c r="J216" s="22"/>
      <c r="K216" s="22"/>
      <c r="L216" s="22"/>
      <c r="M216" s="27" t="str">
        <f aca="false">IF(COUNT(H216:L216)=5,H216*I216*J216*K216/L216,"")</f>
        <v/>
      </c>
      <c r="N216" s="28" t="str">
        <f aca="false">IF(M216="","",IF(AND(M216&gt;=100,L216&lt;=2),"Quick win",IF(M216&gt;=100,"Strategic priority",IF(M216&gt;=30,"Long-term investment","Low priority / avoid"))))</f>
        <v/>
      </c>
      <c r="O216" s="22"/>
      <c r="P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6"/>
      <c r="G217" s="22"/>
      <c r="H217" s="22"/>
      <c r="I217" s="22"/>
      <c r="J217" s="22"/>
      <c r="K217" s="22"/>
      <c r="L217" s="22"/>
      <c r="M217" s="27" t="str">
        <f aca="false">IF(COUNT(H217:L217)=5,H217*I217*J217*K217/L217,"")</f>
        <v/>
      </c>
      <c r="N217" s="28" t="str">
        <f aca="false">IF(M217="","",IF(AND(M217&gt;=100,L217&lt;=2),"Quick win",IF(M217&gt;=100,"Strategic priority",IF(M217&gt;=30,"Long-term investment","Low priority / avoid"))))</f>
        <v/>
      </c>
      <c r="O217" s="22"/>
      <c r="P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6"/>
      <c r="G218" s="22"/>
      <c r="H218" s="22"/>
      <c r="I218" s="22"/>
      <c r="J218" s="22"/>
      <c r="K218" s="22"/>
      <c r="L218" s="22"/>
      <c r="M218" s="27" t="str">
        <f aca="false">IF(COUNT(H218:L218)=5,H218*I218*J218*K218/L218,"")</f>
        <v/>
      </c>
      <c r="N218" s="28" t="str">
        <f aca="false">IF(M218="","",IF(AND(M218&gt;=100,L218&lt;=2),"Quick win",IF(M218&gt;=100,"Strategic priority",IF(M218&gt;=30,"Long-term investment","Low priority / avoid"))))</f>
        <v/>
      </c>
      <c r="O218" s="22"/>
      <c r="P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6"/>
      <c r="G219" s="22"/>
      <c r="H219" s="22"/>
      <c r="I219" s="22"/>
      <c r="J219" s="22"/>
      <c r="K219" s="22"/>
      <c r="L219" s="22"/>
      <c r="M219" s="27" t="str">
        <f aca="false">IF(COUNT(H219:L219)=5,H219*I219*J219*K219/L219,"")</f>
        <v/>
      </c>
      <c r="N219" s="28" t="str">
        <f aca="false">IF(M219="","",IF(AND(M219&gt;=100,L219&lt;=2),"Quick win",IF(M219&gt;=100,"Strategic priority",IF(M219&gt;=30,"Long-term investment","Low priority / avoid"))))</f>
        <v/>
      </c>
      <c r="O219" s="22"/>
      <c r="P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6"/>
      <c r="G220" s="22"/>
      <c r="H220" s="22"/>
      <c r="I220" s="22"/>
      <c r="J220" s="22"/>
      <c r="K220" s="22"/>
      <c r="L220" s="22"/>
      <c r="M220" s="27" t="str">
        <f aca="false">IF(COUNT(H220:L220)=5,H220*I220*J220*K220/L220,"")</f>
        <v/>
      </c>
      <c r="N220" s="28" t="str">
        <f aca="false">IF(M220="","",IF(AND(M220&gt;=100,L220&lt;=2),"Quick win",IF(M220&gt;=100,"Strategic priority",IF(M220&gt;=30,"Long-term investment","Low priority / avoid"))))</f>
        <v/>
      </c>
      <c r="O220" s="22"/>
      <c r="P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6"/>
      <c r="G221" s="22"/>
      <c r="H221" s="22"/>
      <c r="I221" s="22"/>
      <c r="J221" s="22"/>
      <c r="K221" s="22"/>
      <c r="L221" s="22"/>
      <c r="M221" s="27" t="str">
        <f aca="false">IF(COUNT(H221:L221)=5,H221*I221*J221*K221/L221,"")</f>
        <v/>
      </c>
      <c r="N221" s="28" t="str">
        <f aca="false">IF(M221="","",IF(AND(M221&gt;=100,L221&lt;=2),"Quick win",IF(M221&gt;=100,"Strategic priority",IF(M221&gt;=30,"Long-term investment","Low priority / avoid"))))</f>
        <v/>
      </c>
      <c r="O221" s="22"/>
      <c r="P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6"/>
      <c r="G222" s="22"/>
      <c r="H222" s="22"/>
      <c r="I222" s="22"/>
      <c r="J222" s="22"/>
      <c r="K222" s="22"/>
      <c r="L222" s="22"/>
      <c r="M222" s="27" t="str">
        <f aca="false">IF(COUNT(H222:L222)=5,H222*I222*J222*K222/L222,"")</f>
        <v/>
      </c>
      <c r="N222" s="28" t="str">
        <f aca="false">IF(M222="","",IF(AND(M222&gt;=100,L222&lt;=2),"Quick win",IF(M222&gt;=100,"Strategic priority",IF(M222&gt;=30,"Long-term investment","Low priority / avoid"))))</f>
        <v/>
      </c>
      <c r="O222" s="22"/>
      <c r="P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6"/>
      <c r="G223" s="22"/>
      <c r="H223" s="22"/>
      <c r="I223" s="22"/>
      <c r="J223" s="22"/>
      <c r="K223" s="22"/>
      <c r="L223" s="22"/>
      <c r="M223" s="27" t="str">
        <f aca="false">IF(COUNT(H223:L223)=5,H223*I223*J223*K223/L223,"")</f>
        <v/>
      </c>
      <c r="N223" s="28" t="str">
        <f aca="false">IF(M223="","",IF(AND(M223&gt;=100,L223&lt;=2),"Quick win",IF(M223&gt;=100,"Strategic priority",IF(M223&gt;=30,"Long-term investment","Low priority / avoid"))))</f>
        <v/>
      </c>
      <c r="O223" s="22"/>
      <c r="P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6"/>
      <c r="G224" s="22"/>
      <c r="H224" s="22"/>
      <c r="I224" s="22"/>
      <c r="J224" s="22"/>
      <c r="K224" s="22"/>
      <c r="L224" s="22"/>
      <c r="M224" s="27" t="str">
        <f aca="false">IF(COUNT(H224:L224)=5,H224*I224*J224*K224/L224,"")</f>
        <v/>
      </c>
      <c r="N224" s="28" t="str">
        <f aca="false">IF(M224="","",IF(AND(M224&gt;=100,L224&lt;=2),"Quick win",IF(M224&gt;=100,"Strategic priority",IF(M224&gt;=30,"Long-term investment","Low priority / avoid"))))</f>
        <v/>
      </c>
      <c r="O224" s="22"/>
      <c r="P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6"/>
      <c r="G225" s="22"/>
      <c r="H225" s="22"/>
      <c r="I225" s="22"/>
      <c r="J225" s="22"/>
      <c r="K225" s="22"/>
      <c r="L225" s="22"/>
      <c r="M225" s="27" t="str">
        <f aca="false">IF(COUNT(H225:L225)=5,H225*I225*J225*K225/L225,"")</f>
        <v/>
      </c>
      <c r="N225" s="28" t="str">
        <f aca="false">IF(M225="","",IF(AND(M225&gt;=100,L225&lt;=2),"Quick win",IF(M225&gt;=100,"Strategic priority",IF(M225&gt;=30,"Long-term investment","Low priority / avoid"))))</f>
        <v/>
      </c>
      <c r="O225" s="22"/>
      <c r="P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6"/>
      <c r="G226" s="22"/>
      <c r="H226" s="22"/>
      <c r="I226" s="22"/>
      <c r="J226" s="22"/>
      <c r="K226" s="22"/>
      <c r="L226" s="22"/>
      <c r="M226" s="27" t="str">
        <f aca="false">IF(COUNT(H226:L226)=5,H226*I226*J226*K226/L226,"")</f>
        <v/>
      </c>
      <c r="N226" s="28" t="str">
        <f aca="false">IF(M226="","",IF(AND(M226&gt;=100,L226&lt;=2),"Quick win",IF(M226&gt;=100,"Strategic priority",IF(M226&gt;=30,"Long-term investment","Low priority / avoid"))))</f>
        <v/>
      </c>
      <c r="O226" s="22"/>
      <c r="P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6"/>
      <c r="G227" s="22"/>
      <c r="H227" s="22"/>
      <c r="I227" s="22"/>
      <c r="J227" s="22"/>
      <c r="K227" s="22"/>
      <c r="L227" s="22"/>
      <c r="M227" s="27" t="str">
        <f aca="false">IF(COUNT(H227:L227)=5,H227*I227*J227*K227/L227,"")</f>
        <v/>
      </c>
      <c r="N227" s="28" t="str">
        <f aca="false">IF(M227="","",IF(AND(M227&gt;=100,L227&lt;=2),"Quick win",IF(M227&gt;=100,"Strategic priority",IF(M227&gt;=30,"Long-term investment","Low priority / avoid"))))</f>
        <v/>
      </c>
      <c r="O227" s="22"/>
      <c r="P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6"/>
      <c r="G228" s="22"/>
      <c r="H228" s="22"/>
      <c r="I228" s="22"/>
      <c r="J228" s="22"/>
      <c r="K228" s="22"/>
      <c r="L228" s="22"/>
      <c r="M228" s="27" t="str">
        <f aca="false">IF(COUNT(H228:L228)=5,H228*I228*J228*K228/L228,"")</f>
        <v/>
      </c>
      <c r="N228" s="28" t="str">
        <f aca="false">IF(M228="","",IF(AND(M228&gt;=100,L228&lt;=2),"Quick win",IF(M228&gt;=100,"Strategic priority",IF(M228&gt;=30,"Long-term investment","Low priority / avoid"))))</f>
        <v/>
      </c>
      <c r="O228" s="22"/>
      <c r="P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6"/>
      <c r="G229" s="22"/>
      <c r="H229" s="22"/>
      <c r="I229" s="22"/>
      <c r="J229" s="22"/>
      <c r="K229" s="22"/>
      <c r="L229" s="22"/>
      <c r="M229" s="27" t="str">
        <f aca="false">IF(COUNT(H229:L229)=5,H229*I229*J229*K229/L229,"")</f>
        <v/>
      </c>
      <c r="N229" s="28" t="str">
        <f aca="false">IF(M229="","",IF(AND(M229&gt;=100,L229&lt;=2),"Quick win",IF(M229&gt;=100,"Strategic priority",IF(M229&gt;=30,"Long-term investment","Low priority / avoid"))))</f>
        <v/>
      </c>
      <c r="O229" s="22"/>
      <c r="P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6"/>
      <c r="G230" s="22"/>
      <c r="H230" s="22"/>
      <c r="I230" s="22"/>
      <c r="J230" s="22"/>
      <c r="K230" s="22"/>
      <c r="L230" s="22"/>
      <c r="M230" s="27" t="str">
        <f aca="false">IF(COUNT(H230:L230)=5,H230*I230*J230*K230/L230,"")</f>
        <v/>
      </c>
      <c r="N230" s="28" t="str">
        <f aca="false">IF(M230="","",IF(AND(M230&gt;=100,L230&lt;=2),"Quick win",IF(M230&gt;=100,"Strategic priority",IF(M230&gt;=30,"Long-term investment","Low priority / avoid"))))</f>
        <v/>
      </c>
      <c r="O230" s="22"/>
      <c r="P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6"/>
      <c r="G231" s="22"/>
      <c r="H231" s="22"/>
      <c r="I231" s="22"/>
      <c r="J231" s="22"/>
      <c r="K231" s="22"/>
      <c r="L231" s="22"/>
      <c r="M231" s="27" t="str">
        <f aca="false">IF(COUNT(H231:L231)=5,H231*I231*J231*K231/L231,"")</f>
        <v/>
      </c>
      <c r="N231" s="28" t="str">
        <f aca="false">IF(M231="","",IF(AND(M231&gt;=100,L231&lt;=2),"Quick win",IF(M231&gt;=100,"Strategic priority",IF(M231&gt;=30,"Long-term investment","Low priority / avoid"))))</f>
        <v/>
      </c>
      <c r="O231" s="22"/>
      <c r="P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6"/>
      <c r="G232" s="22"/>
      <c r="H232" s="22"/>
      <c r="I232" s="22"/>
      <c r="J232" s="22"/>
      <c r="K232" s="22"/>
      <c r="L232" s="22"/>
      <c r="M232" s="27" t="str">
        <f aca="false">IF(COUNT(H232:L232)=5,H232*I232*J232*K232/L232,"")</f>
        <v/>
      </c>
      <c r="N232" s="28" t="str">
        <f aca="false">IF(M232="","",IF(AND(M232&gt;=100,L232&lt;=2),"Quick win",IF(M232&gt;=100,"Strategic priority",IF(M232&gt;=30,"Long-term investment","Low priority / avoid"))))</f>
        <v/>
      </c>
      <c r="O232" s="22"/>
      <c r="P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6"/>
      <c r="G233" s="22"/>
      <c r="H233" s="22"/>
      <c r="I233" s="22"/>
      <c r="J233" s="22"/>
      <c r="K233" s="22"/>
      <c r="L233" s="22"/>
      <c r="M233" s="27" t="str">
        <f aca="false">IF(COUNT(H233:L233)=5,H233*I233*J233*K233/L233,"")</f>
        <v/>
      </c>
      <c r="N233" s="28" t="str">
        <f aca="false">IF(M233="","",IF(AND(M233&gt;=100,L233&lt;=2),"Quick win",IF(M233&gt;=100,"Strategic priority",IF(M233&gt;=30,"Long-term investment","Low priority / avoid"))))</f>
        <v/>
      </c>
      <c r="O233" s="22"/>
      <c r="P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6"/>
      <c r="G234" s="22"/>
      <c r="H234" s="22"/>
      <c r="I234" s="22"/>
      <c r="J234" s="22"/>
      <c r="K234" s="22"/>
      <c r="L234" s="22"/>
      <c r="M234" s="27" t="str">
        <f aca="false">IF(COUNT(H234:L234)=5,H234*I234*J234*K234/L234,"")</f>
        <v/>
      </c>
      <c r="N234" s="28" t="str">
        <f aca="false">IF(M234="","",IF(AND(M234&gt;=100,L234&lt;=2),"Quick win",IF(M234&gt;=100,"Strategic priority",IF(M234&gt;=30,"Long-term investment","Low priority / avoid"))))</f>
        <v/>
      </c>
      <c r="O234" s="22"/>
      <c r="P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6"/>
      <c r="G235" s="22"/>
      <c r="H235" s="22"/>
      <c r="I235" s="22"/>
      <c r="J235" s="22"/>
      <c r="K235" s="22"/>
      <c r="L235" s="22"/>
      <c r="M235" s="27" t="str">
        <f aca="false">IF(COUNT(H235:L235)=5,H235*I235*J235*K235/L235,"")</f>
        <v/>
      </c>
      <c r="N235" s="28" t="str">
        <f aca="false">IF(M235="","",IF(AND(M235&gt;=100,L235&lt;=2),"Quick win",IF(M235&gt;=100,"Strategic priority",IF(M235&gt;=30,"Long-term investment","Low priority / avoid"))))</f>
        <v/>
      </c>
      <c r="O235" s="22"/>
      <c r="P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6"/>
      <c r="G236" s="22"/>
      <c r="H236" s="22"/>
      <c r="I236" s="22"/>
      <c r="J236" s="22"/>
      <c r="K236" s="22"/>
      <c r="L236" s="22"/>
      <c r="M236" s="27" t="str">
        <f aca="false">IF(COUNT(H236:L236)=5,H236*I236*J236*K236/L236,"")</f>
        <v/>
      </c>
      <c r="N236" s="28" t="str">
        <f aca="false">IF(M236="","",IF(AND(M236&gt;=100,L236&lt;=2),"Quick win",IF(M236&gt;=100,"Strategic priority",IF(M236&gt;=30,"Long-term investment","Low priority / avoid"))))</f>
        <v/>
      </c>
      <c r="O236" s="22"/>
      <c r="P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6"/>
      <c r="G237" s="22"/>
      <c r="H237" s="22"/>
      <c r="I237" s="22"/>
      <c r="J237" s="22"/>
      <c r="K237" s="22"/>
      <c r="L237" s="22"/>
      <c r="M237" s="27" t="str">
        <f aca="false">IF(COUNT(H237:L237)=5,H237*I237*J237*K237/L237,"")</f>
        <v/>
      </c>
      <c r="N237" s="28" t="str">
        <f aca="false">IF(M237="","",IF(AND(M237&gt;=100,L237&lt;=2),"Quick win",IF(M237&gt;=100,"Strategic priority",IF(M237&gt;=30,"Long-term investment","Low priority / avoid"))))</f>
        <v/>
      </c>
      <c r="O237" s="22"/>
      <c r="P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6"/>
      <c r="G238" s="22"/>
      <c r="H238" s="22"/>
      <c r="I238" s="22"/>
      <c r="J238" s="22"/>
      <c r="K238" s="22"/>
      <c r="L238" s="22"/>
      <c r="M238" s="27" t="str">
        <f aca="false">IF(COUNT(H238:L238)=5,H238*I238*J238*K238/L238,"")</f>
        <v/>
      </c>
      <c r="N238" s="28" t="str">
        <f aca="false">IF(M238="","",IF(AND(M238&gt;=100,L238&lt;=2),"Quick win",IF(M238&gt;=100,"Strategic priority",IF(M238&gt;=30,"Long-term investment","Low priority / avoid"))))</f>
        <v/>
      </c>
      <c r="O238" s="22"/>
      <c r="P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6"/>
      <c r="G239" s="22"/>
      <c r="H239" s="22"/>
      <c r="I239" s="22"/>
      <c r="J239" s="22"/>
      <c r="K239" s="22"/>
      <c r="L239" s="22"/>
      <c r="M239" s="27" t="str">
        <f aca="false">IF(COUNT(H239:L239)=5,H239*I239*J239*K239/L239,"")</f>
        <v/>
      </c>
      <c r="N239" s="28" t="str">
        <f aca="false">IF(M239="","",IF(AND(M239&gt;=100,L239&lt;=2),"Quick win",IF(M239&gt;=100,"Strategic priority",IF(M239&gt;=30,"Long-term investment","Low priority / avoid"))))</f>
        <v/>
      </c>
      <c r="O239" s="22"/>
      <c r="P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6"/>
      <c r="G240" s="22"/>
      <c r="H240" s="22"/>
      <c r="I240" s="22"/>
      <c r="J240" s="22"/>
      <c r="K240" s="22"/>
      <c r="L240" s="22"/>
      <c r="M240" s="27" t="str">
        <f aca="false">IF(COUNT(H240:L240)=5,H240*I240*J240*K240/L240,"")</f>
        <v/>
      </c>
      <c r="N240" s="28" t="str">
        <f aca="false">IF(M240="","",IF(AND(M240&gt;=100,L240&lt;=2),"Quick win",IF(M240&gt;=100,"Strategic priority",IF(M240&gt;=30,"Long-term investment","Low priority / avoid"))))</f>
        <v/>
      </c>
      <c r="O240" s="22"/>
      <c r="P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6"/>
      <c r="G241" s="22"/>
      <c r="H241" s="22"/>
      <c r="I241" s="22"/>
      <c r="J241" s="22"/>
      <c r="K241" s="22"/>
      <c r="L241" s="22"/>
      <c r="M241" s="27" t="str">
        <f aca="false">IF(COUNT(H241:L241)=5,H241*I241*J241*K241/L241,"")</f>
        <v/>
      </c>
      <c r="N241" s="28" t="str">
        <f aca="false">IF(M241="","",IF(AND(M241&gt;=100,L241&lt;=2),"Quick win",IF(M241&gt;=100,"Strategic priority",IF(M241&gt;=30,"Long-term investment","Low priority / avoid"))))</f>
        <v/>
      </c>
      <c r="O241" s="22"/>
      <c r="P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6"/>
      <c r="G242" s="22"/>
      <c r="H242" s="22"/>
      <c r="I242" s="22"/>
      <c r="J242" s="22"/>
      <c r="K242" s="22"/>
      <c r="L242" s="22"/>
      <c r="M242" s="27" t="str">
        <f aca="false">IF(COUNT(H242:L242)=5,H242*I242*J242*K242/L242,"")</f>
        <v/>
      </c>
      <c r="N242" s="28" t="str">
        <f aca="false">IF(M242="","",IF(AND(M242&gt;=100,L242&lt;=2),"Quick win",IF(M242&gt;=100,"Strategic priority",IF(M242&gt;=30,"Long-term investment","Low priority / avoid"))))</f>
        <v/>
      </c>
      <c r="O242" s="22"/>
      <c r="P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6"/>
      <c r="G243" s="22"/>
      <c r="H243" s="22"/>
      <c r="I243" s="22"/>
      <c r="J243" s="22"/>
      <c r="K243" s="22"/>
      <c r="L243" s="22"/>
      <c r="M243" s="27" t="str">
        <f aca="false">IF(COUNT(H243:L243)=5,H243*I243*J243*K243/L243,"")</f>
        <v/>
      </c>
      <c r="N243" s="28" t="str">
        <f aca="false">IF(M243="","",IF(AND(M243&gt;=100,L243&lt;=2),"Quick win",IF(M243&gt;=100,"Strategic priority",IF(M243&gt;=30,"Long-term investment","Low priority / avoid"))))</f>
        <v/>
      </c>
      <c r="O243" s="22"/>
      <c r="P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6"/>
      <c r="G244" s="22"/>
      <c r="H244" s="22"/>
      <c r="I244" s="22"/>
      <c r="J244" s="22"/>
      <c r="K244" s="22"/>
      <c r="L244" s="22"/>
      <c r="M244" s="27" t="str">
        <f aca="false">IF(COUNT(H244:L244)=5,H244*I244*J244*K244/L244,"")</f>
        <v/>
      </c>
      <c r="N244" s="28" t="str">
        <f aca="false">IF(M244="","",IF(AND(M244&gt;=100,L244&lt;=2),"Quick win",IF(M244&gt;=100,"Strategic priority",IF(M244&gt;=30,"Long-term investment","Low priority / avoid"))))</f>
        <v/>
      </c>
      <c r="O244" s="22"/>
      <c r="P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6"/>
      <c r="G245" s="22"/>
      <c r="H245" s="22"/>
      <c r="I245" s="22"/>
      <c r="J245" s="22"/>
      <c r="K245" s="22"/>
      <c r="L245" s="22"/>
      <c r="M245" s="27" t="str">
        <f aca="false">IF(COUNT(H245:L245)=5,H245*I245*J245*K245/L245,"")</f>
        <v/>
      </c>
      <c r="N245" s="28" t="str">
        <f aca="false">IF(M245="","",IF(AND(M245&gt;=100,L245&lt;=2),"Quick win",IF(M245&gt;=100,"Strategic priority",IF(M245&gt;=30,"Long-term investment","Low priority / avoid"))))</f>
        <v/>
      </c>
      <c r="O245" s="22"/>
      <c r="P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6"/>
      <c r="G246" s="22"/>
      <c r="H246" s="22"/>
      <c r="I246" s="22"/>
      <c r="J246" s="22"/>
      <c r="K246" s="22"/>
      <c r="L246" s="22"/>
      <c r="M246" s="27" t="str">
        <f aca="false">IF(COUNT(H246:L246)=5,H246*I246*J246*K246/L246,"")</f>
        <v/>
      </c>
      <c r="N246" s="28" t="str">
        <f aca="false">IF(M246="","",IF(AND(M246&gt;=100,L246&lt;=2),"Quick win",IF(M246&gt;=100,"Strategic priority",IF(M246&gt;=30,"Long-term investment","Low priority / avoid"))))</f>
        <v/>
      </c>
      <c r="O246" s="22"/>
      <c r="P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6"/>
      <c r="G247" s="22"/>
      <c r="H247" s="22"/>
      <c r="I247" s="22"/>
      <c r="J247" s="22"/>
      <c r="K247" s="22"/>
      <c r="L247" s="22"/>
      <c r="M247" s="27" t="str">
        <f aca="false">IF(COUNT(H247:L247)=5,H247*I247*J247*K247/L247,"")</f>
        <v/>
      </c>
      <c r="N247" s="28" t="str">
        <f aca="false">IF(M247="","",IF(AND(M247&gt;=100,L247&lt;=2),"Quick win",IF(M247&gt;=100,"Strategic priority",IF(M247&gt;=30,"Long-term investment","Low priority / avoid"))))</f>
        <v/>
      </c>
      <c r="O247" s="22"/>
      <c r="P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6"/>
      <c r="G248" s="22"/>
      <c r="H248" s="22"/>
      <c r="I248" s="22"/>
      <c r="J248" s="22"/>
      <c r="K248" s="22"/>
      <c r="L248" s="22"/>
      <c r="M248" s="27" t="str">
        <f aca="false">IF(COUNT(H248:L248)=5,H248*I248*J248*K248/L248,"")</f>
        <v/>
      </c>
      <c r="N248" s="28" t="str">
        <f aca="false">IF(M248="","",IF(AND(M248&gt;=100,L248&lt;=2),"Quick win",IF(M248&gt;=100,"Strategic priority",IF(M248&gt;=30,"Long-term investment","Low priority / avoid"))))</f>
        <v/>
      </c>
      <c r="O248" s="22"/>
      <c r="P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6"/>
      <c r="G249" s="22"/>
      <c r="H249" s="22"/>
      <c r="I249" s="22"/>
      <c r="J249" s="22"/>
      <c r="K249" s="22"/>
      <c r="L249" s="22"/>
      <c r="M249" s="27" t="str">
        <f aca="false">IF(COUNT(H249:L249)=5,H249*I249*J249*K249/L249,"")</f>
        <v/>
      </c>
      <c r="N249" s="28" t="str">
        <f aca="false">IF(M249="","",IF(AND(M249&gt;=100,L249&lt;=2),"Quick win",IF(M249&gt;=100,"Strategic priority",IF(M249&gt;=30,"Long-term investment","Low priority / avoid"))))</f>
        <v/>
      </c>
      <c r="O249" s="22"/>
      <c r="P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6"/>
      <c r="G250" s="22"/>
      <c r="H250" s="22"/>
      <c r="I250" s="22"/>
      <c r="J250" s="22"/>
      <c r="K250" s="22"/>
      <c r="L250" s="22"/>
      <c r="M250" s="27" t="str">
        <f aca="false">IF(COUNT(H250:L250)=5,H250*I250*J250*K250/L250,"")</f>
        <v/>
      </c>
      <c r="N250" s="28" t="str">
        <f aca="false">IF(M250="","",IF(AND(M250&gt;=100,L250&lt;=2),"Quick win",IF(M250&gt;=100,"Strategic priority",IF(M250&gt;=30,"Long-term investment","Low priority / avoid"))))</f>
        <v/>
      </c>
      <c r="O250" s="22"/>
      <c r="P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6"/>
      <c r="G251" s="22"/>
      <c r="H251" s="22"/>
      <c r="I251" s="22"/>
      <c r="J251" s="22"/>
      <c r="K251" s="22"/>
      <c r="L251" s="22"/>
      <c r="M251" s="27" t="str">
        <f aca="false">IF(COUNT(H251:L251)=5,H251*I251*J251*K251/L251,"")</f>
        <v/>
      </c>
      <c r="N251" s="28" t="str">
        <f aca="false">IF(M251="","",IF(AND(M251&gt;=100,L251&lt;=2),"Quick win",IF(M251&gt;=100,"Strategic priority",IF(M251&gt;=30,"Long-term investment","Low priority / avoid"))))</f>
        <v/>
      </c>
      <c r="O251" s="22"/>
      <c r="P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6"/>
      <c r="G252" s="22"/>
      <c r="H252" s="22"/>
      <c r="I252" s="22"/>
      <c r="J252" s="22"/>
      <c r="K252" s="22"/>
      <c r="L252" s="22"/>
      <c r="M252" s="27" t="str">
        <f aca="false">IF(COUNT(H252:L252)=5,H252*I252*J252*K252/L252,"")</f>
        <v/>
      </c>
      <c r="N252" s="28" t="str">
        <f aca="false">IF(M252="","",IF(AND(M252&gt;=100,L252&lt;=2),"Quick win",IF(M252&gt;=100,"Strategic priority",IF(M252&gt;=30,"Long-term investment","Low priority / avoid"))))</f>
        <v/>
      </c>
      <c r="O252" s="22"/>
      <c r="P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6"/>
      <c r="G253" s="22"/>
      <c r="H253" s="22"/>
      <c r="I253" s="22"/>
      <c r="J253" s="22"/>
      <c r="K253" s="22"/>
      <c r="L253" s="22"/>
      <c r="M253" s="27" t="str">
        <f aca="false">IF(COUNT(H253:L253)=5,H253*I253*J253*K253/L253,"")</f>
        <v/>
      </c>
      <c r="N253" s="28" t="str">
        <f aca="false">IF(M253="","",IF(AND(M253&gt;=100,L253&lt;=2),"Quick win",IF(M253&gt;=100,"Strategic priority",IF(M253&gt;=30,"Long-term investment","Low priority / avoid"))))</f>
        <v/>
      </c>
      <c r="O253" s="22"/>
      <c r="P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6"/>
      <c r="G254" s="22"/>
      <c r="H254" s="22"/>
      <c r="I254" s="22"/>
      <c r="J254" s="22"/>
      <c r="K254" s="22"/>
      <c r="L254" s="22"/>
      <c r="M254" s="27" t="str">
        <f aca="false">IF(COUNT(H254:L254)=5,H254*I254*J254*K254/L254,"")</f>
        <v/>
      </c>
      <c r="N254" s="28" t="str">
        <f aca="false">IF(M254="","",IF(AND(M254&gt;=100,L254&lt;=2),"Quick win",IF(M254&gt;=100,"Strategic priority",IF(M254&gt;=30,"Long-term investment","Low priority / avoid"))))</f>
        <v/>
      </c>
      <c r="O254" s="22"/>
      <c r="P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6"/>
      <c r="G255" s="22"/>
      <c r="H255" s="22"/>
      <c r="I255" s="22"/>
      <c r="J255" s="22"/>
      <c r="K255" s="22"/>
      <c r="L255" s="22"/>
      <c r="M255" s="27" t="str">
        <f aca="false">IF(COUNT(H255:L255)=5,H255*I255*J255*K255/L255,"")</f>
        <v/>
      </c>
      <c r="N255" s="28" t="str">
        <f aca="false">IF(M255="","",IF(AND(M255&gt;=100,L255&lt;=2),"Quick win",IF(M255&gt;=100,"Strategic priority",IF(M255&gt;=30,"Long-term investment","Low priority / avoid"))))</f>
        <v/>
      </c>
      <c r="O255" s="22"/>
      <c r="P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6"/>
      <c r="G256" s="22"/>
      <c r="H256" s="22"/>
      <c r="I256" s="22"/>
      <c r="J256" s="22"/>
      <c r="K256" s="22"/>
      <c r="L256" s="22"/>
      <c r="M256" s="27" t="str">
        <f aca="false">IF(COUNT(H256:L256)=5,H256*I256*J256*K256/L256,"")</f>
        <v/>
      </c>
      <c r="N256" s="28" t="str">
        <f aca="false">IF(M256="","",IF(AND(M256&gt;=100,L256&lt;=2),"Quick win",IF(M256&gt;=100,"Strategic priority",IF(M256&gt;=30,"Long-term investment","Low priority / avoid"))))</f>
        <v/>
      </c>
      <c r="O256" s="22"/>
      <c r="P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6"/>
      <c r="G257" s="22"/>
      <c r="H257" s="22"/>
      <c r="I257" s="22"/>
      <c r="J257" s="22"/>
      <c r="K257" s="22"/>
      <c r="L257" s="22"/>
      <c r="M257" s="27" t="str">
        <f aca="false">IF(COUNT(H257:L257)=5,H257*I257*J257*K257/L257,"")</f>
        <v/>
      </c>
      <c r="N257" s="28" t="str">
        <f aca="false">IF(M257="","",IF(AND(M257&gt;=100,L257&lt;=2),"Quick win",IF(M257&gt;=100,"Strategic priority",IF(M257&gt;=30,"Long-term investment","Low priority / avoid"))))</f>
        <v/>
      </c>
      <c r="O257" s="22"/>
      <c r="P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6"/>
      <c r="G258" s="22"/>
      <c r="H258" s="22"/>
      <c r="I258" s="22"/>
      <c r="J258" s="22"/>
      <c r="K258" s="22"/>
      <c r="L258" s="22"/>
      <c r="M258" s="27" t="str">
        <f aca="false">IF(COUNT(H258:L258)=5,H258*I258*J258*K258/L258,"")</f>
        <v/>
      </c>
      <c r="N258" s="28" t="str">
        <f aca="false">IF(M258="","",IF(AND(M258&gt;=100,L258&lt;=2),"Quick win",IF(M258&gt;=100,"Strategic priority",IF(M258&gt;=30,"Long-term investment","Low priority / avoid"))))</f>
        <v/>
      </c>
      <c r="O258" s="22"/>
      <c r="P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6"/>
      <c r="G259" s="22"/>
      <c r="H259" s="22"/>
      <c r="I259" s="22"/>
      <c r="J259" s="22"/>
      <c r="K259" s="22"/>
      <c r="L259" s="22"/>
      <c r="M259" s="27" t="str">
        <f aca="false">IF(COUNT(H259:L259)=5,H259*I259*J259*K259/L259,"")</f>
        <v/>
      </c>
      <c r="N259" s="28" t="str">
        <f aca="false">IF(M259="","",IF(AND(M259&gt;=100,L259&lt;=2),"Quick win",IF(M259&gt;=100,"Strategic priority",IF(M259&gt;=30,"Long-term investment","Low priority / avoid"))))</f>
        <v/>
      </c>
      <c r="O259" s="22"/>
      <c r="P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6"/>
      <c r="G260" s="22"/>
      <c r="H260" s="22"/>
      <c r="I260" s="22"/>
      <c r="J260" s="22"/>
      <c r="K260" s="22"/>
      <c r="L260" s="22"/>
      <c r="M260" s="27" t="str">
        <f aca="false">IF(COUNT(H260:L260)=5,H260*I260*J260*K260/L260,"")</f>
        <v/>
      </c>
      <c r="N260" s="28" t="str">
        <f aca="false">IF(M260="","",IF(AND(M260&gt;=100,L260&lt;=2),"Quick win",IF(M260&gt;=100,"Strategic priority",IF(M260&gt;=30,"Long-term investment","Low priority / avoid"))))</f>
        <v/>
      </c>
      <c r="O260" s="22"/>
      <c r="P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6"/>
      <c r="G261" s="22"/>
      <c r="H261" s="22"/>
      <c r="I261" s="22"/>
      <c r="J261" s="22"/>
      <c r="K261" s="22"/>
      <c r="L261" s="22"/>
      <c r="M261" s="27" t="str">
        <f aca="false">IF(COUNT(H261:L261)=5,H261*I261*J261*K261/L261,"")</f>
        <v/>
      </c>
      <c r="N261" s="28" t="str">
        <f aca="false">IF(M261="","",IF(AND(M261&gt;=100,L261&lt;=2),"Quick win",IF(M261&gt;=100,"Strategic priority",IF(M261&gt;=30,"Long-term investment","Low priority / avoid"))))</f>
        <v/>
      </c>
      <c r="O261" s="22"/>
      <c r="P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6"/>
      <c r="G262" s="22"/>
      <c r="H262" s="22"/>
      <c r="I262" s="22"/>
      <c r="J262" s="22"/>
      <c r="K262" s="22"/>
      <c r="L262" s="22"/>
      <c r="M262" s="27" t="str">
        <f aca="false">IF(COUNT(H262:L262)=5,H262*I262*J262*K262/L262,"")</f>
        <v/>
      </c>
      <c r="N262" s="28" t="str">
        <f aca="false">IF(M262="","",IF(AND(M262&gt;=100,L262&lt;=2),"Quick win",IF(M262&gt;=100,"Strategic priority",IF(M262&gt;=30,"Long-term investment","Low priority / avoid"))))</f>
        <v/>
      </c>
      <c r="O262" s="22"/>
      <c r="P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6"/>
      <c r="G263" s="22"/>
      <c r="H263" s="22"/>
      <c r="I263" s="22"/>
      <c r="J263" s="22"/>
      <c r="K263" s="22"/>
      <c r="L263" s="22"/>
      <c r="M263" s="27" t="str">
        <f aca="false">IF(COUNT(H263:L263)=5,H263*I263*J263*K263/L263,"")</f>
        <v/>
      </c>
      <c r="N263" s="28" t="str">
        <f aca="false">IF(M263="","",IF(AND(M263&gt;=100,L263&lt;=2),"Quick win",IF(M263&gt;=100,"Strategic priority",IF(M263&gt;=30,"Long-term investment","Low priority / avoid"))))</f>
        <v/>
      </c>
      <c r="O263" s="22"/>
      <c r="P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6"/>
      <c r="G264" s="22"/>
      <c r="H264" s="22"/>
      <c r="I264" s="22"/>
      <c r="J264" s="22"/>
      <c r="K264" s="22"/>
      <c r="L264" s="22"/>
      <c r="M264" s="27" t="str">
        <f aca="false">IF(COUNT(H264:L264)=5,H264*I264*J264*K264/L264,"")</f>
        <v/>
      </c>
      <c r="N264" s="28" t="str">
        <f aca="false">IF(M264="","",IF(AND(M264&gt;=100,L264&lt;=2),"Quick win",IF(M264&gt;=100,"Strategic priority",IF(M264&gt;=30,"Long-term investment","Low priority / avoid"))))</f>
        <v/>
      </c>
      <c r="O264" s="22"/>
      <c r="P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6"/>
      <c r="G265" s="22"/>
      <c r="H265" s="22"/>
      <c r="I265" s="22"/>
      <c r="J265" s="22"/>
      <c r="K265" s="22"/>
      <c r="L265" s="22"/>
      <c r="M265" s="27" t="str">
        <f aca="false">IF(COUNT(H265:L265)=5,H265*I265*J265*K265/L265,"")</f>
        <v/>
      </c>
      <c r="N265" s="28" t="str">
        <f aca="false">IF(M265="","",IF(AND(M265&gt;=100,L265&lt;=2),"Quick win",IF(M265&gt;=100,"Strategic priority",IF(M265&gt;=30,"Long-term investment","Low priority / avoid"))))</f>
        <v/>
      </c>
      <c r="O265" s="22"/>
      <c r="P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6"/>
      <c r="G266" s="22"/>
      <c r="H266" s="22"/>
      <c r="I266" s="22"/>
      <c r="J266" s="22"/>
      <c r="K266" s="22"/>
      <c r="L266" s="22"/>
      <c r="M266" s="27" t="str">
        <f aca="false">IF(COUNT(H266:L266)=5,H266*I266*J266*K266/L266,"")</f>
        <v/>
      </c>
      <c r="N266" s="28" t="str">
        <f aca="false">IF(M266="","",IF(AND(M266&gt;=100,L266&lt;=2),"Quick win",IF(M266&gt;=100,"Strategic priority",IF(M266&gt;=30,"Long-term investment","Low priority / avoid"))))</f>
        <v/>
      </c>
      <c r="O266" s="22"/>
      <c r="P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6"/>
      <c r="G267" s="22"/>
      <c r="H267" s="22"/>
      <c r="I267" s="22"/>
      <c r="J267" s="22"/>
      <c r="K267" s="22"/>
      <c r="L267" s="22"/>
      <c r="M267" s="27" t="str">
        <f aca="false">IF(COUNT(H267:L267)=5,H267*I267*J267*K267/L267,"")</f>
        <v/>
      </c>
      <c r="N267" s="28" t="str">
        <f aca="false">IF(M267="","",IF(AND(M267&gt;=100,L267&lt;=2),"Quick win",IF(M267&gt;=100,"Strategic priority",IF(M267&gt;=30,"Long-term investment","Low priority / avoid"))))</f>
        <v/>
      </c>
      <c r="O267" s="22"/>
      <c r="P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6"/>
      <c r="G268" s="22"/>
      <c r="H268" s="22"/>
      <c r="I268" s="22"/>
      <c r="J268" s="22"/>
      <c r="K268" s="22"/>
      <c r="L268" s="22"/>
      <c r="M268" s="27" t="str">
        <f aca="false">IF(COUNT(H268:L268)=5,H268*I268*J268*K268/L268,"")</f>
        <v/>
      </c>
      <c r="N268" s="28" t="str">
        <f aca="false">IF(M268="","",IF(AND(M268&gt;=100,L268&lt;=2),"Quick win",IF(M268&gt;=100,"Strategic priority",IF(M268&gt;=30,"Long-term investment","Low priority / avoid"))))</f>
        <v/>
      </c>
      <c r="O268" s="22"/>
      <c r="P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6"/>
      <c r="G269" s="22"/>
      <c r="H269" s="22"/>
      <c r="I269" s="22"/>
      <c r="J269" s="22"/>
      <c r="K269" s="22"/>
      <c r="L269" s="22"/>
      <c r="M269" s="27" t="str">
        <f aca="false">IF(COUNT(H269:L269)=5,H269*I269*J269*K269/L269,"")</f>
        <v/>
      </c>
      <c r="N269" s="28" t="str">
        <f aca="false">IF(M269="","",IF(AND(M269&gt;=100,L269&lt;=2),"Quick win",IF(M269&gt;=100,"Strategic priority",IF(M269&gt;=30,"Long-term investment","Low priority / avoid"))))</f>
        <v/>
      </c>
      <c r="O269" s="22"/>
      <c r="P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6"/>
      <c r="G270" s="22"/>
      <c r="H270" s="22"/>
      <c r="I270" s="22"/>
      <c r="J270" s="22"/>
      <c r="K270" s="22"/>
      <c r="L270" s="22"/>
      <c r="M270" s="27" t="str">
        <f aca="false">IF(COUNT(H270:L270)=5,H270*I270*J270*K270/L270,"")</f>
        <v/>
      </c>
      <c r="N270" s="28" t="str">
        <f aca="false">IF(M270="","",IF(AND(M270&gt;=100,L270&lt;=2),"Quick win",IF(M270&gt;=100,"Strategic priority",IF(M270&gt;=30,"Long-term investment","Low priority / avoid"))))</f>
        <v/>
      </c>
      <c r="O270" s="22"/>
      <c r="P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6"/>
      <c r="G271" s="22"/>
      <c r="H271" s="22"/>
      <c r="I271" s="22"/>
      <c r="J271" s="22"/>
      <c r="K271" s="22"/>
      <c r="L271" s="22"/>
      <c r="M271" s="27" t="str">
        <f aca="false">IF(COUNT(H271:L271)=5,H271*I271*J271*K271/L271,"")</f>
        <v/>
      </c>
      <c r="N271" s="28" t="str">
        <f aca="false">IF(M271="","",IF(AND(M271&gt;=100,L271&lt;=2),"Quick win",IF(M271&gt;=100,"Strategic priority",IF(M271&gt;=30,"Long-term investment","Low priority / avoid"))))</f>
        <v/>
      </c>
      <c r="O271" s="22"/>
      <c r="P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6"/>
      <c r="G272" s="22"/>
      <c r="H272" s="22"/>
      <c r="I272" s="22"/>
      <c r="J272" s="22"/>
      <c r="K272" s="22"/>
      <c r="L272" s="22"/>
      <c r="M272" s="27" t="str">
        <f aca="false">IF(COUNT(H272:L272)=5,H272*I272*J272*K272/L272,"")</f>
        <v/>
      </c>
      <c r="N272" s="28" t="str">
        <f aca="false">IF(M272="","",IF(AND(M272&gt;=100,L272&lt;=2),"Quick win",IF(M272&gt;=100,"Strategic priority",IF(M272&gt;=30,"Long-term investment","Low priority / avoid"))))</f>
        <v/>
      </c>
      <c r="O272" s="22"/>
      <c r="P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6"/>
      <c r="G273" s="22"/>
      <c r="H273" s="22"/>
      <c r="I273" s="22"/>
      <c r="J273" s="22"/>
      <c r="K273" s="22"/>
      <c r="L273" s="22"/>
      <c r="M273" s="27" t="str">
        <f aca="false">IF(COUNT(H273:L273)=5,H273*I273*J273*K273/L273,"")</f>
        <v/>
      </c>
      <c r="N273" s="28" t="str">
        <f aca="false">IF(M273="","",IF(AND(M273&gt;=100,L273&lt;=2),"Quick win",IF(M273&gt;=100,"Strategic priority",IF(M273&gt;=30,"Long-term investment","Low priority / avoid"))))</f>
        <v/>
      </c>
      <c r="O273" s="22"/>
      <c r="P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6"/>
      <c r="G274" s="22"/>
      <c r="H274" s="22"/>
      <c r="I274" s="22"/>
      <c r="J274" s="22"/>
      <c r="K274" s="22"/>
      <c r="L274" s="22"/>
      <c r="M274" s="27" t="str">
        <f aca="false">IF(COUNT(H274:L274)=5,H274*I274*J274*K274/L274,"")</f>
        <v/>
      </c>
      <c r="N274" s="28" t="str">
        <f aca="false">IF(M274="","",IF(AND(M274&gt;=100,L274&lt;=2),"Quick win",IF(M274&gt;=100,"Strategic priority",IF(M274&gt;=30,"Long-term investment","Low priority / avoid"))))</f>
        <v/>
      </c>
      <c r="O274" s="22"/>
      <c r="P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6"/>
      <c r="G275" s="22"/>
      <c r="H275" s="22"/>
      <c r="I275" s="22"/>
      <c r="J275" s="22"/>
      <c r="K275" s="22"/>
      <c r="L275" s="22"/>
      <c r="M275" s="27" t="str">
        <f aca="false">IF(COUNT(H275:L275)=5,H275*I275*J275*K275/L275,"")</f>
        <v/>
      </c>
      <c r="N275" s="28" t="str">
        <f aca="false">IF(M275="","",IF(AND(M275&gt;=100,L275&lt;=2),"Quick win",IF(M275&gt;=100,"Strategic priority",IF(M275&gt;=30,"Long-term investment","Low priority / avoid"))))</f>
        <v/>
      </c>
      <c r="O275" s="22"/>
      <c r="P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6"/>
      <c r="G276" s="22"/>
      <c r="H276" s="22"/>
      <c r="I276" s="22"/>
      <c r="J276" s="22"/>
      <c r="K276" s="22"/>
      <c r="L276" s="22"/>
      <c r="M276" s="27" t="str">
        <f aca="false">IF(COUNT(H276:L276)=5,H276*I276*J276*K276/L276,"")</f>
        <v/>
      </c>
      <c r="N276" s="28" t="str">
        <f aca="false">IF(M276="","",IF(AND(M276&gt;=100,L276&lt;=2),"Quick win",IF(M276&gt;=100,"Strategic priority",IF(M276&gt;=30,"Long-term investment","Low priority / avoid"))))</f>
        <v/>
      </c>
      <c r="O276" s="22"/>
      <c r="P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6"/>
      <c r="G277" s="22"/>
      <c r="H277" s="22"/>
      <c r="I277" s="22"/>
      <c r="J277" s="22"/>
      <c r="K277" s="22"/>
      <c r="L277" s="22"/>
      <c r="M277" s="27" t="str">
        <f aca="false">IF(COUNT(H277:L277)=5,H277*I277*J277*K277/L277,"")</f>
        <v/>
      </c>
      <c r="N277" s="28" t="str">
        <f aca="false">IF(M277="","",IF(AND(M277&gt;=100,L277&lt;=2),"Quick win",IF(M277&gt;=100,"Strategic priority",IF(M277&gt;=30,"Long-term investment","Low priority / avoid"))))</f>
        <v/>
      </c>
      <c r="O277" s="22"/>
      <c r="P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6"/>
      <c r="G278" s="22"/>
      <c r="H278" s="22"/>
      <c r="I278" s="22"/>
      <c r="J278" s="22"/>
      <c r="K278" s="22"/>
      <c r="L278" s="22"/>
      <c r="M278" s="27" t="str">
        <f aca="false">IF(COUNT(H278:L278)=5,H278*I278*J278*K278/L278,"")</f>
        <v/>
      </c>
      <c r="N278" s="28" t="str">
        <f aca="false">IF(M278="","",IF(AND(M278&gt;=100,L278&lt;=2),"Quick win",IF(M278&gt;=100,"Strategic priority",IF(M278&gt;=30,"Long-term investment","Low priority / avoid"))))</f>
        <v/>
      </c>
      <c r="O278" s="22"/>
      <c r="P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6"/>
      <c r="G279" s="22"/>
      <c r="H279" s="22"/>
      <c r="I279" s="22"/>
      <c r="J279" s="22"/>
      <c r="K279" s="22"/>
      <c r="L279" s="22"/>
      <c r="M279" s="27" t="str">
        <f aca="false">IF(COUNT(H279:L279)=5,H279*I279*J279*K279/L279,"")</f>
        <v/>
      </c>
      <c r="N279" s="28" t="str">
        <f aca="false">IF(M279="","",IF(AND(M279&gt;=100,L279&lt;=2),"Quick win",IF(M279&gt;=100,"Strategic priority",IF(M279&gt;=30,"Long-term investment","Low priority / avoid"))))</f>
        <v/>
      </c>
      <c r="O279" s="22"/>
      <c r="P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6"/>
      <c r="G280" s="22"/>
      <c r="H280" s="22"/>
      <c r="I280" s="22"/>
      <c r="J280" s="22"/>
      <c r="K280" s="22"/>
      <c r="L280" s="22"/>
      <c r="M280" s="27" t="str">
        <f aca="false">IF(COUNT(H280:L280)=5,H280*I280*J280*K280/L280,"")</f>
        <v/>
      </c>
      <c r="N280" s="28" t="str">
        <f aca="false">IF(M280="","",IF(AND(M280&gt;=100,L280&lt;=2),"Quick win",IF(M280&gt;=100,"Strategic priority",IF(M280&gt;=30,"Long-term investment","Low priority / avoid"))))</f>
        <v/>
      </c>
      <c r="O280" s="22"/>
      <c r="P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6"/>
      <c r="G281" s="22"/>
      <c r="H281" s="22"/>
      <c r="I281" s="22"/>
      <c r="J281" s="22"/>
      <c r="K281" s="22"/>
      <c r="L281" s="22"/>
      <c r="M281" s="27" t="str">
        <f aca="false">IF(COUNT(H281:L281)=5,H281*I281*J281*K281/L281,"")</f>
        <v/>
      </c>
      <c r="N281" s="28" t="str">
        <f aca="false">IF(M281="","",IF(AND(M281&gt;=100,L281&lt;=2),"Quick win",IF(M281&gt;=100,"Strategic priority",IF(M281&gt;=30,"Long-term investment","Low priority / avoid"))))</f>
        <v/>
      </c>
      <c r="O281" s="22"/>
      <c r="P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6"/>
      <c r="G282" s="22"/>
      <c r="H282" s="22"/>
      <c r="I282" s="22"/>
      <c r="J282" s="22"/>
      <c r="K282" s="22"/>
      <c r="L282" s="22"/>
      <c r="M282" s="27" t="str">
        <f aca="false">IF(COUNT(H282:L282)=5,H282*I282*J282*K282/L282,"")</f>
        <v/>
      </c>
      <c r="N282" s="28" t="str">
        <f aca="false">IF(M282="","",IF(AND(M282&gt;=100,L282&lt;=2),"Quick win",IF(M282&gt;=100,"Strategic priority",IF(M282&gt;=30,"Long-term investment","Low priority / avoid"))))</f>
        <v/>
      </c>
      <c r="O282" s="22"/>
      <c r="P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6"/>
      <c r="G283" s="22"/>
      <c r="H283" s="22"/>
      <c r="I283" s="22"/>
      <c r="J283" s="22"/>
      <c r="K283" s="22"/>
      <c r="L283" s="22"/>
      <c r="M283" s="27" t="str">
        <f aca="false">IF(COUNT(H283:L283)=5,H283*I283*J283*K283/L283,"")</f>
        <v/>
      </c>
      <c r="N283" s="28" t="str">
        <f aca="false">IF(M283="","",IF(AND(M283&gt;=100,L283&lt;=2),"Quick win",IF(M283&gt;=100,"Strategic priority",IF(M283&gt;=30,"Long-term investment","Low priority / avoid"))))</f>
        <v/>
      </c>
      <c r="O283" s="22"/>
      <c r="P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6"/>
      <c r="G284" s="22"/>
      <c r="H284" s="22"/>
      <c r="I284" s="22"/>
      <c r="J284" s="22"/>
      <c r="K284" s="22"/>
      <c r="L284" s="22"/>
      <c r="M284" s="27" t="str">
        <f aca="false">IF(COUNT(H284:L284)=5,H284*I284*J284*K284/L284,"")</f>
        <v/>
      </c>
      <c r="N284" s="28" t="str">
        <f aca="false">IF(M284="","",IF(AND(M284&gt;=100,L284&lt;=2),"Quick win",IF(M284&gt;=100,"Strategic priority",IF(M284&gt;=30,"Long-term investment","Low priority / avoid"))))</f>
        <v/>
      </c>
      <c r="O284" s="22"/>
      <c r="P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6"/>
      <c r="G285" s="22"/>
      <c r="H285" s="22"/>
      <c r="I285" s="22"/>
      <c r="J285" s="22"/>
      <c r="K285" s="22"/>
      <c r="L285" s="22"/>
      <c r="M285" s="27" t="str">
        <f aca="false">IF(COUNT(H285:L285)=5,H285*I285*J285*K285/L285,"")</f>
        <v/>
      </c>
      <c r="N285" s="28" t="str">
        <f aca="false">IF(M285="","",IF(AND(M285&gt;=100,L285&lt;=2),"Quick win",IF(M285&gt;=100,"Strategic priority",IF(M285&gt;=30,"Long-term investment","Low priority / avoid"))))</f>
        <v/>
      </c>
      <c r="O285" s="22"/>
      <c r="P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6"/>
      <c r="G286" s="22"/>
      <c r="H286" s="22"/>
      <c r="I286" s="22"/>
      <c r="J286" s="22"/>
      <c r="K286" s="22"/>
      <c r="L286" s="22"/>
      <c r="M286" s="27" t="str">
        <f aca="false">IF(COUNT(H286:L286)=5,H286*I286*J286*K286/L286,"")</f>
        <v/>
      </c>
      <c r="N286" s="28" t="str">
        <f aca="false">IF(M286="","",IF(AND(M286&gt;=100,L286&lt;=2),"Quick win",IF(M286&gt;=100,"Strategic priority",IF(M286&gt;=30,"Long-term investment","Low priority / avoid"))))</f>
        <v/>
      </c>
      <c r="O286" s="22"/>
      <c r="P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6"/>
      <c r="G287" s="22"/>
      <c r="H287" s="22"/>
      <c r="I287" s="22"/>
      <c r="J287" s="22"/>
      <c r="K287" s="22"/>
      <c r="L287" s="22"/>
      <c r="M287" s="27" t="str">
        <f aca="false">IF(COUNT(H287:L287)=5,H287*I287*J287*K287/L287,"")</f>
        <v/>
      </c>
      <c r="N287" s="28" t="str">
        <f aca="false">IF(M287="","",IF(AND(M287&gt;=100,L287&lt;=2),"Quick win",IF(M287&gt;=100,"Strategic priority",IF(M287&gt;=30,"Long-term investment","Low priority / avoid"))))</f>
        <v/>
      </c>
      <c r="O287" s="22"/>
      <c r="P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6"/>
      <c r="G288" s="22"/>
      <c r="H288" s="22"/>
      <c r="I288" s="22"/>
      <c r="J288" s="22"/>
      <c r="K288" s="22"/>
      <c r="L288" s="22"/>
      <c r="M288" s="27" t="str">
        <f aca="false">IF(COUNT(H288:L288)=5,H288*I288*J288*K288/L288,"")</f>
        <v/>
      </c>
      <c r="N288" s="28" t="str">
        <f aca="false">IF(M288="","",IF(AND(M288&gt;=100,L288&lt;=2),"Quick win",IF(M288&gt;=100,"Strategic priority",IF(M288&gt;=30,"Long-term investment","Low priority / avoid"))))</f>
        <v/>
      </c>
      <c r="O288" s="22"/>
      <c r="P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6"/>
      <c r="G289" s="22"/>
      <c r="H289" s="22"/>
      <c r="I289" s="22"/>
      <c r="J289" s="22"/>
      <c r="K289" s="22"/>
      <c r="L289" s="22"/>
      <c r="M289" s="27" t="str">
        <f aca="false">IF(COUNT(H289:L289)=5,H289*I289*J289*K289/L289,"")</f>
        <v/>
      </c>
      <c r="N289" s="28" t="str">
        <f aca="false">IF(M289="","",IF(AND(M289&gt;=100,L289&lt;=2),"Quick win",IF(M289&gt;=100,"Strategic priority",IF(M289&gt;=30,"Long-term investment","Low priority / avoid"))))</f>
        <v/>
      </c>
      <c r="O289" s="22"/>
      <c r="P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6"/>
      <c r="G290" s="22"/>
      <c r="H290" s="22"/>
      <c r="I290" s="22"/>
      <c r="J290" s="22"/>
      <c r="K290" s="22"/>
      <c r="L290" s="22"/>
      <c r="M290" s="27" t="str">
        <f aca="false">IF(COUNT(H290:L290)=5,H290*I290*J290*K290/L290,"")</f>
        <v/>
      </c>
      <c r="N290" s="28" t="str">
        <f aca="false">IF(M290="","",IF(AND(M290&gt;=100,L290&lt;=2),"Quick win",IF(M290&gt;=100,"Strategic priority",IF(M290&gt;=30,"Long-term investment","Low priority / avoid"))))</f>
        <v/>
      </c>
      <c r="O290" s="22"/>
      <c r="P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6"/>
      <c r="G291" s="22"/>
      <c r="H291" s="22"/>
      <c r="I291" s="22"/>
      <c r="J291" s="22"/>
      <c r="K291" s="22"/>
      <c r="L291" s="22"/>
      <c r="M291" s="27" t="str">
        <f aca="false">IF(COUNT(H291:L291)=5,H291*I291*J291*K291/L291,"")</f>
        <v/>
      </c>
      <c r="N291" s="28" t="str">
        <f aca="false">IF(M291="","",IF(AND(M291&gt;=100,L291&lt;=2),"Quick win",IF(M291&gt;=100,"Strategic priority",IF(M291&gt;=30,"Long-term investment","Low priority / avoid"))))</f>
        <v/>
      </c>
      <c r="O291" s="22"/>
      <c r="P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6"/>
      <c r="G292" s="22"/>
      <c r="H292" s="22"/>
      <c r="I292" s="22"/>
      <c r="J292" s="22"/>
      <c r="K292" s="22"/>
      <c r="L292" s="22"/>
      <c r="M292" s="27" t="str">
        <f aca="false">IF(COUNT(H292:L292)=5,H292*I292*J292*K292/L292,"")</f>
        <v/>
      </c>
      <c r="N292" s="28" t="str">
        <f aca="false">IF(M292="","",IF(AND(M292&gt;=100,L292&lt;=2),"Quick win",IF(M292&gt;=100,"Strategic priority",IF(M292&gt;=30,"Long-term investment","Low priority / avoid"))))</f>
        <v/>
      </c>
      <c r="O292" s="22"/>
      <c r="P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6"/>
      <c r="G293" s="22"/>
      <c r="H293" s="22"/>
      <c r="I293" s="22"/>
      <c r="J293" s="22"/>
      <c r="K293" s="22"/>
      <c r="L293" s="22"/>
      <c r="M293" s="27" t="str">
        <f aca="false">IF(COUNT(H293:L293)=5,H293*I293*J293*K293/L293,"")</f>
        <v/>
      </c>
      <c r="N293" s="28" t="str">
        <f aca="false">IF(M293="","",IF(AND(M293&gt;=100,L293&lt;=2),"Quick win",IF(M293&gt;=100,"Strategic priority",IF(M293&gt;=30,"Long-term investment","Low priority / avoid"))))</f>
        <v/>
      </c>
      <c r="O293" s="22"/>
      <c r="P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6"/>
      <c r="G294" s="22"/>
      <c r="H294" s="22"/>
      <c r="I294" s="22"/>
      <c r="J294" s="22"/>
      <c r="K294" s="22"/>
      <c r="L294" s="22"/>
      <c r="M294" s="27" t="str">
        <f aca="false">IF(COUNT(H294:L294)=5,H294*I294*J294*K294/L294,"")</f>
        <v/>
      </c>
      <c r="N294" s="28" t="str">
        <f aca="false">IF(M294="","",IF(AND(M294&gt;=100,L294&lt;=2),"Quick win",IF(M294&gt;=100,"Strategic priority",IF(M294&gt;=30,"Long-term investment","Low priority / avoid"))))</f>
        <v/>
      </c>
      <c r="O294" s="22"/>
      <c r="P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6"/>
      <c r="G295" s="22"/>
      <c r="H295" s="22"/>
      <c r="I295" s="22"/>
      <c r="J295" s="22"/>
      <c r="K295" s="22"/>
      <c r="L295" s="22"/>
      <c r="M295" s="27" t="str">
        <f aca="false">IF(COUNT(H295:L295)=5,H295*I295*J295*K295/L295,"")</f>
        <v/>
      </c>
      <c r="N295" s="28" t="str">
        <f aca="false">IF(M295="","",IF(AND(M295&gt;=100,L295&lt;=2),"Quick win",IF(M295&gt;=100,"Strategic priority",IF(M295&gt;=30,"Long-term investment","Low priority / avoid"))))</f>
        <v/>
      </c>
      <c r="O295" s="22"/>
      <c r="P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6"/>
      <c r="G296" s="22"/>
      <c r="H296" s="22"/>
      <c r="I296" s="22"/>
      <c r="J296" s="22"/>
      <c r="K296" s="22"/>
      <c r="L296" s="22"/>
      <c r="M296" s="27" t="str">
        <f aca="false">IF(COUNT(H296:L296)=5,H296*I296*J296*K296/L296,"")</f>
        <v/>
      </c>
      <c r="N296" s="28" t="str">
        <f aca="false">IF(M296="","",IF(AND(M296&gt;=100,L296&lt;=2),"Quick win",IF(M296&gt;=100,"Strategic priority",IF(M296&gt;=30,"Long-term investment","Low priority / avoid"))))</f>
        <v/>
      </c>
      <c r="O296" s="22"/>
      <c r="P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6"/>
      <c r="G297" s="22"/>
      <c r="H297" s="22"/>
      <c r="I297" s="22"/>
      <c r="J297" s="22"/>
      <c r="K297" s="22"/>
      <c r="L297" s="22"/>
      <c r="M297" s="27" t="str">
        <f aca="false">IF(COUNT(H297:L297)=5,H297*I297*J297*K297/L297,"")</f>
        <v/>
      </c>
      <c r="N297" s="28" t="str">
        <f aca="false">IF(M297="","",IF(AND(M297&gt;=100,L297&lt;=2),"Quick win",IF(M297&gt;=100,"Strategic priority",IF(M297&gt;=30,"Long-term investment","Low priority / avoid"))))</f>
        <v/>
      </c>
      <c r="O297" s="22"/>
      <c r="P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6"/>
      <c r="G298" s="22"/>
      <c r="H298" s="22"/>
      <c r="I298" s="22"/>
      <c r="J298" s="22"/>
      <c r="K298" s="22"/>
      <c r="L298" s="22"/>
      <c r="M298" s="27" t="str">
        <f aca="false">IF(COUNT(H298:L298)=5,H298*I298*J298*K298/L298,"")</f>
        <v/>
      </c>
      <c r="N298" s="28" t="str">
        <f aca="false">IF(M298="","",IF(AND(M298&gt;=100,L298&lt;=2),"Quick win",IF(M298&gt;=100,"Strategic priority",IF(M298&gt;=30,"Long-term investment","Low priority / avoid"))))</f>
        <v/>
      </c>
      <c r="O298" s="22"/>
      <c r="P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6"/>
      <c r="G299" s="22"/>
      <c r="H299" s="22"/>
      <c r="I299" s="22"/>
      <c r="J299" s="22"/>
      <c r="K299" s="22"/>
      <c r="L299" s="22"/>
      <c r="M299" s="27" t="str">
        <f aca="false">IF(COUNT(H299:L299)=5,H299*I299*J299*K299/L299,"")</f>
        <v/>
      </c>
      <c r="N299" s="28" t="str">
        <f aca="false">IF(M299="","",IF(AND(M299&gt;=100,L299&lt;=2),"Quick win",IF(M299&gt;=100,"Strategic priority",IF(M299&gt;=30,"Long-term investment","Low priority / avoid"))))</f>
        <v/>
      </c>
      <c r="O299" s="22"/>
      <c r="P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6"/>
      <c r="G300" s="22"/>
      <c r="H300" s="22"/>
      <c r="I300" s="22"/>
      <c r="J300" s="22"/>
      <c r="K300" s="22"/>
      <c r="L300" s="22"/>
      <c r="M300" s="27" t="str">
        <f aca="false">IF(COUNT(H300:L300)=5,H300*I300*J300*K300/L300,"")</f>
        <v/>
      </c>
      <c r="N300" s="28" t="str">
        <f aca="false">IF(M300="","",IF(AND(M300&gt;=100,L300&lt;=2),"Quick win",IF(M300&gt;=100,"Strategic priority",IF(M300&gt;=30,"Long-term investment","Low priority / avoid"))))</f>
        <v/>
      </c>
      <c r="O300" s="22"/>
      <c r="P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6"/>
      <c r="G301" s="22"/>
      <c r="H301" s="22"/>
      <c r="I301" s="22"/>
      <c r="J301" s="22"/>
      <c r="K301" s="22"/>
      <c r="L301" s="22"/>
      <c r="M301" s="27" t="str">
        <f aca="false">IF(COUNT(H301:L301)=5,H301*I301*J301*K301/L301,"")</f>
        <v/>
      </c>
      <c r="N301" s="28" t="str">
        <f aca="false">IF(M301="","",IF(AND(M301&gt;=100,L301&lt;=2),"Quick win",IF(M301&gt;=100,"Strategic priority",IF(M301&gt;=30,"Long-term investment","Low priority / avoid"))))</f>
        <v/>
      </c>
      <c r="O301" s="22"/>
      <c r="P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6"/>
      <c r="G302" s="22"/>
      <c r="H302" s="22"/>
      <c r="I302" s="22"/>
      <c r="J302" s="22"/>
      <c r="K302" s="22"/>
      <c r="L302" s="22"/>
      <c r="M302" s="27" t="str">
        <f aca="false">IF(COUNT(H302:L302)=5,H302*I302*J302*K302/L302,"")</f>
        <v/>
      </c>
      <c r="N302" s="28" t="str">
        <f aca="false">IF(M302="","",IF(AND(M302&gt;=100,L302&lt;=2),"Quick win",IF(M302&gt;=100,"Strategic priority",IF(M302&gt;=30,"Long-term investment","Low priority / avoid"))))</f>
        <v/>
      </c>
      <c r="O302" s="22"/>
      <c r="P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6"/>
      <c r="G303" s="22"/>
      <c r="H303" s="22"/>
      <c r="I303" s="22"/>
      <c r="J303" s="22"/>
      <c r="K303" s="22"/>
      <c r="L303" s="22"/>
      <c r="M303" s="27" t="str">
        <f aca="false">IF(COUNT(H303:L303)=5,H303*I303*J303*K303/L303,"")</f>
        <v/>
      </c>
      <c r="N303" s="28" t="str">
        <f aca="false">IF(M303="","",IF(AND(M303&gt;=100,L303&lt;=2),"Quick win",IF(M303&gt;=100,"Strategic priority",IF(M303&gt;=30,"Long-term investment","Low priority / avoid"))))</f>
        <v/>
      </c>
      <c r="O303" s="22"/>
      <c r="P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6"/>
      <c r="G304" s="22"/>
      <c r="H304" s="22"/>
      <c r="I304" s="22"/>
      <c r="J304" s="22"/>
      <c r="K304" s="22"/>
      <c r="L304" s="22"/>
      <c r="M304" s="27" t="str">
        <f aca="false">IF(COUNT(H304:L304)=5,H304*I304*J304*K304/L304,"")</f>
        <v/>
      </c>
      <c r="N304" s="28" t="str">
        <f aca="false">IF(M304="","",IF(AND(M304&gt;=100,L304&lt;=2),"Quick win",IF(M304&gt;=100,"Strategic priority",IF(M304&gt;=30,"Long-term investment","Low priority / avoid"))))</f>
        <v/>
      </c>
      <c r="O304" s="22"/>
      <c r="P304" s="22"/>
    </row>
  </sheetData>
  <autoFilter ref="A4:P304"/>
  <dataValidations count="2">
    <dataValidation allowBlank="true" errorStyle="stop" operator="between" showDropDown="false" showErrorMessage="false" showInputMessage="false" sqref="B5:B304" type="list">
      <formula1>Lists!$F$2:$F$12</formula1>
      <formula2>0</formula2>
    </dataValidation>
    <dataValidation allowBlank="true" errorStyle="stop" operator="between" showDropDown="false" showErrorMessage="false" showInputMessage="false" sqref="C5:C304" type="list">
      <formula1>Lists!$G$2:$G$7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0"/>
    <col collapsed="false" customWidth="true" hidden="false" outlineLevel="0" max="3" min="3" style="0" width="14"/>
    <col collapsed="false" customWidth="true" hidden="false" outlineLevel="0" max="4" min="4" style="0" width="32"/>
    <col collapsed="false" customWidth="true" hidden="false" outlineLevel="0" max="5" min="5" style="0" width="12"/>
    <col collapsed="false" customWidth="true" hidden="false" outlineLevel="0" max="9" min="6" style="0" width="9"/>
    <col collapsed="false" customWidth="true" hidden="false" outlineLevel="0" max="10" min="10" style="0" width="10"/>
    <col collapsed="false" customWidth="true" hidden="false" outlineLevel="0" max="11" min="11" style="0" width="14"/>
    <col collapsed="false" customWidth="true" hidden="false" outlineLevel="0" max="12" min="12" style="0" width="18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565</v>
      </c>
    </row>
    <row r="2" customFormat="false" ht="15" hidden="false" customHeight="false" outlineLevel="0" collapsed="false">
      <c r="A2" s="2" t="s">
        <v>566</v>
      </c>
    </row>
    <row r="4" customFormat="false" ht="31.5" hidden="false" customHeight="true" outlineLevel="0" collapsed="false">
      <c r="A4" s="9" t="s">
        <v>118</v>
      </c>
      <c r="B4" s="9" t="s">
        <v>112</v>
      </c>
      <c r="C4" s="9" t="s">
        <v>567</v>
      </c>
      <c r="D4" s="9" t="s">
        <v>568</v>
      </c>
      <c r="E4" s="9" t="s">
        <v>569</v>
      </c>
      <c r="F4" s="9" t="s">
        <v>570</v>
      </c>
      <c r="G4" s="9" t="s">
        <v>571</v>
      </c>
      <c r="H4" s="9" t="s">
        <v>572</v>
      </c>
      <c r="I4" s="9" t="s">
        <v>573</v>
      </c>
      <c r="J4" s="9" t="s">
        <v>574</v>
      </c>
      <c r="K4" s="9" t="s">
        <v>73</v>
      </c>
      <c r="L4" s="9" t="s">
        <v>575</v>
      </c>
      <c r="M4" s="9" t="s">
        <v>546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2"/>
      <c r="I5" s="22"/>
      <c r="J5" s="28" t="str">
        <f aca="false">IF(COUNT(F5:I5)=0,"",LOOKUP(2,1/ISNUMBER(F5:I5),F5:I5))</f>
        <v/>
      </c>
      <c r="K5" s="28" t="str">
        <f aca="false">IF(OR(E5="",J5=""),"",E5-J5)</f>
        <v/>
      </c>
      <c r="L5" s="22"/>
      <c r="M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8" t="str">
        <f aca="false">IF(COUNT(F6:I6)=0,"",LOOKUP(2,1/ISNUMBER(F6:I6),F6:I6))</f>
        <v/>
      </c>
      <c r="K6" s="28" t="str">
        <f aca="false">IF(OR(E6="",J6=""),"",E6-J6)</f>
        <v/>
      </c>
      <c r="L6" s="22"/>
      <c r="M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8" t="str">
        <f aca="false">IF(COUNT(F7:I7)=0,"",LOOKUP(2,1/ISNUMBER(F7:I7),F7:I7))</f>
        <v/>
      </c>
      <c r="K7" s="28" t="str">
        <f aca="false">IF(OR(E7="",J7=""),"",E7-J7)</f>
        <v/>
      </c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8" t="str">
        <f aca="false">IF(COUNT(F8:I8)=0,"",LOOKUP(2,1/ISNUMBER(F8:I8),F8:I8))</f>
        <v/>
      </c>
      <c r="K8" s="28" t="str">
        <f aca="false">IF(OR(E8="",J8=""),"",E8-J8)</f>
        <v/>
      </c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8" t="str">
        <f aca="false">IF(COUNT(F9:I9)=0,"",LOOKUP(2,1/ISNUMBER(F9:I9),F9:I9))</f>
        <v/>
      </c>
      <c r="K9" s="28" t="str">
        <f aca="false">IF(OR(E9="",J9=""),"",E9-J9)</f>
        <v/>
      </c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8" t="str">
        <f aca="false">IF(COUNT(F10:I10)=0,"",LOOKUP(2,1/ISNUMBER(F10:I10),F10:I10))</f>
        <v/>
      </c>
      <c r="K10" s="28" t="str">
        <f aca="false">IF(OR(E10="",J10=""),"",E10-J10)</f>
        <v/>
      </c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8" t="str">
        <f aca="false">IF(COUNT(F11:I11)=0,"",LOOKUP(2,1/ISNUMBER(F11:I11),F11:I11))</f>
        <v/>
      </c>
      <c r="K11" s="28" t="str">
        <f aca="false">IF(OR(E11="",J11=""),"",E11-J11)</f>
        <v/>
      </c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8" t="str">
        <f aca="false">IF(COUNT(F12:I12)=0,"",LOOKUP(2,1/ISNUMBER(F12:I12),F12:I12))</f>
        <v/>
      </c>
      <c r="K12" s="28" t="str">
        <f aca="false">IF(OR(E12="",J12=""),"",E12-J12)</f>
        <v/>
      </c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8" t="str">
        <f aca="false">IF(COUNT(F13:I13)=0,"",LOOKUP(2,1/ISNUMBER(F13:I13),F13:I13))</f>
        <v/>
      </c>
      <c r="K13" s="28" t="str">
        <f aca="false">IF(OR(E13="",J13=""),"",E13-J13)</f>
        <v/>
      </c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8" t="str">
        <f aca="false">IF(COUNT(F14:I14)=0,"",LOOKUP(2,1/ISNUMBER(F14:I14),F14:I14))</f>
        <v/>
      </c>
      <c r="K14" s="28" t="str">
        <f aca="false">IF(OR(E14="",J14=""),"",E14-J14)</f>
        <v/>
      </c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8" t="str">
        <f aca="false">IF(COUNT(F15:I15)=0,"",LOOKUP(2,1/ISNUMBER(F15:I15),F15:I15))</f>
        <v/>
      </c>
      <c r="K15" s="28" t="str">
        <f aca="false">IF(OR(E15="",J15=""),"",E15-J15)</f>
        <v/>
      </c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8" t="str">
        <f aca="false">IF(COUNT(F16:I16)=0,"",LOOKUP(2,1/ISNUMBER(F16:I16),F16:I16))</f>
        <v/>
      </c>
      <c r="K16" s="28" t="str">
        <f aca="false">IF(OR(E16="",J16=""),"",E16-J16)</f>
        <v/>
      </c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8" t="str">
        <f aca="false">IF(COUNT(F17:I17)=0,"",LOOKUP(2,1/ISNUMBER(F17:I17),F17:I17))</f>
        <v/>
      </c>
      <c r="K17" s="28" t="str">
        <f aca="false">IF(OR(E17="",J17=""),"",E17-J17)</f>
        <v/>
      </c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8" t="str">
        <f aca="false">IF(COUNT(F18:I18)=0,"",LOOKUP(2,1/ISNUMBER(F18:I18),F18:I18))</f>
        <v/>
      </c>
      <c r="K18" s="28" t="str">
        <f aca="false">IF(OR(E18="",J18=""),"",E18-J18)</f>
        <v/>
      </c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8" t="str">
        <f aca="false">IF(COUNT(F19:I19)=0,"",LOOKUP(2,1/ISNUMBER(F19:I19),F19:I19))</f>
        <v/>
      </c>
      <c r="K19" s="28" t="str">
        <f aca="false">IF(OR(E19="",J19=""),"",E19-J19)</f>
        <v/>
      </c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8" t="str">
        <f aca="false">IF(COUNT(F20:I20)=0,"",LOOKUP(2,1/ISNUMBER(F20:I20),F20:I20))</f>
        <v/>
      </c>
      <c r="K20" s="28" t="str">
        <f aca="false">IF(OR(E20="",J20=""),"",E20-J20)</f>
        <v/>
      </c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8" t="str">
        <f aca="false">IF(COUNT(F21:I21)=0,"",LOOKUP(2,1/ISNUMBER(F21:I21),F21:I21))</f>
        <v/>
      </c>
      <c r="K21" s="28" t="str">
        <f aca="false">IF(OR(E21="",J21=""),"",E21-J21)</f>
        <v/>
      </c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8" t="str">
        <f aca="false">IF(COUNT(F22:I22)=0,"",LOOKUP(2,1/ISNUMBER(F22:I22),F22:I22))</f>
        <v/>
      </c>
      <c r="K22" s="28" t="str">
        <f aca="false">IF(OR(E22="",J22=""),"",E22-J22)</f>
        <v/>
      </c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8" t="str">
        <f aca="false">IF(COUNT(F23:I23)=0,"",LOOKUP(2,1/ISNUMBER(F23:I23),F23:I23))</f>
        <v/>
      </c>
      <c r="K23" s="28" t="str">
        <f aca="false">IF(OR(E23="",J23=""),"",E23-J23)</f>
        <v/>
      </c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8" t="str">
        <f aca="false">IF(COUNT(F24:I24)=0,"",LOOKUP(2,1/ISNUMBER(F24:I24),F24:I24))</f>
        <v/>
      </c>
      <c r="K24" s="28" t="str">
        <f aca="false">IF(OR(E24="",J24=""),"",E24-J24)</f>
        <v/>
      </c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8" t="str">
        <f aca="false">IF(COUNT(F25:I25)=0,"",LOOKUP(2,1/ISNUMBER(F25:I25),F25:I25))</f>
        <v/>
      </c>
      <c r="K25" s="28" t="str">
        <f aca="false">IF(OR(E25="",J25=""),"",E25-J25)</f>
        <v/>
      </c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8" t="str">
        <f aca="false">IF(COUNT(F26:I26)=0,"",LOOKUP(2,1/ISNUMBER(F26:I26),F26:I26))</f>
        <v/>
      </c>
      <c r="K26" s="28" t="str">
        <f aca="false">IF(OR(E26="",J26=""),"",E26-J26)</f>
        <v/>
      </c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8" t="str">
        <f aca="false">IF(COUNT(F27:I27)=0,"",LOOKUP(2,1/ISNUMBER(F27:I27),F27:I27))</f>
        <v/>
      </c>
      <c r="K27" s="28" t="str">
        <f aca="false">IF(OR(E27="",J27=""),"",E27-J27)</f>
        <v/>
      </c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8" t="str">
        <f aca="false">IF(COUNT(F28:I28)=0,"",LOOKUP(2,1/ISNUMBER(F28:I28),F28:I28))</f>
        <v/>
      </c>
      <c r="K28" s="28" t="str">
        <f aca="false">IF(OR(E28="",J28=""),"",E28-J28)</f>
        <v/>
      </c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8" t="str">
        <f aca="false">IF(COUNT(F29:I29)=0,"",LOOKUP(2,1/ISNUMBER(F29:I29),F29:I29))</f>
        <v/>
      </c>
      <c r="K29" s="28" t="str">
        <f aca="false">IF(OR(E29="",J29=""),"",E29-J29)</f>
        <v/>
      </c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8" t="str">
        <f aca="false">IF(COUNT(F30:I30)=0,"",LOOKUP(2,1/ISNUMBER(F30:I30),F30:I30))</f>
        <v/>
      </c>
      <c r="K30" s="28" t="str">
        <f aca="false">IF(OR(E30="",J30=""),"",E30-J30)</f>
        <v/>
      </c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8" t="str">
        <f aca="false">IF(COUNT(F31:I31)=0,"",LOOKUP(2,1/ISNUMBER(F31:I31),F31:I31))</f>
        <v/>
      </c>
      <c r="K31" s="28" t="str">
        <f aca="false">IF(OR(E31="",J31=""),"",E31-J31)</f>
        <v/>
      </c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8" t="str">
        <f aca="false">IF(COUNT(F32:I32)=0,"",LOOKUP(2,1/ISNUMBER(F32:I32),F32:I32))</f>
        <v/>
      </c>
      <c r="K32" s="28" t="str">
        <f aca="false">IF(OR(E32="",J32=""),"",E32-J32)</f>
        <v/>
      </c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8" t="str">
        <f aca="false">IF(COUNT(F33:I33)=0,"",LOOKUP(2,1/ISNUMBER(F33:I33),F33:I33))</f>
        <v/>
      </c>
      <c r="K33" s="28" t="str">
        <f aca="false">IF(OR(E33="",J33=""),"",E33-J33)</f>
        <v/>
      </c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8" t="str">
        <f aca="false">IF(COUNT(F34:I34)=0,"",LOOKUP(2,1/ISNUMBER(F34:I34),F34:I34))</f>
        <v/>
      </c>
      <c r="K34" s="28" t="str">
        <f aca="false">IF(OR(E34="",J34=""),"",E34-J34)</f>
        <v/>
      </c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8" t="str">
        <f aca="false">IF(COUNT(F35:I35)=0,"",LOOKUP(2,1/ISNUMBER(F35:I35),F35:I35))</f>
        <v/>
      </c>
      <c r="K35" s="28" t="str">
        <f aca="false">IF(OR(E35="",J35=""),"",E35-J35)</f>
        <v/>
      </c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8" t="str">
        <f aca="false">IF(COUNT(F36:I36)=0,"",LOOKUP(2,1/ISNUMBER(F36:I36),F36:I36))</f>
        <v/>
      </c>
      <c r="K36" s="28" t="str">
        <f aca="false">IF(OR(E36="",J36=""),"",E36-J36)</f>
        <v/>
      </c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8" t="str">
        <f aca="false">IF(COUNT(F37:I37)=0,"",LOOKUP(2,1/ISNUMBER(F37:I37),F37:I37))</f>
        <v/>
      </c>
      <c r="K37" s="28" t="str">
        <f aca="false">IF(OR(E37="",J37=""),"",E37-J37)</f>
        <v/>
      </c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8" t="str">
        <f aca="false">IF(COUNT(F38:I38)=0,"",LOOKUP(2,1/ISNUMBER(F38:I38),F38:I38))</f>
        <v/>
      </c>
      <c r="K38" s="28" t="str">
        <f aca="false">IF(OR(E38="",J38=""),"",E38-J38)</f>
        <v/>
      </c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8" t="str">
        <f aca="false">IF(COUNT(F39:I39)=0,"",LOOKUP(2,1/ISNUMBER(F39:I39),F39:I39))</f>
        <v/>
      </c>
      <c r="K39" s="28" t="str">
        <f aca="false">IF(OR(E39="",J39=""),"",E39-J39)</f>
        <v/>
      </c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8" t="str">
        <f aca="false">IF(COUNT(F40:I40)=0,"",LOOKUP(2,1/ISNUMBER(F40:I40),F40:I40))</f>
        <v/>
      </c>
      <c r="K40" s="28" t="str">
        <f aca="false">IF(OR(E40="",J40=""),"",E40-J40)</f>
        <v/>
      </c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8" t="str">
        <f aca="false">IF(COUNT(F41:I41)=0,"",LOOKUP(2,1/ISNUMBER(F41:I41),F41:I41))</f>
        <v/>
      </c>
      <c r="K41" s="28" t="str">
        <f aca="false">IF(OR(E41="",J41=""),"",E41-J41)</f>
        <v/>
      </c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8" t="str">
        <f aca="false">IF(COUNT(F42:I42)=0,"",LOOKUP(2,1/ISNUMBER(F42:I42),F42:I42))</f>
        <v/>
      </c>
      <c r="K42" s="28" t="str">
        <f aca="false">IF(OR(E42="",J42=""),"",E42-J42)</f>
        <v/>
      </c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8" t="str">
        <f aca="false">IF(COUNT(F43:I43)=0,"",LOOKUP(2,1/ISNUMBER(F43:I43),F43:I43))</f>
        <v/>
      </c>
      <c r="K43" s="28" t="str">
        <f aca="false">IF(OR(E43="",J43=""),"",E43-J43)</f>
        <v/>
      </c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8" t="str">
        <f aca="false">IF(COUNT(F44:I44)=0,"",LOOKUP(2,1/ISNUMBER(F44:I44),F44:I44))</f>
        <v/>
      </c>
      <c r="K44" s="28" t="str">
        <f aca="false">IF(OR(E44="",J44=""),"",E44-J44)</f>
        <v/>
      </c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8" t="str">
        <f aca="false">IF(COUNT(F45:I45)=0,"",LOOKUP(2,1/ISNUMBER(F45:I45),F45:I45))</f>
        <v/>
      </c>
      <c r="K45" s="28" t="str">
        <f aca="false">IF(OR(E45="",J45=""),"",E45-J45)</f>
        <v/>
      </c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8" t="str">
        <f aca="false">IF(COUNT(F46:I46)=0,"",LOOKUP(2,1/ISNUMBER(F46:I46),F46:I46))</f>
        <v/>
      </c>
      <c r="K46" s="28" t="str">
        <f aca="false">IF(OR(E46="",J46=""),"",E46-J46)</f>
        <v/>
      </c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8" t="str">
        <f aca="false">IF(COUNT(F47:I47)=0,"",LOOKUP(2,1/ISNUMBER(F47:I47),F47:I47))</f>
        <v/>
      </c>
      <c r="K47" s="28" t="str">
        <f aca="false">IF(OR(E47="",J47=""),"",E47-J47)</f>
        <v/>
      </c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8" t="str">
        <f aca="false">IF(COUNT(F48:I48)=0,"",LOOKUP(2,1/ISNUMBER(F48:I48),F48:I48))</f>
        <v/>
      </c>
      <c r="K48" s="28" t="str">
        <f aca="false">IF(OR(E48="",J48=""),"",E48-J48)</f>
        <v/>
      </c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8" t="str">
        <f aca="false">IF(COUNT(F49:I49)=0,"",LOOKUP(2,1/ISNUMBER(F49:I49),F49:I49))</f>
        <v/>
      </c>
      <c r="K49" s="28" t="str">
        <f aca="false">IF(OR(E49="",J49=""),"",E49-J49)</f>
        <v/>
      </c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8" t="str">
        <f aca="false">IF(COUNT(F50:I50)=0,"",LOOKUP(2,1/ISNUMBER(F50:I50),F50:I50))</f>
        <v/>
      </c>
      <c r="K50" s="28" t="str">
        <f aca="false">IF(OR(E50="",J50=""),"",E50-J50)</f>
        <v/>
      </c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8" t="str">
        <f aca="false">IF(COUNT(F51:I51)=0,"",LOOKUP(2,1/ISNUMBER(F51:I51),F51:I51))</f>
        <v/>
      </c>
      <c r="K51" s="28" t="str">
        <f aca="false">IF(OR(E51="",J51=""),"",E51-J51)</f>
        <v/>
      </c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8" t="str">
        <f aca="false">IF(COUNT(F52:I52)=0,"",LOOKUP(2,1/ISNUMBER(F52:I52),F52:I52))</f>
        <v/>
      </c>
      <c r="K52" s="28" t="str">
        <f aca="false">IF(OR(E52="",J52=""),"",E52-J52)</f>
        <v/>
      </c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8" t="str">
        <f aca="false">IF(COUNT(F53:I53)=0,"",LOOKUP(2,1/ISNUMBER(F53:I53),F53:I53))</f>
        <v/>
      </c>
      <c r="K53" s="28" t="str">
        <f aca="false">IF(OR(E53="",J53=""),"",E53-J53)</f>
        <v/>
      </c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8" t="str">
        <f aca="false">IF(COUNT(F54:I54)=0,"",LOOKUP(2,1/ISNUMBER(F54:I54),F54:I54))</f>
        <v/>
      </c>
      <c r="K54" s="28" t="str">
        <f aca="false">IF(OR(E54="",J54=""),"",E54-J54)</f>
        <v/>
      </c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8" t="str">
        <f aca="false">IF(COUNT(F55:I55)=0,"",LOOKUP(2,1/ISNUMBER(F55:I55),F55:I55))</f>
        <v/>
      </c>
      <c r="K55" s="28" t="str">
        <f aca="false">IF(OR(E55="",J55=""),"",E55-J55)</f>
        <v/>
      </c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8" t="str">
        <f aca="false">IF(COUNT(F56:I56)=0,"",LOOKUP(2,1/ISNUMBER(F56:I56),F56:I56))</f>
        <v/>
      </c>
      <c r="K56" s="28" t="str">
        <f aca="false">IF(OR(E56="",J56=""),"",E56-J56)</f>
        <v/>
      </c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8" t="str">
        <f aca="false">IF(COUNT(F57:I57)=0,"",LOOKUP(2,1/ISNUMBER(F57:I57),F57:I57))</f>
        <v/>
      </c>
      <c r="K57" s="28" t="str">
        <f aca="false">IF(OR(E57="",J57=""),"",E57-J57)</f>
        <v/>
      </c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8" t="str">
        <f aca="false">IF(COUNT(F58:I58)=0,"",LOOKUP(2,1/ISNUMBER(F58:I58),F58:I58))</f>
        <v/>
      </c>
      <c r="K58" s="28" t="str">
        <f aca="false">IF(OR(E58="",J58=""),"",E58-J58)</f>
        <v/>
      </c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8" t="str">
        <f aca="false">IF(COUNT(F59:I59)=0,"",LOOKUP(2,1/ISNUMBER(F59:I59),F59:I59))</f>
        <v/>
      </c>
      <c r="K59" s="28" t="str">
        <f aca="false">IF(OR(E59="",J59=""),"",E59-J59)</f>
        <v/>
      </c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8" t="str">
        <f aca="false">IF(COUNT(F60:I60)=0,"",LOOKUP(2,1/ISNUMBER(F60:I60),F60:I60))</f>
        <v/>
      </c>
      <c r="K60" s="28" t="str">
        <f aca="false">IF(OR(E60="",J60=""),"",E60-J60)</f>
        <v/>
      </c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8" t="str">
        <f aca="false">IF(COUNT(F61:I61)=0,"",LOOKUP(2,1/ISNUMBER(F61:I61),F61:I61))</f>
        <v/>
      </c>
      <c r="K61" s="28" t="str">
        <f aca="false">IF(OR(E61="",J61=""),"",E61-J61)</f>
        <v/>
      </c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8" t="str">
        <f aca="false">IF(COUNT(F62:I62)=0,"",LOOKUP(2,1/ISNUMBER(F62:I62),F62:I62))</f>
        <v/>
      </c>
      <c r="K62" s="28" t="str">
        <f aca="false">IF(OR(E62="",J62=""),"",E62-J62)</f>
        <v/>
      </c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8" t="str">
        <f aca="false">IF(COUNT(F63:I63)=0,"",LOOKUP(2,1/ISNUMBER(F63:I63),F63:I63))</f>
        <v/>
      </c>
      <c r="K63" s="28" t="str">
        <f aca="false">IF(OR(E63="",J63=""),"",E63-J63)</f>
        <v/>
      </c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8" t="str">
        <f aca="false">IF(COUNT(F64:I64)=0,"",LOOKUP(2,1/ISNUMBER(F64:I64),F64:I64))</f>
        <v/>
      </c>
      <c r="K64" s="28" t="str">
        <f aca="false">IF(OR(E64="",J64=""),"",E64-J64)</f>
        <v/>
      </c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8" t="str">
        <f aca="false">IF(COUNT(F65:I65)=0,"",LOOKUP(2,1/ISNUMBER(F65:I65),F65:I65))</f>
        <v/>
      </c>
      <c r="K65" s="28" t="str">
        <f aca="false">IF(OR(E65="",J65=""),"",E65-J65)</f>
        <v/>
      </c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8" t="str">
        <f aca="false">IF(COUNT(F66:I66)=0,"",LOOKUP(2,1/ISNUMBER(F66:I66),F66:I66))</f>
        <v/>
      </c>
      <c r="K66" s="28" t="str">
        <f aca="false">IF(OR(E66="",J66=""),"",E66-J66)</f>
        <v/>
      </c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8" t="str">
        <f aca="false">IF(COUNT(F67:I67)=0,"",LOOKUP(2,1/ISNUMBER(F67:I67),F67:I67))</f>
        <v/>
      </c>
      <c r="K67" s="28" t="str">
        <f aca="false">IF(OR(E67="",J67=""),"",E67-J67)</f>
        <v/>
      </c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8" t="str">
        <f aca="false">IF(COUNT(F68:I68)=0,"",LOOKUP(2,1/ISNUMBER(F68:I68),F68:I68))</f>
        <v/>
      </c>
      <c r="K68" s="28" t="str">
        <f aca="false">IF(OR(E68="",J68=""),"",E68-J68)</f>
        <v/>
      </c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8" t="str">
        <f aca="false">IF(COUNT(F69:I69)=0,"",LOOKUP(2,1/ISNUMBER(F69:I69),F69:I69))</f>
        <v/>
      </c>
      <c r="K69" s="28" t="str">
        <f aca="false">IF(OR(E69="",J69=""),"",E69-J69)</f>
        <v/>
      </c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8" t="str">
        <f aca="false">IF(COUNT(F70:I70)=0,"",LOOKUP(2,1/ISNUMBER(F70:I70),F70:I70))</f>
        <v/>
      </c>
      <c r="K70" s="28" t="str">
        <f aca="false">IF(OR(E70="",J70=""),"",E70-J70)</f>
        <v/>
      </c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8" t="str">
        <f aca="false">IF(COUNT(F71:I71)=0,"",LOOKUP(2,1/ISNUMBER(F71:I71),F71:I71))</f>
        <v/>
      </c>
      <c r="K71" s="28" t="str">
        <f aca="false">IF(OR(E71="",J71=""),"",E71-J71)</f>
        <v/>
      </c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8" t="str">
        <f aca="false">IF(COUNT(F72:I72)=0,"",LOOKUP(2,1/ISNUMBER(F72:I72),F72:I72))</f>
        <v/>
      </c>
      <c r="K72" s="28" t="str">
        <f aca="false">IF(OR(E72="",J72=""),"",E72-J72)</f>
        <v/>
      </c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8" t="str">
        <f aca="false">IF(COUNT(F73:I73)=0,"",LOOKUP(2,1/ISNUMBER(F73:I73),F73:I73))</f>
        <v/>
      </c>
      <c r="K73" s="28" t="str">
        <f aca="false">IF(OR(E73="",J73=""),"",E73-J73)</f>
        <v/>
      </c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8" t="str">
        <f aca="false">IF(COUNT(F74:I74)=0,"",LOOKUP(2,1/ISNUMBER(F74:I74),F74:I74))</f>
        <v/>
      </c>
      <c r="K74" s="28" t="str">
        <f aca="false">IF(OR(E74="",J74=""),"",E74-J74)</f>
        <v/>
      </c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8" t="str">
        <f aca="false">IF(COUNT(F75:I75)=0,"",LOOKUP(2,1/ISNUMBER(F75:I75),F75:I75))</f>
        <v/>
      </c>
      <c r="K75" s="28" t="str">
        <f aca="false">IF(OR(E75="",J75=""),"",E75-J75)</f>
        <v/>
      </c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8" t="str">
        <f aca="false">IF(COUNT(F76:I76)=0,"",LOOKUP(2,1/ISNUMBER(F76:I76),F76:I76))</f>
        <v/>
      </c>
      <c r="K76" s="28" t="str">
        <f aca="false">IF(OR(E76="",J76=""),"",E76-J76)</f>
        <v/>
      </c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8" t="str">
        <f aca="false">IF(COUNT(F77:I77)=0,"",LOOKUP(2,1/ISNUMBER(F77:I77),F77:I77))</f>
        <v/>
      </c>
      <c r="K77" s="28" t="str">
        <f aca="false">IF(OR(E77="",J77=""),"",E77-J77)</f>
        <v/>
      </c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8" t="str">
        <f aca="false">IF(COUNT(F78:I78)=0,"",LOOKUP(2,1/ISNUMBER(F78:I78),F78:I78))</f>
        <v/>
      </c>
      <c r="K78" s="28" t="str">
        <f aca="false">IF(OR(E78="",J78=""),"",E78-J78)</f>
        <v/>
      </c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8" t="str">
        <f aca="false">IF(COUNT(F79:I79)=0,"",LOOKUP(2,1/ISNUMBER(F79:I79),F79:I79))</f>
        <v/>
      </c>
      <c r="K79" s="28" t="str">
        <f aca="false">IF(OR(E79="",J79=""),"",E79-J79)</f>
        <v/>
      </c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8" t="str">
        <f aca="false">IF(COUNT(F80:I80)=0,"",LOOKUP(2,1/ISNUMBER(F80:I80),F80:I80))</f>
        <v/>
      </c>
      <c r="K80" s="28" t="str">
        <f aca="false">IF(OR(E80="",J80=""),"",E80-J80)</f>
        <v/>
      </c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8" t="str">
        <f aca="false">IF(COUNT(F81:I81)=0,"",LOOKUP(2,1/ISNUMBER(F81:I81),F81:I81))</f>
        <v/>
      </c>
      <c r="K81" s="28" t="str">
        <f aca="false">IF(OR(E81="",J81=""),"",E81-J81)</f>
        <v/>
      </c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8" t="str">
        <f aca="false">IF(COUNT(F82:I82)=0,"",LOOKUP(2,1/ISNUMBER(F82:I82),F82:I82))</f>
        <v/>
      </c>
      <c r="K82" s="28" t="str">
        <f aca="false">IF(OR(E82="",J82=""),"",E82-J82)</f>
        <v/>
      </c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8" t="str">
        <f aca="false">IF(COUNT(F83:I83)=0,"",LOOKUP(2,1/ISNUMBER(F83:I83),F83:I83))</f>
        <v/>
      </c>
      <c r="K83" s="28" t="str">
        <f aca="false">IF(OR(E83="",J83=""),"",E83-J83)</f>
        <v/>
      </c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8" t="str">
        <f aca="false">IF(COUNT(F84:I84)=0,"",LOOKUP(2,1/ISNUMBER(F84:I84),F84:I84))</f>
        <v/>
      </c>
      <c r="K84" s="28" t="str">
        <f aca="false">IF(OR(E84="",J84=""),"",E84-J84)</f>
        <v/>
      </c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8" t="str">
        <f aca="false">IF(COUNT(F85:I85)=0,"",LOOKUP(2,1/ISNUMBER(F85:I85),F85:I85))</f>
        <v/>
      </c>
      <c r="K85" s="28" t="str">
        <f aca="false">IF(OR(E85="",J85=""),"",E85-J85)</f>
        <v/>
      </c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8" t="str">
        <f aca="false">IF(COUNT(F86:I86)=0,"",LOOKUP(2,1/ISNUMBER(F86:I86),F86:I86))</f>
        <v/>
      </c>
      <c r="K86" s="28" t="str">
        <f aca="false">IF(OR(E86="",J86=""),"",E86-J86)</f>
        <v/>
      </c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8" t="str">
        <f aca="false">IF(COUNT(F87:I87)=0,"",LOOKUP(2,1/ISNUMBER(F87:I87),F87:I87))</f>
        <v/>
      </c>
      <c r="K87" s="28" t="str">
        <f aca="false">IF(OR(E87="",J87=""),"",E87-J87)</f>
        <v/>
      </c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8" t="str">
        <f aca="false">IF(COUNT(F88:I88)=0,"",LOOKUP(2,1/ISNUMBER(F88:I88),F88:I88))</f>
        <v/>
      </c>
      <c r="K88" s="28" t="str">
        <f aca="false">IF(OR(E88="",J88=""),"",E88-J88)</f>
        <v/>
      </c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8" t="str">
        <f aca="false">IF(COUNT(F89:I89)=0,"",LOOKUP(2,1/ISNUMBER(F89:I89),F89:I89))</f>
        <v/>
      </c>
      <c r="K89" s="28" t="str">
        <f aca="false">IF(OR(E89="",J89=""),"",E89-J89)</f>
        <v/>
      </c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8" t="str">
        <f aca="false">IF(COUNT(F90:I90)=0,"",LOOKUP(2,1/ISNUMBER(F90:I90),F90:I90))</f>
        <v/>
      </c>
      <c r="K90" s="28" t="str">
        <f aca="false">IF(OR(E90="",J90=""),"",E90-J90)</f>
        <v/>
      </c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8" t="str">
        <f aca="false">IF(COUNT(F91:I91)=0,"",LOOKUP(2,1/ISNUMBER(F91:I91),F91:I91))</f>
        <v/>
      </c>
      <c r="K91" s="28" t="str">
        <f aca="false">IF(OR(E91="",J91=""),"",E91-J91)</f>
        <v/>
      </c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8" t="str">
        <f aca="false">IF(COUNT(F92:I92)=0,"",LOOKUP(2,1/ISNUMBER(F92:I92),F92:I92))</f>
        <v/>
      </c>
      <c r="K92" s="28" t="str">
        <f aca="false">IF(OR(E92="",J92=""),"",E92-J92)</f>
        <v/>
      </c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8" t="str">
        <f aca="false">IF(COUNT(F93:I93)=0,"",LOOKUP(2,1/ISNUMBER(F93:I93),F93:I93))</f>
        <v/>
      </c>
      <c r="K93" s="28" t="str">
        <f aca="false">IF(OR(E93="",J93=""),"",E93-J93)</f>
        <v/>
      </c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8" t="str">
        <f aca="false">IF(COUNT(F94:I94)=0,"",LOOKUP(2,1/ISNUMBER(F94:I94),F94:I94))</f>
        <v/>
      </c>
      <c r="K94" s="28" t="str">
        <f aca="false">IF(OR(E94="",J94=""),"",E94-J94)</f>
        <v/>
      </c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8" t="str">
        <f aca="false">IF(COUNT(F95:I95)=0,"",LOOKUP(2,1/ISNUMBER(F95:I95),F95:I95))</f>
        <v/>
      </c>
      <c r="K95" s="28" t="str">
        <f aca="false">IF(OR(E95="",J95=""),"",E95-J95)</f>
        <v/>
      </c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8" t="str">
        <f aca="false">IF(COUNT(F96:I96)=0,"",LOOKUP(2,1/ISNUMBER(F96:I96),F96:I96))</f>
        <v/>
      </c>
      <c r="K96" s="28" t="str">
        <f aca="false">IF(OR(E96="",J96=""),"",E96-J96)</f>
        <v/>
      </c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8" t="str">
        <f aca="false">IF(COUNT(F97:I97)=0,"",LOOKUP(2,1/ISNUMBER(F97:I97),F97:I97))</f>
        <v/>
      </c>
      <c r="K97" s="28" t="str">
        <f aca="false">IF(OR(E97="",J97=""),"",E97-J97)</f>
        <v/>
      </c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8" t="str">
        <f aca="false">IF(COUNT(F98:I98)=0,"",LOOKUP(2,1/ISNUMBER(F98:I98),F98:I98))</f>
        <v/>
      </c>
      <c r="K98" s="28" t="str">
        <f aca="false">IF(OR(E98="",J98=""),"",E98-J98)</f>
        <v/>
      </c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8" t="str">
        <f aca="false">IF(COUNT(F99:I99)=0,"",LOOKUP(2,1/ISNUMBER(F99:I99),F99:I99))</f>
        <v/>
      </c>
      <c r="K99" s="28" t="str">
        <f aca="false">IF(OR(E99="",J99=""),"",E99-J99)</f>
        <v/>
      </c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8" t="str">
        <f aca="false">IF(COUNT(F100:I100)=0,"",LOOKUP(2,1/ISNUMBER(F100:I100),F100:I100))</f>
        <v/>
      </c>
      <c r="K100" s="28" t="str">
        <f aca="false">IF(OR(E100="",J100=""),"",E100-J100)</f>
        <v/>
      </c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8" t="str">
        <f aca="false">IF(COUNT(F101:I101)=0,"",LOOKUP(2,1/ISNUMBER(F101:I101),F101:I101))</f>
        <v/>
      </c>
      <c r="K101" s="28" t="str">
        <f aca="false">IF(OR(E101="",J101=""),"",E101-J101)</f>
        <v/>
      </c>
      <c r="L101" s="22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8" t="str">
        <f aca="false">IF(COUNT(F102:I102)=0,"",LOOKUP(2,1/ISNUMBER(F102:I102),F102:I102))</f>
        <v/>
      </c>
      <c r="K102" s="28" t="str">
        <f aca="false">IF(OR(E102="",J102=""),"",E102-J102)</f>
        <v/>
      </c>
      <c r="L102" s="22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8" t="str">
        <f aca="false">IF(COUNT(F103:I103)=0,"",LOOKUP(2,1/ISNUMBER(F103:I103),F103:I103))</f>
        <v/>
      </c>
      <c r="K103" s="28" t="str">
        <f aca="false">IF(OR(E103="",J103=""),"",E103-J103)</f>
        <v/>
      </c>
      <c r="L103" s="22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8" t="str">
        <f aca="false">IF(COUNT(F104:I104)=0,"",LOOKUP(2,1/ISNUMBER(F104:I104),F104:I104))</f>
        <v/>
      </c>
      <c r="K104" s="28" t="str">
        <f aca="false">IF(OR(E104="",J104=""),"",E104-J104)</f>
        <v/>
      </c>
      <c r="L104" s="22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8" t="str">
        <f aca="false">IF(COUNT(F105:I105)=0,"",LOOKUP(2,1/ISNUMBER(F105:I105),F105:I105))</f>
        <v/>
      </c>
      <c r="K105" s="28" t="str">
        <f aca="false">IF(OR(E105="",J105=""),"",E105-J105)</f>
        <v/>
      </c>
      <c r="L105" s="22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8" t="str">
        <f aca="false">IF(COUNT(F106:I106)=0,"",LOOKUP(2,1/ISNUMBER(F106:I106),F106:I106))</f>
        <v/>
      </c>
      <c r="K106" s="28" t="str">
        <f aca="false">IF(OR(E106="",J106=""),"",E106-J106)</f>
        <v/>
      </c>
      <c r="L106" s="22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8" t="str">
        <f aca="false">IF(COUNT(F107:I107)=0,"",LOOKUP(2,1/ISNUMBER(F107:I107),F107:I107))</f>
        <v/>
      </c>
      <c r="K107" s="28" t="str">
        <f aca="false">IF(OR(E107="",J107=""),"",E107-J107)</f>
        <v/>
      </c>
      <c r="L107" s="22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8" t="str">
        <f aca="false">IF(COUNT(F108:I108)=0,"",LOOKUP(2,1/ISNUMBER(F108:I108),F108:I108))</f>
        <v/>
      </c>
      <c r="K108" s="28" t="str">
        <f aca="false">IF(OR(E108="",J108=""),"",E108-J108)</f>
        <v/>
      </c>
      <c r="L108" s="22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8" t="str">
        <f aca="false">IF(COUNT(F109:I109)=0,"",LOOKUP(2,1/ISNUMBER(F109:I109),F109:I109))</f>
        <v/>
      </c>
      <c r="K109" s="28" t="str">
        <f aca="false">IF(OR(E109="",J109=""),"",E109-J109)</f>
        <v/>
      </c>
      <c r="L109" s="22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8" t="str">
        <f aca="false">IF(COUNT(F110:I110)=0,"",LOOKUP(2,1/ISNUMBER(F110:I110),F110:I110))</f>
        <v/>
      </c>
      <c r="K110" s="28" t="str">
        <f aca="false">IF(OR(E110="",J110=""),"",E110-J110)</f>
        <v/>
      </c>
      <c r="L110" s="22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8" t="str">
        <f aca="false">IF(COUNT(F111:I111)=0,"",LOOKUP(2,1/ISNUMBER(F111:I111),F111:I111))</f>
        <v/>
      </c>
      <c r="K111" s="28" t="str">
        <f aca="false">IF(OR(E111="",J111=""),"",E111-J111)</f>
        <v/>
      </c>
      <c r="L111" s="22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8" t="str">
        <f aca="false">IF(COUNT(F112:I112)=0,"",LOOKUP(2,1/ISNUMBER(F112:I112),F112:I112))</f>
        <v/>
      </c>
      <c r="K112" s="28" t="str">
        <f aca="false">IF(OR(E112="",J112=""),"",E112-J112)</f>
        <v/>
      </c>
      <c r="L112" s="22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8" t="str">
        <f aca="false">IF(COUNT(F113:I113)=0,"",LOOKUP(2,1/ISNUMBER(F113:I113),F113:I113))</f>
        <v/>
      </c>
      <c r="K113" s="28" t="str">
        <f aca="false">IF(OR(E113="",J113=""),"",E113-J113)</f>
        <v/>
      </c>
      <c r="L113" s="22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8" t="str">
        <f aca="false">IF(COUNT(F114:I114)=0,"",LOOKUP(2,1/ISNUMBER(F114:I114),F114:I114))</f>
        <v/>
      </c>
      <c r="K114" s="28" t="str">
        <f aca="false">IF(OR(E114="",J114=""),"",E114-J114)</f>
        <v/>
      </c>
      <c r="L114" s="22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8" t="str">
        <f aca="false">IF(COUNT(F115:I115)=0,"",LOOKUP(2,1/ISNUMBER(F115:I115),F115:I115))</f>
        <v/>
      </c>
      <c r="K115" s="28" t="str">
        <f aca="false">IF(OR(E115="",J115=""),"",E115-J115)</f>
        <v/>
      </c>
      <c r="L115" s="22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8" t="str">
        <f aca="false">IF(COUNT(F116:I116)=0,"",LOOKUP(2,1/ISNUMBER(F116:I116),F116:I116))</f>
        <v/>
      </c>
      <c r="K116" s="28" t="str">
        <f aca="false">IF(OR(E116="",J116=""),"",E116-J116)</f>
        <v/>
      </c>
      <c r="L116" s="22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8" t="str">
        <f aca="false">IF(COUNT(F117:I117)=0,"",LOOKUP(2,1/ISNUMBER(F117:I117),F117:I117))</f>
        <v/>
      </c>
      <c r="K117" s="28" t="str">
        <f aca="false">IF(OR(E117="",J117=""),"",E117-J117)</f>
        <v/>
      </c>
      <c r="L117" s="22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8" t="str">
        <f aca="false">IF(COUNT(F118:I118)=0,"",LOOKUP(2,1/ISNUMBER(F118:I118),F118:I118))</f>
        <v/>
      </c>
      <c r="K118" s="28" t="str">
        <f aca="false">IF(OR(E118="",J118=""),"",E118-J118)</f>
        <v/>
      </c>
      <c r="L118" s="22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8" t="str">
        <f aca="false">IF(COUNT(F119:I119)=0,"",LOOKUP(2,1/ISNUMBER(F119:I119),F119:I119))</f>
        <v/>
      </c>
      <c r="K119" s="28" t="str">
        <f aca="false">IF(OR(E119="",J119=""),"",E119-J119)</f>
        <v/>
      </c>
      <c r="L119" s="22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8" t="str">
        <f aca="false">IF(COUNT(F120:I120)=0,"",LOOKUP(2,1/ISNUMBER(F120:I120),F120:I120))</f>
        <v/>
      </c>
      <c r="K120" s="28" t="str">
        <f aca="false">IF(OR(E120="",J120=""),"",E120-J120)</f>
        <v/>
      </c>
      <c r="L120" s="22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8" t="str">
        <f aca="false">IF(COUNT(F121:I121)=0,"",LOOKUP(2,1/ISNUMBER(F121:I121),F121:I121))</f>
        <v/>
      </c>
      <c r="K121" s="28" t="str">
        <f aca="false">IF(OR(E121="",J121=""),"",E121-J121)</f>
        <v/>
      </c>
      <c r="L121" s="22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8" t="str">
        <f aca="false">IF(COUNT(F122:I122)=0,"",LOOKUP(2,1/ISNUMBER(F122:I122),F122:I122))</f>
        <v/>
      </c>
      <c r="K122" s="28" t="str">
        <f aca="false">IF(OR(E122="",J122=""),"",E122-J122)</f>
        <v/>
      </c>
      <c r="L122" s="22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8" t="str">
        <f aca="false">IF(COUNT(F123:I123)=0,"",LOOKUP(2,1/ISNUMBER(F123:I123),F123:I123))</f>
        <v/>
      </c>
      <c r="K123" s="28" t="str">
        <f aca="false">IF(OR(E123="",J123=""),"",E123-J123)</f>
        <v/>
      </c>
      <c r="L123" s="22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8" t="str">
        <f aca="false">IF(COUNT(F124:I124)=0,"",LOOKUP(2,1/ISNUMBER(F124:I124),F124:I124))</f>
        <v/>
      </c>
      <c r="K124" s="28" t="str">
        <f aca="false">IF(OR(E124="",J124=""),"",E124-J124)</f>
        <v/>
      </c>
      <c r="L124" s="22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8" t="str">
        <f aca="false">IF(COUNT(F125:I125)=0,"",LOOKUP(2,1/ISNUMBER(F125:I125),F125:I125))</f>
        <v/>
      </c>
      <c r="K125" s="28" t="str">
        <f aca="false">IF(OR(E125="",J125=""),"",E125-J125)</f>
        <v/>
      </c>
      <c r="L125" s="22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8" t="str">
        <f aca="false">IF(COUNT(F126:I126)=0,"",LOOKUP(2,1/ISNUMBER(F126:I126),F126:I126))</f>
        <v/>
      </c>
      <c r="K126" s="28" t="str">
        <f aca="false">IF(OR(E126="",J126=""),"",E126-J126)</f>
        <v/>
      </c>
      <c r="L126" s="22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8" t="str">
        <f aca="false">IF(COUNT(F127:I127)=0,"",LOOKUP(2,1/ISNUMBER(F127:I127),F127:I127))</f>
        <v/>
      </c>
      <c r="K127" s="28" t="str">
        <f aca="false">IF(OR(E127="",J127=""),"",E127-J127)</f>
        <v/>
      </c>
      <c r="L127" s="22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8" t="str">
        <f aca="false">IF(COUNT(F128:I128)=0,"",LOOKUP(2,1/ISNUMBER(F128:I128),F128:I128))</f>
        <v/>
      </c>
      <c r="K128" s="28" t="str">
        <f aca="false">IF(OR(E128="",J128=""),"",E128-J128)</f>
        <v/>
      </c>
      <c r="L128" s="22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8" t="str">
        <f aca="false">IF(COUNT(F129:I129)=0,"",LOOKUP(2,1/ISNUMBER(F129:I129),F129:I129))</f>
        <v/>
      </c>
      <c r="K129" s="28" t="str">
        <f aca="false">IF(OR(E129="",J129=""),"",E129-J129)</f>
        <v/>
      </c>
      <c r="L129" s="22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8" t="str">
        <f aca="false">IF(COUNT(F130:I130)=0,"",LOOKUP(2,1/ISNUMBER(F130:I130),F130:I130))</f>
        <v/>
      </c>
      <c r="K130" s="28" t="str">
        <f aca="false">IF(OR(E130="",J130=""),"",E130-J130)</f>
        <v/>
      </c>
      <c r="L130" s="22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8" t="str">
        <f aca="false">IF(COUNT(F131:I131)=0,"",LOOKUP(2,1/ISNUMBER(F131:I131),F131:I131))</f>
        <v/>
      </c>
      <c r="K131" s="28" t="str">
        <f aca="false">IF(OR(E131="",J131=""),"",E131-J131)</f>
        <v/>
      </c>
      <c r="L131" s="22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8" t="str">
        <f aca="false">IF(COUNT(F132:I132)=0,"",LOOKUP(2,1/ISNUMBER(F132:I132),F132:I132))</f>
        <v/>
      </c>
      <c r="K132" s="28" t="str">
        <f aca="false">IF(OR(E132="",J132=""),"",E132-J132)</f>
        <v/>
      </c>
      <c r="L132" s="22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8" t="str">
        <f aca="false">IF(COUNT(F133:I133)=0,"",LOOKUP(2,1/ISNUMBER(F133:I133),F133:I133))</f>
        <v/>
      </c>
      <c r="K133" s="28" t="str">
        <f aca="false">IF(OR(E133="",J133=""),"",E133-J133)</f>
        <v/>
      </c>
      <c r="L133" s="22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8" t="str">
        <f aca="false">IF(COUNT(F134:I134)=0,"",LOOKUP(2,1/ISNUMBER(F134:I134),F134:I134))</f>
        <v/>
      </c>
      <c r="K134" s="28" t="str">
        <f aca="false">IF(OR(E134="",J134=""),"",E134-J134)</f>
        <v/>
      </c>
      <c r="L134" s="22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8" t="str">
        <f aca="false">IF(COUNT(F135:I135)=0,"",LOOKUP(2,1/ISNUMBER(F135:I135),F135:I135))</f>
        <v/>
      </c>
      <c r="K135" s="28" t="str">
        <f aca="false">IF(OR(E135="",J135=""),"",E135-J135)</f>
        <v/>
      </c>
      <c r="L135" s="22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8" t="str">
        <f aca="false">IF(COUNT(F136:I136)=0,"",LOOKUP(2,1/ISNUMBER(F136:I136),F136:I136))</f>
        <v/>
      </c>
      <c r="K136" s="28" t="str">
        <f aca="false">IF(OR(E136="",J136=""),"",E136-J136)</f>
        <v/>
      </c>
      <c r="L136" s="22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8" t="str">
        <f aca="false">IF(COUNT(F137:I137)=0,"",LOOKUP(2,1/ISNUMBER(F137:I137),F137:I137))</f>
        <v/>
      </c>
      <c r="K137" s="28" t="str">
        <f aca="false">IF(OR(E137="",J137=""),"",E137-J137)</f>
        <v/>
      </c>
      <c r="L137" s="22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8" t="str">
        <f aca="false">IF(COUNT(F138:I138)=0,"",LOOKUP(2,1/ISNUMBER(F138:I138),F138:I138))</f>
        <v/>
      </c>
      <c r="K138" s="28" t="str">
        <f aca="false">IF(OR(E138="",J138=""),"",E138-J138)</f>
        <v/>
      </c>
      <c r="L138" s="22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8" t="str">
        <f aca="false">IF(COUNT(F139:I139)=0,"",LOOKUP(2,1/ISNUMBER(F139:I139),F139:I139))</f>
        <v/>
      </c>
      <c r="K139" s="28" t="str">
        <f aca="false">IF(OR(E139="",J139=""),"",E139-J139)</f>
        <v/>
      </c>
      <c r="L139" s="22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8" t="str">
        <f aca="false">IF(COUNT(F140:I140)=0,"",LOOKUP(2,1/ISNUMBER(F140:I140),F140:I140))</f>
        <v/>
      </c>
      <c r="K140" s="28" t="str">
        <f aca="false">IF(OR(E140="",J140=""),"",E140-J140)</f>
        <v/>
      </c>
      <c r="L140" s="22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8" t="str">
        <f aca="false">IF(COUNT(F141:I141)=0,"",LOOKUP(2,1/ISNUMBER(F141:I141),F141:I141))</f>
        <v/>
      </c>
      <c r="K141" s="28" t="str">
        <f aca="false">IF(OR(E141="",J141=""),"",E141-J141)</f>
        <v/>
      </c>
      <c r="L141" s="22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8" t="str">
        <f aca="false">IF(COUNT(F142:I142)=0,"",LOOKUP(2,1/ISNUMBER(F142:I142),F142:I142))</f>
        <v/>
      </c>
      <c r="K142" s="28" t="str">
        <f aca="false">IF(OR(E142="",J142=""),"",E142-J142)</f>
        <v/>
      </c>
      <c r="L142" s="22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8" t="str">
        <f aca="false">IF(COUNT(F143:I143)=0,"",LOOKUP(2,1/ISNUMBER(F143:I143),F143:I143))</f>
        <v/>
      </c>
      <c r="K143" s="28" t="str">
        <f aca="false">IF(OR(E143="",J143=""),"",E143-J143)</f>
        <v/>
      </c>
      <c r="L143" s="22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8" t="str">
        <f aca="false">IF(COUNT(F144:I144)=0,"",LOOKUP(2,1/ISNUMBER(F144:I144),F144:I144))</f>
        <v/>
      </c>
      <c r="K144" s="28" t="str">
        <f aca="false">IF(OR(E144="",J144=""),"",E144-J144)</f>
        <v/>
      </c>
      <c r="L144" s="22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8" t="str">
        <f aca="false">IF(COUNT(F145:I145)=0,"",LOOKUP(2,1/ISNUMBER(F145:I145),F145:I145))</f>
        <v/>
      </c>
      <c r="K145" s="28" t="str">
        <f aca="false">IF(OR(E145="",J145=""),"",E145-J145)</f>
        <v/>
      </c>
      <c r="L145" s="22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8" t="str">
        <f aca="false">IF(COUNT(F146:I146)=0,"",LOOKUP(2,1/ISNUMBER(F146:I146),F146:I146))</f>
        <v/>
      </c>
      <c r="K146" s="28" t="str">
        <f aca="false">IF(OR(E146="",J146=""),"",E146-J146)</f>
        <v/>
      </c>
      <c r="L146" s="22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8" t="str">
        <f aca="false">IF(COUNT(F147:I147)=0,"",LOOKUP(2,1/ISNUMBER(F147:I147),F147:I147))</f>
        <v/>
      </c>
      <c r="K147" s="28" t="str">
        <f aca="false">IF(OR(E147="",J147=""),"",E147-J147)</f>
        <v/>
      </c>
      <c r="L147" s="22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8" t="str">
        <f aca="false">IF(COUNT(F148:I148)=0,"",LOOKUP(2,1/ISNUMBER(F148:I148),F148:I148))</f>
        <v/>
      </c>
      <c r="K148" s="28" t="str">
        <f aca="false">IF(OR(E148="",J148=""),"",E148-J148)</f>
        <v/>
      </c>
      <c r="L148" s="22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8" t="str">
        <f aca="false">IF(COUNT(F149:I149)=0,"",LOOKUP(2,1/ISNUMBER(F149:I149),F149:I149))</f>
        <v/>
      </c>
      <c r="K149" s="28" t="str">
        <f aca="false">IF(OR(E149="",J149=""),"",E149-J149)</f>
        <v/>
      </c>
      <c r="L149" s="22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8" t="str">
        <f aca="false">IF(COUNT(F150:I150)=0,"",LOOKUP(2,1/ISNUMBER(F150:I150),F150:I150))</f>
        <v/>
      </c>
      <c r="K150" s="28" t="str">
        <f aca="false">IF(OR(E150="",J150=""),"",E150-J150)</f>
        <v/>
      </c>
      <c r="L150" s="22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8" t="str">
        <f aca="false">IF(COUNT(F151:I151)=0,"",LOOKUP(2,1/ISNUMBER(F151:I151),F151:I151))</f>
        <v/>
      </c>
      <c r="K151" s="28" t="str">
        <f aca="false">IF(OR(E151="",J151=""),"",E151-J151)</f>
        <v/>
      </c>
      <c r="L151" s="22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8" t="str">
        <f aca="false">IF(COUNT(F152:I152)=0,"",LOOKUP(2,1/ISNUMBER(F152:I152),F152:I152))</f>
        <v/>
      </c>
      <c r="K152" s="28" t="str">
        <f aca="false">IF(OR(E152="",J152=""),"",E152-J152)</f>
        <v/>
      </c>
      <c r="L152" s="22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8" t="str">
        <f aca="false">IF(COUNT(F153:I153)=0,"",LOOKUP(2,1/ISNUMBER(F153:I153),F153:I153))</f>
        <v/>
      </c>
      <c r="K153" s="28" t="str">
        <f aca="false">IF(OR(E153="",J153=""),"",E153-J153)</f>
        <v/>
      </c>
      <c r="L153" s="22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8" t="str">
        <f aca="false">IF(COUNT(F154:I154)=0,"",LOOKUP(2,1/ISNUMBER(F154:I154),F154:I154))</f>
        <v/>
      </c>
      <c r="K154" s="28" t="str">
        <f aca="false">IF(OR(E154="",J154=""),"",E154-J154)</f>
        <v/>
      </c>
      <c r="L154" s="22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8" t="str">
        <f aca="false">IF(COUNT(F155:I155)=0,"",LOOKUP(2,1/ISNUMBER(F155:I155),F155:I155))</f>
        <v/>
      </c>
      <c r="K155" s="28" t="str">
        <f aca="false">IF(OR(E155="",J155=""),"",E155-J155)</f>
        <v/>
      </c>
      <c r="L155" s="22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8" t="str">
        <f aca="false">IF(COUNT(F156:I156)=0,"",LOOKUP(2,1/ISNUMBER(F156:I156),F156:I156))</f>
        <v/>
      </c>
      <c r="K156" s="28" t="str">
        <f aca="false">IF(OR(E156="",J156=""),"",E156-J156)</f>
        <v/>
      </c>
      <c r="L156" s="22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8" t="str">
        <f aca="false">IF(COUNT(F157:I157)=0,"",LOOKUP(2,1/ISNUMBER(F157:I157),F157:I157))</f>
        <v/>
      </c>
      <c r="K157" s="28" t="str">
        <f aca="false">IF(OR(E157="",J157=""),"",E157-J157)</f>
        <v/>
      </c>
      <c r="L157" s="22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8" t="str">
        <f aca="false">IF(COUNT(F158:I158)=0,"",LOOKUP(2,1/ISNUMBER(F158:I158),F158:I158))</f>
        <v/>
      </c>
      <c r="K158" s="28" t="str">
        <f aca="false">IF(OR(E158="",J158=""),"",E158-J158)</f>
        <v/>
      </c>
      <c r="L158" s="22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8" t="str">
        <f aca="false">IF(COUNT(F159:I159)=0,"",LOOKUP(2,1/ISNUMBER(F159:I159),F159:I159))</f>
        <v/>
      </c>
      <c r="K159" s="28" t="str">
        <f aca="false">IF(OR(E159="",J159=""),"",E159-J159)</f>
        <v/>
      </c>
      <c r="L159" s="22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8" t="str">
        <f aca="false">IF(COUNT(F160:I160)=0,"",LOOKUP(2,1/ISNUMBER(F160:I160),F160:I160))</f>
        <v/>
      </c>
      <c r="K160" s="28" t="str">
        <f aca="false">IF(OR(E160="",J160=""),"",E160-J160)</f>
        <v/>
      </c>
      <c r="L160" s="22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8" t="str">
        <f aca="false">IF(COUNT(F161:I161)=0,"",LOOKUP(2,1/ISNUMBER(F161:I161),F161:I161))</f>
        <v/>
      </c>
      <c r="K161" s="28" t="str">
        <f aca="false">IF(OR(E161="",J161=""),"",E161-J161)</f>
        <v/>
      </c>
      <c r="L161" s="22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8" t="str">
        <f aca="false">IF(COUNT(F162:I162)=0,"",LOOKUP(2,1/ISNUMBER(F162:I162),F162:I162))</f>
        <v/>
      </c>
      <c r="K162" s="28" t="str">
        <f aca="false">IF(OR(E162="",J162=""),"",E162-J162)</f>
        <v/>
      </c>
      <c r="L162" s="22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8" t="str">
        <f aca="false">IF(COUNT(F163:I163)=0,"",LOOKUP(2,1/ISNUMBER(F163:I163),F163:I163))</f>
        <v/>
      </c>
      <c r="K163" s="28" t="str">
        <f aca="false">IF(OR(E163="",J163=""),"",E163-J163)</f>
        <v/>
      </c>
      <c r="L163" s="22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8" t="str">
        <f aca="false">IF(COUNT(F164:I164)=0,"",LOOKUP(2,1/ISNUMBER(F164:I164),F164:I164))</f>
        <v/>
      </c>
      <c r="K164" s="28" t="str">
        <f aca="false">IF(OR(E164="",J164=""),"",E164-J164)</f>
        <v/>
      </c>
      <c r="L164" s="22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8" t="str">
        <f aca="false">IF(COUNT(F165:I165)=0,"",LOOKUP(2,1/ISNUMBER(F165:I165),F165:I165))</f>
        <v/>
      </c>
      <c r="K165" s="28" t="str">
        <f aca="false">IF(OR(E165="",J165=""),"",E165-J165)</f>
        <v/>
      </c>
      <c r="L165" s="22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8" t="str">
        <f aca="false">IF(COUNT(F166:I166)=0,"",LOOKUP(2,1/ISNUMBER(F166:I166),F166:I166))</f>
        <v/>
      </c>
      <c r="K166" s="28" t="str">
        <f aca="false">IF(OR(E166="",J166=""),"",E166-J166)</f>
        <v/>
      </c>
      <c r="L166" s="22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8" t="str">
        <f aca="false">IF(COUNT(F167:I167)=0,"",LOOKUP(2,1/ISNUMBER(F167:I167),F167:I167))</f>
        <v/>
      </c>
      <c r="K167" s="28" t="str">
        <f aca="false">IF(OR(E167="",J167=""),"",E167-J167)</f>
        <v/>
      </c>
      <c r="L167" s="22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8" t="str">
        <f aca="false">IF(COUNT(F168:I168)=0,"",LOOKUP(2,1/ISNUMBER(F168:I168),F168:I168))</f>
        <v/>
      </c>
      <c r="K168" s="28" t="str">
        <f aca="false">IF(OR(E168="",J168=""),"",E168-J168)</f>
        <v/>
      </c>
      <c r="L168" s="22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8" t="str">
        <f aca="false">IF(COUNT(F169:I169)=0,"",LOOKUP(2,1/ISNUMBER(F169:I169),F169:I169))</f>
        <v/>
      </c>
      <c r="K169" s="28" t="str">
        <f aca="false">IF(OR(E169="",J169=""),"",E169-J169)</f>
        <v/>
      </c>
      <c r="L169" s="22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8" t="str">
        <f aca="false">IF(COUNT(F170:I170)=0,"",LOOKUP(2,1/ISNUMBER(F170:I170),F170:I170))</f>
        <v/>
      </c>
      <c r="K170" s="28" t="str">
        <f aca="false">IF(OR(E170="",J170=""),"",E170-J170)</f>
        <v/>
      </c>
      <c r="L170" s="22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8" t="str">
        <f aca="false">IF(COUNT(F171:I171)=0,"",LOOKUP(2,1/ISNUMBER(F171:I171),F171:I171))</f>
        <v/>
      </c>
      <c r="K171" s="28" t="str">
        <f aca="false">IF(OR(E171="",J171=""),"",E171-J171)</f>
        <v/>
      </c>
      <c r="L171" s="22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8" t="str">
        <f aca="false">IF(COUNT(F172:I172)=0,"",LOOKUP(2,1/ISNUMBER(F172:I172),F172:I172))</f>
        <v/>
      </c>
      <c r="K172" s="28" t="str">
        <f aca="false">IF(OR(E172="",J172=""),"",E172-J172)</f>
        <v/>
      </c>
      <c r="L172" s="22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8" t="str">
        <f aca="false">IF(COUNT(F173:I173)=0,"",LOOKUP(2,1/ISNUMBER(F173:I173),F173:I173))</f>
        <v/>
      </c>
      <c r="K173" s="28" t="str">
        <f aca="false">IF(OR(E173="",J173=""),"",E173-J173)</f>
        <v/>
      </c>
      <c r="L173" s="22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8" t="str">
        <f aca="false">IF(COUNT(F174:I174)=0,"",LOOKUP(2,1/ISNUMBER(F174:I174),F174:I174))</f>
        <v/>
      </c>
      <c r="K174" s="28" t="str">
        <f aca="false">IF(OR(E174="",J174=""),"",E174-J174)</f>
        <v/>
      </c>
      <c r="L174" s="22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8" t="str">
        <f aca="false">IF(COUNT(F175:I175)=0,"",LOOKUP(2,1/ISNUMBER(F175:I175),F175:I175))</f>
        <v/>
      </c>
      <c r="K175" s="28" t="str">
        <f aca="false">IF(OR(E175="",J175=""),"",E175-J175)</f>
        <v/>
      </c>
      <c r="L175" s="22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8" t="str">
        <f aca="false">IF(COUNT(F176:I176)=0,"",LOOKUP(2,1/ISNUMBER(F176:I176),F176:I176))</f>
        <v/>
      </c>
      <c r="K176" s="28" t="str">
        <f aca="false">IF(OR(E176="",J176=""),"",E176-J176)</f>
        <v/>
      </c>
      <c r="L176" s="22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8" t="str">
        <f aca="false">IF(COUNT(F177:I177)=0,"",LOOKUP(2,1/ISNUMBER(F177:I177),F177:I177))</f>
        <v/>
      </c>
      <c r="K177" s="28" t="str">
        <f aca="false">IF(OR(E177="",J177=""),"",E177-J177)</f>
        <v/>
      </c>
      <c r="L177" s="22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8" t="str">
        <f aca="false">IF(COUNT(F178:I178)=0,"",LOOKUP(2,1/ISNUMBER(F178:I178),F178:I178))</f>
        <v/>
      </c>
      <c r="K178" s="28" t="str">
        <f aca="false">IF(OR(E178="",J178=""),"",E178-J178)</f>
        <v/>
      </c>
      <c r="L178" s="22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8" t="str">
        <f aca="false">IF(COUNT(F179:I179)=0,"",LOOKUP(2,1/ISNUMBER(F179:I179),F179:I179))</f>
        <v/>
      </c>
      <c r="K179" s="28" t="str">
        <f aca="false">IF(OR(E179="",J179=""),"",E179-J179)</f>
        <v/>
      </c>
      <c r="L179" s="22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8" t="str">
        <f aca="false">IF(COUNT(F180:I180)=0,"",LOOKUP(2,1/ISNUMBER(F180:I180),F180:I180))</f>
        <v/>
      </c>
      <c r="K180" s="28" t="str">
        <f aca="false">IF(OR(E180="",J180=""),"",E180-J180)</f>
        <v/>
      </c>
      <c r="L180" s="22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8" t="str">
        <f aca="false">IF(COUNT(F181:I181)=0,"",LOOKUP(2,1/ISNUMBER(F181:I181),F181:I181))</f>
        <v/>
      </c>
      <c r="K181" s="28" t="str">
        <f aca="false">IF(OR(E181="",J181=""),"",E181-J181)</f>
        <v/>
      </c>
      <c r="L181" s="22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8" t="str">
        <f aca="false">IF(COUNT(F182:I182)=0,"",LOOKUP(2,1/ISNUMBER(F182:I182),F182:I182))</f>
        <v/>
      </c>
      <c r="K182" s="28" t="str">
        <f aca="false">IF(OR(E182="",J182=""),"",E182-J182)</f>
        <v/>
      </c>
      <c r="L182" s="22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8" t="str">
        <f aca="false">IF(COUNT(F183:I183)=0,"",LOOKUP(2,1/ISNUMBER(F183:I183),F183:I183))</f>
        <v/>
      </c>
      <c r="K183" s="28" t="str">
        <f aca="false">IF(OR(E183="",J183=""),"",E183-J183)</f>
        <v/>
      </c>
      <c r="L183" s="22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8" t="str">
        <f aca="false">IF(COUNT(F184:I184)=0,"",LOOKUP(2,1/ISNUMBER(F184:I184),F184:I184))</f>
        <v/>
      </c>
      <c r="K184" s="28" t="str">
        <f aca="false">IF(OR(E184="",J184=""),"",E184-J184)</f>
        <v/>
      </c>
      <c r="L184" s="22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8" t="str">
        <f aca="false">IF(COUNT(F185:I185)=0,"",LOOKUP(2,1/ISNUMBER(F185:I185),F185:I185))</f>
        <v/>
      </c>
      <c r="K185" s="28" t="str">
        <f aca="false">IF(OR(E185="",J185=""),"",E185-J185)</f>
        <v/>
      </c>
      <c r="L185" s="22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8" t="str">
        <f aca="false">IF(COUNT(F186:I186)=0,"",LOOKUP(2,1/ISNUMBER(F186:I186),F186:I186))</f>
        <v/>
      </c>
      <c r="K186" s="28" t="str">
        <f aca="false">IF(OR(E186="",J186=""),"",E186-J186)</f>
        <v/>
      </c>
      <c r="L186" s="22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8" t="str">
        <f aca="false">IF(COUNT(F187:I187)=0,"",LOOKUP(2,1/ISNUMBER(F187:I187),F187:I187))</f>
        <v/>
      </c>
      <c r="K187" s="28" t="str">
        <f aca="false">IF(OR(E187="",J187=""),"",E187-J187)</f>
        <v/>
      </c>
      <c r="L187" s="22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8" t="str">
        <f aca="false">IF(COUNT(F188:I188)=0,"",LOOKUP(2,1/ISNUMBER(F188:I188),F188:I188))</f>
        <v/>
      </c>
      <c r="K188" s="28" t="str">
        <f aca="false">IF(OR(E188="",J188=""),"",E188-J188)</f>
        <v/>
      </c>
      <c r="L188" s="22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8" t="str">
        <f aca="false">IF(COUNT(F189:I189)=0,"",LOOKUP(2,1/ISNUMBER(F189:I189),F189:I189))</f>
        <v/>
      </c>
      <c r="K189" s="28" t="str">
        <f aca="false">IF(OR(E189="",J189=""),"",E189-J189)</f>
        <v/>
      </c>
      <c r="L189" s="22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8" t="str">
        <f aca="false">IF(COUNT(F190:I190)=0,"",LOOKUP(2,1/ISNUMBER(F190:I190),F190:I190))</f>
        <v/>
      </c>
      <c r="K190" s="28" t="str">
        <f aca="false">IF(OR(E190="",J190=""),"",E190-J190)</f>
        <v/>
      </c>
      <c r="L190" s="22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8" t="str">
        <f aca="false">IF(COUNT(F191:I191)=0,"",LOOKUP(2,1/ISNUMBER(F191:I191),F191:I191))</f>
        <v/>
      </c>
      <c r="K191" s="28" t="str">
        <f aca="false">IF(OR(E191="",J191=""),"",E191-J191)</f>
        <v/>
      </c>
      <c r="L191" s="22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8" t="str">
        <f aca="false">IF(COUNT(F192:I192)=0,"",LOOKUP(2,1/ISNUMBER(F192:I192),F192:I192))</f>
        <v/>
      </c>
      <c r="K192" s="28" t="str">
        <f aca="false">IF(OR(E192="",J192=""),"",E192-J192)</f>
        <v/>
      </c>
      <c r="L192" s="22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8" t="str">
        <f aca="false">IF(COUNT(F193:I193)=0,"",LOOKUP(2,1/ISNUMBER(F193:I193),F193:I193))</f>
        <v/>
      </c>
      <c r="K193" s="28" t="str">
        <f aca="false">IF(OR(E193="",J193=""),"",E193-J193)</f>
        <v/>
      </c>
      <c r="L193" s="22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8" t="str">
        <f aca="false">IF(COUNT(F194:I194)=0,"",LOOKUP(2,1/ISNUMBER(F194:I194),F194:I194))</f>
        <v/>
      </c>
      <c r="K194" s="28" t="str">
        <f aca="false">IF(OR(E194="",J194=""),"",E194-J194)</f>
        <v/>
      </c>
      <c r="L194" s="22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8" t="str">
        <f aca="false">IF(COUNT(F195:I195)=0,"",LOOKUP(2,1/ISNUMBER(F195:I195),F195:I195))</f>
        <v/>
      </c>
      <c r="K195" s="28" t="str">
        <f aca="false">IF(OR(E195="",J195=""),"",E195-J195)</f>
        <v/>
      </c>
      <c r="L195" s="22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8" t="str">
        <f aca="false">IF(COUNT(F196:I196)=0,"",LOOKUP(2,1/ISNUMBER(F196:I196),F196:I196))</f>
        <v/>
      </c>
      <c r="K196" s="28" t="str">
        <f aca="false">IF(OR(E196="",J196=""),"",E196-J196)</f>
        <v/>
      </c>
      <c r="L196" s="22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8" t="str">
        <f aca="false">IF(COUNT(F197:I197)=0,"",LOOKUP(2,1/ISNUMBER(F197:I197),F197:I197))</f>
        <v/>
      </c>
      <c r="K197" s="28" t="str">
        <f aca="false">IF(OR(E197="",J197=""),"",E197-J197)</f>
        <v/>
      </c>
      <c r="L197" s="22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8" t="str">
        <f aca="false">IF(COUNT(F198:I198)=0,"",LOOKUP(2,1/ISNUMBER(F198:I198),F198:I198))</f>
        <v/>
      </c>
      <c r="K198" s="28" t="str">
        <f aca="false">IF(OR(E198="",J198=""),"",E198-J198)</f>
        <v/>
      </c>
      <c r="L198" s="22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8" t="str">
        <f aca="false">IF(COUNT(F199:I199)=0,"",LOOKUP(2,1/ISNUMBER(F199:I199),F199:I199))</f>
        <v/>
      </c>
      <c r="K199" s="28" t="str">
        <f aca="false">IF(OR(E199="",J199=""),"",E199-J199)</f>
        <v/>
      </c>
      <c r="L199" s="22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8" t="str">
        <f aca="false">IF(COUNT(F200:I200)=0,"",LOOKUP(2,1/ISNUMBER(F200:I200),F200:I200))</f>
        <v/>
      </c>
      <c r="K200" s="28" t="str">
        <f aca="false">IF(OR(E200="",J200=""),"",E200-J200)</f>
        <v/>
      </c>
      <c r="L200" s="22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8" t="str">
        <f aca="false">IF(COUNT(F201:I201)=0,"",LOOKUP(2,1/ISNUMBER(F201:I201),F201:I201))</f>
        <v/>
      </c>
      <c r="K201" s="28" t="str">
        <f aca="false">IF(OR(E201="",J201=""),"",E201-J201)</f>
        <v/>
      </c>
      <c r="L201" s="22"/>
      <c r="M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8" t="str">
        <f aca="false">IF(COUNT(F202:I202)=0,"",LOOKUP(2,1/ISNUMBER(F202:I202),F202:I202))</f>
        <v/>
      </c>
      <c r="K202" s="28" t="str">
        <f aca="false">IF(OR(E202="",J202=""),"",E202-J202)</f>
        <v/>
      </c>
      <c r="L202" s="22"/>
      <c r="M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8" t="str">
        <f aca="false">IF(COUNT(F203:I203)=0,"",LOOKUP(2,1/ISNUMBER(F203:I203),F203:I203))</f>
        <v/>
      </c>
      <c r="K203" s="28" t="str">
        <f aca="false">IF(OR(E203="",J203=""),"",E203-J203)</f>
        <v/>
      </c>
      <c r="L203" s="22"/>
      <c r="M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8" t="str">
        <f aca="false">IF(COUNT(F204:I204)=0,"",LOOKUP(2,1/ISNUMBER(F204:I204),F204:I204))</f>
        <v/>
      </c>
      <c r="K204" s="28" t="str">
        <f aca="false">IF(OR(E204="",J204=""),"",E204-J204)</f>
        <v/>
      </c>
      <c r="L204" s="22"/>
      <c r="M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8" t="str">
        <f aca="false">IF(COUNT(F205:I205)=0,"",LOOKUP(2,1/ISNUMBER(F205:I205),F205:I205))</f>
        <v/>
      </c>
      <c r="K205" s="28" t="str">
        <f aca="false">IF(OR(E205="",J205=""),"",E205-J205)</f>
        <v/>
      </c>
      <c r="L205" s="22"/>
      <c r="M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8" t="str">
        <f aca="false">IF(COUNT(F206:I206)=0,"",LOOKUP(2,1/ISNUMBER(F206:I206),F206:I206))</f>
        <v/>
      </c>
      <c r="K206" s="28" t="str">
        <f aca="false">IF(OR(E206="",J206=""),"",E206-J206)</f>
        <v/>
      </c>
      <c r="L206" s="22"/>
      <c r="M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8" t="str">
        <f aca="false">IF(COUNT(F207:I207)=0,"",LOOKUP(2,1/ISNUMBER(F207:I207),F207:I207))</f>
        <v/>
      </c>
      <c r="K207" s="28" t="str">
        <f aca="false">IF(OR(E207="",J207=""),"",E207-J207)</f>
        <v/>
      </c>
      <c r="L207" s="22"/>
      <c r="M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8" t="str">
        <f aca="false">IF(COUNT(F208:I208)=0,"",LOOKUP(2,1/ISNUMBER(F208:I208),F208:I208))</f>
        <v/>
      </c>
      <c r="K208" s="28" t="str">
        <f aca="false">IF(OR(E208="",J208=""),"",E208-J208)</f>
        <v/>
      </c>
      <c r="L208" s="22"/>
      <c r="M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8" t="str">
        <f aca="false">IF(COUNT(F209:I209)=0,"",LOOKUP(2,1/ISNUMBER(F209:I209),F209:I209))</f>
        <v/>
      </c>
      <c r="K209" s="28" t="str">
        <f aca="false">IF(OR(E209="",J209=""),"",E209-J209)</f>
        <v/>
      </c>
      <c r="L209" s="22"/>
      <c r="M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8" t="str">
        <f aca="false">IF(COUNT(F210:I210)=0,"",LOOKUP(2,1/ISNUMBER(F210:I210),F210:I210))</f>
        <v/>
      </c>
      <c r="K210" s="28" t="str">
        <f aca="false">IF(OR(E210="",J210=""),"",E210-J210)</f>
        <v/>
      </c>
      <c r="L210" s="22"/>
      <c r="M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8" t="str">
        <f aca="false">IF(COUNT(F211:I211)=0,"",LOOKUP(2,1/ISNUMBER(F211:I211),F211:I211))</f>
        <v/>
      </c>
      <c r="K211" s="28" t="str">
        <f aca="false">IF(OR(E211="",J211=""),"",E211-J211)</f>
        <v/>
      </c>
      <c r="L211" s="22"/>
      <c r="M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8" t="str">
        <f aca="false">IF(COUNT(F212:I212)=0,"",LOOKUP(2,1/ISNUMBER(F212:I212),F212:I212))</f>
        <v/>
      </c>
      <c r="K212" s="28" t="str">
        <f aca="false">IF(OR(E212="",J212=""),"",E212-J212)</f>
        <v/>
      </c>
      <c r="L212" s="22"/>
      <c r="M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8" t="str">
        <f aca="false">IF(COUNT(F213:I213)=0,"",LOOKUP(2,1/ISNUMBER(F213:I213),F213:I213))</f>
        <v/>
      </c>
      <c r="K213" s="28" t="str">
        <f aca="false">IF(OR(E213="",J213=""),"",E213-J213)</f>
        <v/>
      </c>
      <c r="L213" s="22"/>
      <c r="M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8" t="str">
        <f aca="false">IF(COUNT(F214:I214)=0,"",LOOKUP(2,1/ISNUMBER(F214:I214),F214:I214))</f>
        <v/>
      </c>
      <c r="K214" s="28" t="str">
        <f aca="false">IF(OR(E214="",J214=""),"",E214-J214)</f>
        <v/>
      </c>
      <c r="L214" s="22"/>
      <c r="M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8" t="str">
        <f aca="false">IF(COUNT(F215:I215)=0,"",LOOKUP(2,1/ISNUMBER(F215:I215),F215:I215))</f>
        <v/>
      </c>
      <c r="K215" s="28" t="str">
        <f aca="false">IF(OR(E215="",J215=""),"",E215-J215)</f>
        <v/>
      </c>
      <c r="L215" s="22"/>
      <c r="M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8" t="str">
        <f aca="false">IF(COUNT(F216:I216)=0,"",LOOKUP(2,1/ISNUMBER(F216:I216),F216:I216))</f>
        <v/>
      </c>
      <c r="K216" s="28" t="str">
        <f aca="false">IF(OR(E216="",J216=""),"",E216-J216)</f>
        <v/>
      </c>
      <c r="L216" s="22"/>
      <c r="M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8" t="str">
        <f aca="false">IF(COUNT(F217:I217)=0,"",LOOKUP(2,1/ISNUMBER(F217:I217),F217:I217))</f>
        <v/>
      </c>
      <c r="K217" s="28" t="str">
        <f aca="false">IF(OR(E217="",J217=""),"",E217-J217)</f>
        <v/>
      </c>
      <c r="L217" s="22"/>
      <c r="M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8" t="str">
        <f aca="false">IF(COUNT(F218:I218)=0,"",LOOKUP(2,1/ISNUMBER(F218:I218),F218:I218))</f>
        <v/>
      </c>
      <c r="K218" s="28" t="str">
        <f aca="false">IF(OR(E218="",J218=""),"",E218-J218)</f>
        <v/>
      </c>
      <c r="L218" s="22"/>
      <c r="M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8" t="str">
        <f aca="false">IF(COUNT(F219:I219)=0,"",LOOKUP(2,1/ISNUMBER(F219:I219),F219:I219))</f>
        <v/>
      </c>
      <c r="K219" s="28" t="str">
        <f aca="false">IF(OR(E219="",J219=""),"",E219-J219)</f>
        <v/>
      </c>
      <c r="L219" s="22"/>
      <c r="M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8" t="str">
        <f aca="false">IF(COUNT(F220:I220)=0,"",LOOKUP(2,1/ISNUMBER(F220:I220),F220:I220))</f>
        <v/>
      </c>
      <c r="K220" s="28" t="str">
        <f aca="false">IF(OR(E220="",J220=""),"",E220-J220)</f>
        <v/>
      </c>
      <c r="L220" s="22"/>
      <c r="M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8" t="str">
        <f aca="false">IF(COUNT(F221:I221)=0,"",LOOKUP(2,1/ISNUMBER(F221:I221),F221:I221))</f>
        <v/>
      </c>
      <c r="K221" s="28" t="str">
        <f aca="false">IF(OR(E221="",J221=""),"",E221-J221)</f>
        <v/>
      </c>
      <c r="L221" s="22"/>
      <c r="M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8" t="str">
        <f aca="false">IF(COUNT(F222:I222)=0,"",LOOKUP(2,1/ISNUMBER(F222:I222),F222:I222))</f>
        <v/>
      </c>
      <c r="K222" s="28" t="str">
        <f aca="false">IF(OR(E222="",J222=""),"",E222-J222)</f>
        <v/>
      </c>
      <c r="L222" s="22"/>
      <c r="M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8" t="str">
        <f aca="false">IF(COUNT(F223:I223)=0,"",LOOKUP(2,1/ISNUMBER(F223:I223),F223:I223))</f>
        <v/>
      </c>
      <c r="K223" s="28" t="str">
        <f aca="false">IF(OR(E223="",J223=""),"",E223-J223)</f>
        <v/>
      </c>
      <c r="L223" s="22"/>
      <c r="M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8" t="str">
        <f aca="false">IF(COUNT(F224:I224)=0,"",LOOKUP(2,1/ISNUMBER(F224:I224),F224:I224))</f>
        <v/>
      </c>
      <c r="K224" s="28" t="str">
        <f aca="false">IF(OR(E224="",J224=""),"",E224-J224)</f>
        <v/>
      </c>
      <c r="L224" s="22"/>
      <c r="M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8" t="str">
        <f aca="false">IF(COUNT(F225:I225)=0,"",LOOKUP(2,1/ISNUMBER(F225:I225),F225:I225))</f>
        <v/>
      </c>
      <c r="K225" s="28" t="str">
        <f aca="false">IF(OR(E225="",J225=""),"",E225-J225)</f>
        <v/>
      </c>
      <c r="L225" s="22"/>
      <c r="M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8" t="str">
        <f aca="false">IF(COUNT(F226:I226)=0,"",LOOKUP(2,1/ISNUMBER(F226:I226),F226:I226))</f>
        <v/>
      </c>
      <c r="K226" s="28" t="str">
        <f aca="false">IF(OR(E226="",J226=""),"",E226-J226)</f>
        <v/>
      </c>
      <c r="L226" s="22"/>
      <c r="M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8" t="str">
        <f aca="false">IF(COUNT(F227:I227)=0,"",LOOKUP(2,1/ISNUMBER(F227:I227),F227:I227))</f>
        <v/>
      </c>
      <c r="K227" s="28" t="str">
        <f aca="false">IF(OR(E227="",J227=""),"",E227-J227)</f>
        <v/>
      </c>
      <c r="L227" s="22"/>
      <c r="M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8" t="str">
        <f aca="false">IF(COUNT(F228:I228)=0,"",LOOKUP(2,1/ISNUMBER(F228:I228),F228:I228))</f>
        <v/>
      </c>
      <c r="K228" s="28" t="str">
        <f aca="false">IF(OR(E228="",J228=""),"",E228-J228)</f>
        <v/>
      </c>
      <c r="L228" s="22"/>
      <c r="M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8" t="str">
        <f aca="false">IF(COUNT(F229:I229)=0,"",LOOKUP(2,1/ISNUMBER(F229:I229),F229:I229))</f>
        <v/>
      </c>
      <c r="K229" s="28" t="str">
        <f aca="false">IF(OR(E229="",J229=""),"",E229-J229)</f>
        <v/>
      </c>
      <c r="L229" s="22"/>
      <c r="M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8" t="str">
        <f aca="false">IF(COUNT(F230:I230)=0,"",LOOKUP(2,1/ISNUMBER(F230:I230),F230:I230))</f>
        <v/>
      </c>
      <c r="K230" s="28" t="str">
        <f aca="false">IF(OR(E230="",J230=""),"",E230-J230)</f>
        <v/>
      </c>
      <c r="L230" s="22"/>
      <c r="M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8" t="str">
        <f aca="false">IF(COUNT(F231:I231)=0,"",LOOKUP(2,1/ISNUMBER(F231:I231),F231:I231))</f>
        <v/>
      </c>
      <c r="K231" s="28" t="str">
        <f aca="false">IF(OR(E231="",J231=""),"",E231-J231)</f>
        <v/>
      </c>
      <c r="L231" s="22"/>
      <c r="M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8" t="str">
        <f aca="false">IF(COUNT(F232:I232)=0,"",LOOKUP(2,1/ISNUMBER(F232:I232),F232:I232))</f>
        <v/>
      </c>
      <c r="K232" s="28" t="str">
        <f aca="false">IF(OR(E232="",J232=""),"",E232-J232)</f>
        <v/>
      </c>
      <c r="L232" s="22"/>
      <c r="M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8" t="str">
        <f aca="false">IF(COUNT(F233:I233)=0,"",LOOKUP(2,1/ISNUMBER(F233:I233),F233:I233))</f>
        <v/>
      </c>
      <c r="K233" s="28" t="str">
        <f aca="false">IF(OR(E233="",J233=""),"",E233-J233)</f>
        <v/>
      </c>
      <c r="L233" s="22"/>
      <c r="M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8" t="str">
        <f aca="false">IF(COUNT(F234:I234)=0,"",LOOKUP(2,1/ISNUMBER(F234:I234),F234:I234))</f>
        <v/>
      </c>
      <c r="K234" s="28" t="str">
        <f aca="false">IF(OR(E234="",J234=""),"",E234-J234)</f>
        <v/>
      </c>
      <c r="L234" s="22"/>
      <c r="M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8" t="str">
        <f aca="false">IF(COUNT(F235:I235)=0,"",LOOKUP(2,1/ISNUMBER(F235:I235),F235:I235))</f>
        <v/>
      </c>
      <c r="K235" s="28" t="str">
        <f aca="false">IF(OR(E235="",J235=""),"",E235-J235)</f>
        <v/>
      </c>
      <c r="L235" s="22"/>
      <c r="M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8" t="str">
        <f aca="false">IF(COUNT(F236:I236)=0,"",LOOKUP(2,1/ISNUMBER(F236:I236),F236:I236))</f>
        <v/>
      </c>
      <c r="K236" s="28" t="str">
        <f aca="false">IF(OR(E236="",J236=""),"",E236-J236)</f>
        <v/>
      </c>
      <c r="L236" s="22"/>
      <c r="M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8" t="str">
        <f aca="false">IF(COUNT(F237:I237)=0,"",LOOKUP(2,1/ISNUMBER(F237:I237),F237:I237))</f>
        <v/>
      </c>
      <c r="K237" s="28" t="str">
        <f aca="false">IF(OR(E237="",J237=""),"",E237-J237)</f>
        <v/>
      </c>
      <c r="L237" s="22"/>
      <c r="M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8" t="str">
        <f aca="false">IF(COUNT(F238:I238)=0,"",LOOKUP(2,1/ISNUMBER(F238:I238),F238:I238))</f>
        <v/>
      </c>
      <c r="K238" s="28" t="str">
        <f aca="false">IF(OR(E238="",J238=""),"",E238-J238)</f>
        <v/>
      </c>
      <c r="L238" s="22"/>
      <c r="M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8" t="str">
        <f aca="false">IF(COUNT(F239:I239)=0,"",LOOKUP(2,1/ISNUMBER(F239:I239),F239:I239))</f>
        <v/>
      </c>
      <c r="K239" s="28" t="str">
        <f aca="false">IF(OR(E239="",J239=""),"",E239-J239)</f>
        <v/>
      </c>
      <c r="L239" s="22"/>
      <c r="M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8" t="str">
        <f aca="false">IF(COUNT(F240:I240)=0,"",LOOKUP(2,1/ISNUMBER(F240:I240),F240:I240))</f>
        <v/>
      </c>
      <c r="K240" s="28" t="str">
        <f aca="false">IF(OR(E240="",J240=""),"",E240-J240)</f>
        <v/>
      </c>
      <c r="L240" s="22"/>
      <c r="M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8" t="str">
        <f aca="false">IF(COUNT(F241:I241)=0,"",LOOKUP(2,1/ISNUMBER(F241:I241),F241:I241))</f>
        <v/>
      </c>
      <c r="K241" s="28" t="str">
        <f aca="false">IF(OR(E241="",J241=""),"",E241-J241)</f>
        <v/>
      </c>
      <c r="L241" s="22"/>
      <c r="M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8" t="str">
        <f aca="false">IF(COUNT(F242:I242)=0,"",LOOKUP(2,1/ISNUMBER(F242:I242),F242:I242))</f>
        <v/>
      </c>
      <c r="K242" s="28" t="str">
        <f aca="false">IF(OR(E242="",J242=""),"",E242-J242)</f>
        <v/>
      </c>
      <c r="L242" s="22"/>
      <c r="M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8" t="str">
        <f aca="false">IF(COUNT(F243:I243)=0,"",LOOKUP(2,1/ISNUMBER(F243:I243),F243:I243))</f>
        <v/>
      </c>
      <c r="K243" s="28" t="str">
        <f aca="false">IF(OR(E243="",J243=""),"",E243-J243)</f>
        <v/>
      </c>
      <c r="L243" s="22"/>
      <c r="M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8" t="str">
        <f aca="false">IF(COUNT(F244:I244)=0,"",LOOKUP(2,1/ISNUMBER(F244:I244),F244:I244))</f>
        <v/>
      </c>
      <c r="K244" s="28" t="str">
        <f aca="false">IF(OR(E244="",J244=""),"",E244-J244)</f>
        <v/>
      </c>
      <c r="L244" s="22"/>
      <c r="M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8" t="str">
        <f aca="false">IF(COUNT(F245:I245)=0,"",LOOKUP(2,1/ISNUMBER(F245:I245),F245:I245))</f>
        <v/>
      </c>
      <c r="K245" s="28" t="str">
        <f aca="false">IF(OR(E245="",J245=""),"",E245-J245)</f>
        <v/>
      </c>
      <c r="L245" s="22"/>
      <c r="M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8" t="str">
        <f aca="false">IF(COUNT(F246:I246)=0,"",LOOKUP(2,1/ISNUMBER(F246:I246),F246:I246))</f>
        <v/>
      </c>
      <c r="K246" s="28" t="str">
        <f aca="false">IF(OR(E246="",J246=""),"",E246-J246)</f>
        <v/>
      </c>
      <c r="L246" s="22"/>
      <c r="M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8" t="str">
        <f aca="false">IF(COUNT(F247:I247)=0,"",LOOKUP(2,1/ISNUMBER(F247:I247),F247:I247))</f>
        <v/>
      </c>
      <c r="K247" s="28" t="str">
        <f aca="false">IF(OR(E247="",J247=""),"",E247-J247)</f>
        <v/>
      </c>
      <c r="L247" s="22"/>
      <c r="M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8" t="str">
        <f aca="false">IF(COUNT(F248:I248)=0,"",LOOKUP(2,1/ISNUMBER(F248:I248),F248:I248))</f>
        <v/>
      </c>
      <c r="K248" s="28" t="str">
        <f aca="false">IF(OR(E248="",J248=""),"",E248-J248)</f>
        <v/>
      </c>
      <c r="L248" s="22"/>
      <c r="M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8" t="str">
        <f aca="false">IF(COUNT(F249:I249)=0,"",LOOKUP(2,1/ISNUMBER(F249:I249),F249:I249))</f>
        <v/>
      </c>
      <c r="K249" s="28" t="str">
        <f aca="false">IF(OR(E249="",J249=""),"",E249-J249)</f>
        <v/>
      </c>
      <c r="L249" s="22"/>
      <c r="M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8" t="str">
        <f aca="false">IF(COUNT(F250:I250)=0,"",LOOKUP(2,1/ISNUMBER(F250:I250),F250:I250))</f>
        <v/>
      </c>
      <c r="K250" s="28" t="str">
        <f aca="false">IF(OR(E250="",J250=""),"",E250-J250)</f>
        <v/>
      </c>
      <c r="L250" s="22"/>
      <c r="M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8" t="str">
        <f aca="false">IF(COUNT(F251:I251)=0,"",LOOKUP(2,1/ISNUMBER(F251:I251),F251:I251))</f>
        <v/>
      </c>
      <c r="K251" s="28" t="str">
        <f aca="false">IF(OR(E251="",J251=""),"",E251-J251)</f>
        <v/>
      </c>
      <c r="L251" s="22"/>
      <c r="M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8" t="str">
        <f aca="false">IF(COUNT(F252:I252)=0,"",LOOKUP(2,1/ISNUMBER(F252:I252),F252:I252))</f>
        <v/>
      </c>
      <c r="K252" s="28" t="str">
        <f aca="false">IF(OR(E252="",J252=""),"",E252-J252)</f>
        <v/>
      </c>
      <c r="L252" s="22"/>
      <c r="M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8" t="str">
        <f aca="false">IF(COUNT(F253:I253)=0,"",LOOKUP(2,1/ISNUMBER(F253:I253),F253:I253))</f>
        <v/>
      </c>
      <c r="K253" s="28" t="str">
        <f aca="false">IF(OR(E253="",J253=""),"",E253-J253)</f>
        <v/>
      </c>
      <c r="L253" s="22"/>
      <c r="M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8" t="str">
        <f aca="false">IF(COUNT(F254:I254)=0,"",LOOKUP(2,1/ISNUMBER(F254:I254),F254:I254))</f>
        <v/>
      </c>
      <c r="K254" s="28" t="str">
        <f aca="false">IF(OR(E254="",J254=""),"",E254-J254)</f>
        <v/>
      </c>
      <c r="L254" s="22"/>
      <c r="M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8" t="str">
        <f aca="false">IF(COUNT(F255:I255)=0,"",LOOKUP(2,1/ISNUMBER(F255:I255),F255:I255))</f>
        <v/>
      </c>
      <c r="K255" s="28" t="str">
        <f aca="false">IF(OR(E255="",J255=""),"",E255-J255)</f>
        <v/>
      </c>
      <c r="L255" s="22"/>
      <c r="M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8" t="str">
        <f aca="false">IF(COUNT(F256:I256)=0,"",LOOKUP(2,1/ISNUMBER(F256:I256),F256:I256))</f>
        <v/>
      </c>
      <c r="K256" s="28" t="str">
        <f aca="false">IF(OR(E256="",J256=""),"",E256-J256)</f>
        <v/>
      </c>
      <c r="L256" s="22"/>
      <c r="M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8" t="str">
        <f aca="false">IF(COUNT(F257:I257)=0,"",LOOKUP(2,1/ISNUMBER(F257:I257),F257:I257))</f>
        <v/>
      </c>
      <c r="K257" s="28" t="str">
        <f aca="false">IF(OR(E257="",J257=""),"",E257-J257)</f>
        <v/>
      </c>
      <c r="L257" s="22"/>
      <c r="M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8" t="str">
        <f aca="false">IF(COUNT(F258:I258)=0,"",LOOKUP(2,1/ISNUMBER(F258:I258),F258:I258))</f>
        <v/>
      </c>
      <c r="K258" s="28" t="str">
        <f aca="false">IF(OR(E258="",J258=""),"",E258-J258)</f>
        <v/>
      </c>
      <c r="L258" s="22"/>
      <c r="M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8" t="str">
        <f aca="false">IF(COUNT(F259:I259)=0,"",LOOKUP(2,1/ISNUMBER(F259:I259),F259:I259))</f>
        <v/>
      </c>
      <c r="K259" s="28" t="str">
        <f aca="false">IF(OR(E259="",J259=""),"",E259-J259)</f>
        <v/>
      </c>
      <c r="L259" s="22"/>
      <c r="M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8" t="str">
        <f aca="false">IF(COUNT(F260:I260)=0,"",LOOKUP(2,1/ISNUMBER(F260:I260),F260:I260))</f>
        <v/>
      </c>
      <c r="K260" s="28" t="str">
        <f aca="false">IF(OR(E260="",J260=""),"",E260-J260)</f>
        <v/>
      </c>
      <c r="L260" s="22"/>
      <c r="M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8" t="str">
        <f aca="false">IF(COUNT(F261:I261)=0,"",LOOKUP(2,1/ISNUMBER(F261:I261),F261:I261))</f>
        <v/>
      </c>
      <c r="K261" s="28" t="str">
        <f aca="false">IF(OR(E261="",J261=""),"",E261-J261)</f>
        <v/>
      </c>
      <c r="L261" s="22"/>
      <c r="M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8" t="str">
        <f aca="false">IF(COUNT(F262:I262)=0,"",LOOKUP(2,1/ISNUMBER(F262:I262),F262:I262))</f>
        <v/>
      </c>
      <c r="K262" s="28" t="str">
        <f aca="false">IF(OR(E262="",J262=""),"",E262-J262)</f>
        <v/>
      </c>
      <c r="L262" s="22"/>
      <c r="M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8" t="str">
        <f aca="false">IF(COUNT(F263:I263)=0,"",LOOKUP(2,1/ISNUMBER(F263:I263),F263:I263))</f>
        <v/>
      </c>
      <c r="K263" s="28" t="str">
        <f aca="false">IF(OR(E263="",J263=""),"",E263-J263)</f>
        <v/>
      </c>
      <c r="L263" s="22"/>
      <c r="M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8" t="str">
        <f aca="false">IF(COUNT(F264:I264)=0,"",LOOKUP(2,1/ISNUMBER(F264:I264),F264:I264))</f>
        <v/>
      </c>
      <c r="K264" s="28" t="str">
        <f aca="false">IF(OR(E264="",J264=""),"",E264-J264)</f>
        <v/>
      </c>
      <c r="L264" s="22"/>
      <c r="M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8" t="str">
        <f aca="false">IF(COUNT(F265:I265)=0,"",LOOKUP(2,1/ISNUMBER(F265:I265),F265:I265))</f>
        <v/>
      </c>
      <c r="K265" s="28" t="str">
        <f aca="false">IF(OR(E265="",J265=""),"",E265-J265)</f>
        <v/>
      </c>
      <c r="L265" s="22"/>
      <c r="M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8" t="str">
        <f aca="false">IF(COUNT(F266:I266)=0,"",LOOKUP(2,1/ISNUMBER(F266:I266),F266:I266))</f>
        <v/>
      </c>
      <c r="K266" s="28" t="str">
        <f aca="false">IF(OR(E266="",J266=""),"",E266-J266)</f>
        <v/>
      </c>
      <c r="L266" s="22"/>
      <c r="M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8" t="str">
        <f aca="false">IF(COUNT(F267:I267)=0,"",LOOKUP(2,1/ISNUMBER(F267:I267),F267:I267))</f>
        <v/>
      </c>
      <c r="K267" s="28" t="str">
        <f aca="false">IF(OR(E267="",J267=""),"",E267-J267)</f>
        <v/>
      </c>
      <c r="L267" s="22"/>
      <c r="M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8" t="str">
        <f aca="false">IF(COUNT(F268:I268)=0,"",LOOKUP(2,1/ISNUMBER(F268:I268),F268:I268))</f>
        <v/>
      </c>
      <c r="K268" s="28" t="str">
        <f aca="false">IF(OR(E268="",J268=""),"",E268-J268)</f>
        <v/>
      </c>
      <c r="L268" s="22"/>
      <c r="M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8" t="str">
        <f aca="false">IF(COUNT(F269:I269)=0,"",LOOKUP(2,1/ISNUMBER(F269:I269),F269:I269))</f>
        <v/>
      </c>
      <c r="K269" s="28" t="str">
        <f aca="false">IF(OR(E269="",J269=""),"",E269-J269)</f>
        <v/>
      </c>
      <c r="L269" s="22"/>
      <c r="M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8" t="str">
        <f aca="false">IF(COUNT(F270:I270)=0,"",LOOKUP(2,1/ISNUMBER(F270:I270),F270:I270))</f>
        <v/>
      </c>
      <c r="K270" s="28" t="str">
        <f aca="false">IF(OR(E270="",J270=""),"",E270-J270)</f>
        <v/>
      </c>
      <c r="L270" s="22"/>
      <c r="M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8" t="str">
        <f aca="false">IF(COUNT(F271:I271)=0,"",LOOKUP(2,1/ISNUMBER(F271:I271),F271:I271))</f>
        <v/>
      </c>
      <c r="K271" s="28" t="str">
        <f aca="false">IF(OR(E271="",J271=""),"",E271-J271)</f>
        <v/>
      </c>
      <c r="L271" s="22"/>
      <c r="M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8" t="str">
        <f aca="false">IF(COUNT(F272:I272)=0,"",LOOKUP(2,1/ISNUMBER(F272:I272),F272:I272))</f>
        <v/>
      </c>
      <c r="K272" s="28" t="str">
        <f aca="false">IF(OR(E272="",J272=""),"",E272-J272)</f>
        <v/>
      </c>
      <c r="L272" s="22"/>
      <c r="M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8" t="str">
        <f aca="false">IF(COUNT(F273:I273)=0,"",LOOKUP(2,1/ISNUMBER(F273:I273),F273:I273))</f>
        <v/>
      </c>
      <c r="K273" s="28" t="str">
        <f aca="false">IF(OR(E273="",J273=""),"",E273-J273)</f>
        <v/>
      </c>
      <c r="L273" s="22"/>
      <c r="M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8" t="str">
        <f aca="false">IF(COUNT(F274:I274)=0,"",LOOKUP(2,1/ISNUMBER(F274:I274),F274:I274))</f>
        <v/>
      </c>
      <c r="K274" s="28" t="str">
        <f aca="false">IF(OR(E274="",J274=""),"",E274-J274)</f>
        <v/>
      </c>
      <c r="L274" s="22"/>
      <c r="M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8" t="str">
        <f aca="false">IF(COUNT(F275:I275)=0,"",LOOKUP(2,1/ISNUMBER(F275:I275),F275:I275))</f>
        <v/>
      </c>
      <c r="K275" s="28" t="str">
        <f aca="false">IF(OR(E275="",J275=""),"",E275-J275)</f>
        <v/>
      </c>
      <c r="L275" s="22"/>
      <c r="M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8" t="str">
        <f aca="false">IF(COUNT(F276:I276)=0,"",LOOKUP(2,1/ISNUMBER(F276:I276),F276:I276))</f>
        <v/>
      </c>
      <c r="K276" s="28" t="str">
        <f aca="false">IF(OR(E276="",J276=""),"",E276-J276)</f>
        <v/>
      </c>
      <c r="L276" s="22"/>
      <c r="M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8" t="str">
        <f aca="false">IF(COUNT(F277:I277)=0,"",LOOKUP(2,1/ISNUMBER(F277:I277),F277:I277))</f>
        <v/>
      </c>
      <c r="K277" s="28" t="str">
        <f aca="false">IF(OR(E277="",J277=""),"",E277-J277)</f>
        <v/>
      </c>
      <c r="L277" s="22"/>
      <c r="M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8" t="str">
        <f aca="false">IF(COUNT(F278:I278)=0,"",LOOKUP(2,1/ISNUMBER(F278:I278),F278:I278))</f>
        <v/>
      </c>
      <c r="K278" s="28" t="str">
        <f aca="false">IF(OR(E278="",J278=""),"",E278-J278)</f>
        <v/>
      </c>
      <c r="L278" s="22"/>
      <c r="M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8" t="str">
        <f aca="false">IF(COUNT(F279:I279)=0,"",LOOKUP(2,1/ISNUMBER(F279:I279),F279:I279))</f>
        <v/>
      </c>
      <c r="K279" s="28" t="str">
        <f aca="false">IF(OR(E279="",J279=""),"",E279-J279)</f>
        <v/>
      </c>
      <c r="L279" s="22"/>
      <c r="M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8" t="str">
        <f aca="false">IF(COUNT(F280:I280)=0,"",LOOKUP(2,1/ISNUMBER(F280:I280),F280:I280))</f>
        <v/>
      </c>
      <c r="K280" s="28" t="str">
        <f aca="false">IF(OR(E280="",J280=""),"",E280-J280)</f>
        <v/>
      </c>
      <c r="L280" s="22"/>
      <c r="M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8" t="str">
        <f aca="false">IF(COUNT(F281:I281)=0,"",LOOKUP(2,1/ISNUMBER(F281:I281),F281:I281))</f>
        <v/>
      </c>
      <c r="K281" s="28" t="str">
        <f aca="false">IF(OR(E281="",J281=""),"",E281-J281)</f>
        <v/>
      </c>
      <c r="L281" s="22"/>
      <c r="M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8" t="str">
        <f aca="false">IF(COUNT(F282:I282)=0,"",LOOKUP(2,1/ISNUMBER(F282:I282),F282:I282))</f>
        <v/>
      </c>
      <c r="K282" s="28" t="str">
        <f aca="false">IF(OR(E282="",J282=""),"",E282-J282)</f>
        <v/>
      </c>
      <c r="L282" s="22"/>
      <c r="M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8" t="str">
        <f aca="false">IF(COUNT(F283:I283)=0,"",LOOKUP(2,1/ISNUMBER(F283:I283),F283:I283))</f>
        <v/>
      </c>
      <c r="K283" s="28" t="str">
        <f aca="false">IF(OR(E283="",J283=""),"",E283-J283)</f>
        <v/>
      </c>
      <c r="L283" s="22"/>
      <c r="M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8" t="str">
        <f aca="false">IF(COUNT(F284:I284)=0,"",LOOKUP(2,1/ISNUMBER(F284:I284),F284:I284))</f>
        <v/>
      </c>
      <c r="K284" s="28" t="str">
        <f aca="false">IF(OR(E284="",J284=""),"",E284-J284)</f>
        <v/>
      </c>
      <c r="L284" s="22"/>
      <c r="M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8" t="str">
        <f aca="false">IF(COUNT(F285:I285)=0,"",LOOKUP(2,1/ISNUMBER(F285:I285),F285:I285))</f>
        <v/>
      </c>
      <c r="K285" s="28" t="str">
        <f aca="false">IF(OR(E285="",J285=""),"",E285-J285)</f>
        <v/>
      </c>
      <c r="L285" s="22"/>
      <c r="M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8" t="str">
        <f aca="false">IF(COUNT(F286:I286)=0,"",LOOKUP(2,1/ISNUMBER(F286:I286),F286:I286))</f>
        <v/>
      </c>
      <c r="K286" s="28" t="str">
        <f aca="false">IF(OR(E286="",J286=""),"",E286-J286)</f>
        <v/>
      </c>
      <c r="L286" s="22"/>
      <c r="M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8" t="str">
        <f aca="false">IF(COUNT(F287:I287)=0,"",LOOKUP(2,1/ISNUMBER(F287:I287),F287:I287))</f>
        <v/>
      </c>
      <c r="K287" s="28" t="str">
        <f aca="false">IF(OR(E287="",J287=""),"",E287-J287)</f>
        <v/>
      </c>
      <c r="L287" s="22"/>
      <c r="M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8" t="str">
        <f aca="false">IF(COUNT(F288:I288)=0,"",LOOKUP(2,1/ISNUMBER(F288:I288),F288:I288))</f>
        <v/>
      </c>
      <c r="K288" s="28" t="str">
        <f aca="false">IF(OR(E288="",J288=""),"",E288-J288)</f>
        <v/>
      </c>
      <c r="L288" s="22"/>
      <c r="M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8" t="str">
        <f aca="false">IF(COUNT(F289:I289)=0,"",LOOKUP(2,1/ISNUMBER(F289:I289),F289:I289))</f>
        <v/>
      </c>
      <c r="K289" s="28" t="str">
        <f aca="false">IF(OR(E289="",J289=""),"",E289-J289)</f>
        <v/>
      </c>
      <c r="L289" s="22"/>
      <c r="M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8" t="str">
        <f aca="false">IF(COUNT(F290:I290)=0,"",LOOKUP(2,1/ISNUMBER(F290:I290),F290:I290))</f>
        <v/>
      </c>
      <c r="K290" s="28" t="str">
        <f aca="false">IF(OR(E290="",J290=""),"",E290-J290)</f>
        <v/>
      </c>
      <c r="L290" s="22"/>
      <c r="M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8" t="str">
        <f aca="false">IF(COUNT(F291:I291)=0,"",LOOKUP(2,1/ISNUMBER(F291:I291),F291:I291))</f>
        <v/>
      </c>
      <c r="K291" s="28" t="str">
        <f aca="false">IF(OR(E291="",J291=""),"",E291-J291)</f>
        <v/>
      </c>
      <c r="L291" s="22"/>
      <c r="M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8" t="str">
        <f aca="false">IF(COUNT(F292:I292)=0,"",LOOKUP(2,1/ISNUMBER(F292:I292),F292:I292))</f>
        <v/>
      </c>
      <c r="K292" s="28" t="str">
        <f aca="false">IF(OR(E292="",J292=""),"",E292-J292)</f>
        <v/>
      </c>
      <c r="L292" s="22"/>
      <c r="M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8" t="str">
        <f aca="false">IF(COUNT(F293:I293)=0,"",LOOKUP(2,1/ISNUMBER(F293:I293),F293:I293))</f>
        <v/>
      </c>
      <c r="K293" s="28" t="str">
        <f aca="false">IF(OR(E293="",J293=""),"",E293-J293)</f>
        <v/>
      </c>
      <c r="L293" s="22"/>
      <c r="M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8" t="str">
        <f aca="false">IF(COUNT(F294:I294)=0,"",LOOKUP(2,1/ISNUMBER(F294:I294),F294:I294))</f>
        <v/>
      </c>
      <c r="K294" s="28" t="str">
        <f aca="false">IF(OR(E294="",J294=""),"",E294-J294)</f>
        <v/>
      </c>
      <c r="L294" s="22"/>
      <c r="M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8" t="str">
        <f aca="false">IF(COUNT(F295:I295)=0,"",LOOKUP(2,1/ISNUMBER(F295:I295),F295:I295))</f>
        <v/>
      </c>
      <c r="K295" s="28" t="str">
        <f aca="false">IF(OR(E295="",J295=""),"",E295-J295)</f>
        <v/>
      </c>
      <c r="L295" s="22"/>
      <c r="M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8" t="str">
        <f aca="false">IF(COUNT(F296:I296)=0,"",LOOKUP(2,1/ISNUMBER(F296:I296),F296:I296))</f>
        <v/>
      </c>
      <c r="K296" s="28" t="str">
        <f aca="false">IF(OR(E296="",J296=""),"",E296-J296)</f>
        <v/>
      </c>
      <c r="L296" s="22"/>
      <c r="M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8" t="str">
        <f aca="false">IF(COUNT(F297:I297)=0,"",LOOKUP(2,1/ISNUMBER(F297:I297),F297:I297))</f>
        <v/>
      </c>
      <c r="K297" s="28" t="str">
        <f aca="false">IF(OR(E297="",J297=""),"",E297-J297)</f>
        <v/>
      </c>
      <c r="L297" s="22"/>
      <c r="M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8" t="str">
        <f aca="false">IF(COUNT(F298:I298)=0,"",LOOKUP(2,1/ISNUMBER(F298:I298),F298:I298))</f>
        <v/>
      </c>
      <c r="K298" s="28" t="str">
        <f aca="false">IF(OR(E298="",J298=""),"",E298-J298)</f>
        <v/>
      </c>
      <c r="L298" s="22"/>
      <c r="M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8" t="str">
        <f aca="false">IF(COUNT(F299:I299)=0,"",LOOKUP(2,1/ISNUMBER(F299:I299),F299:I299))</f>
        <v/>
      </c>
      <c r="K299" s="28" t="str">
        <f aca="false">IF(OR(E299="",J299=""),"",E299-J299)</f>
        <v/>
      </c>
      <c r="L299" s="22"/>
      <c r="M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8" t="str">
        <f aca="false">IF(COUNT(F300:I300)=0,"",LOOKUP(2,1/ISNUMBER(F300:I300),F300:I300))</f>
        <v/>
      </c>
      <c r="K300" s="28" t="str">
        <f aca="false">IF(OR(E300="",J300=""),"",E300-J300)</f>
        <v/>
      </c>
      <c r="L300" s="22"/>
      <c r="M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8" t="str">
        <f aca="false">IF(COUNT(F301:I301)=0,"",LOOKUP(2,1/ISNUMBER(F301:I301),F301:I301))</f>
        <v/>
      </c>
      <c r="K301" s="28" t="str">
        <f aca="false">IF(OR(E301="",J301=""),"",E301-J301)</f>
        <v/>
      </c>
      <c r="L301" s="22"/>
      <c r="M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8" t="str">
        <f aca="false">IF(COUNT(F302:I302)=0,"",LOOKUP(2,1/ISNUMBER(F302:I302),F302:I302))</f>
        <v/>
      </c>
      <c r="K302" s="28" t="str">
        <f aca="false">IF(OR(E302="",J302=""),"",E302-J302)</f>
        <v/>
      </c>
      <c r="L302" s="22"/>
      <c r="M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8" t="str">
        <f aca="false">IF(COUNT(F303:I303)=0,"",LOOKUP(2,1/ISNUMBER(F303:I303),F303:I303))</f>
        <v/>
      </c>
      <c r="K303" s="28" t="str">
        <f aca="false">IF(OR(E303="",J303=""),"",E303-J303)</f>
        <v/>
      </c>
      <c r="L303" s="22"/>
      <c r="M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8" t="str">
        <f aca="false">IF(COUNT(F304:I304)=0,"",LOOKUP(2,1/ISNUMBER(F304:I304),F304:I304))</f>
        <v/>
      </c>
      <c r="K304" s="28" t="str">
        <f aca="false">IF(OR(E304="",J304=""),"",E304-J304)</f>
        <v/>
      </c>
      <c r="L304" s="22"/>
      <c r="M304" s="22"/>
    </row>
  </sheetData>
  <autoFilter ref="A4:M304"/>
  <dataValidations count="1">
    <dataValidation allowBlank="true" errorStyle="stop" operator="between" showDropDown="false" showErrorMessage="false" showInputMessage="false" sqref="B5:B3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M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30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28"/>
    <col collapsed="false" customWidth="true" hidden="false" outlineLevel="0" max="6" min="6" style="0" width="18"/>
    <col collapsed="false" customWidth="true" hidden="false" outlineLevel="0" max="9" min="7" style="0" width="13"/>
    <col collapsed="false" customWidth="true" hidden="false" outlineLevel="0" max="10" min="10" style="0" width="18"/>
    <col collapsed="false" customWidth="true" hidden="false" outlineLevel="0" max="11" min="11" style="0" width="14"/>
    <col collapsed="false" customWidth="true" hidden="false" outlineLevel="0" max="12" min="12" style="0" width="12"/>
    <col collapsed="false" customWidth="true" hidden="false" outlineLevel="0" max="13" min="13" style="0" width="10"/>
  </cols>
  <sheetData>
    <row r="1" customFormat="false" ht="19.7" hidden="false" customHeight="false" outlineLevel="0" collapsed="false">
      <c r="A1" s="1" t="s">
        <v>56</v>
      </c>
    </row>
    <row r="2" customFormat="false" ht="15" hidden="false" customHeight="false" outlineLevel="0" collapsed="false">
      <c r="A2" s="2" t="s">
        <v>576</v>
      </c>
    </row>
    <row r="4" customFormat="false" ht="31.5" hidden="false" customHeight="true" outlineLevel="0" collapsed="false">
      <c r="A4" s="9" t="s">
        <v>577</v>
      </c>
      <c r="B4" s="9" t="s">
        <v>115</v>
      </c>
      <c r="C4" s="9" t="s">
        <v>578</v>
      </c>
      <c r="D4" s="9" t="s">
        <v>579</v>
      </c>
      <c r="E4" s="9" t="s">
        <v>580</v>
      </c>
      <c r="F4" s="9" t="s">
        <v>581</v>
      </c>
      <c r="G4" s="9" t="s">
        <v>582</v>
      </c>
      <c r="H4" s="9" t="s">
        <v>583</v>
      </c>
      <c r="I4" s="9" t="s">
        <v>584</v>
      </c>
      <c r="J4" s="9" t="s">
        <v>34</v>
      </c>
      <c r="K4" s="9" t="s">
        <v>585</v>
      </c>
      <c r="L4" s="9" t="s">
        <v>586</v>
      </c>
      <c r="M4" s="9" t="s">
        <v>546</v>
      </c>
    </row>
    <row r="5" customFormat="false" ht="15" hidden="false" customHeight="false" outlineLevel="0" collapsed="false">
      <c r="A5" s="22" t="s">
        <v>587</v>
      </c>
      <c r="B5" s="22" t="s">
        <v>588</v>
      </c>
      <c r="C5" s="22" t="s">
        <v>589</v>
      </c>
      <c r="D5" s="22" t="s">
        <v>550</v>
      </c>
      <c r="E5" s="22" t="s">
        <v>554</v>
      </c>
      <c r="F5" s="22"/>
      <c r="G5" s="21"/>
      <c r="H5" s="21"/>
      <c r="I5" s="21"/>
      <c r="J5" s="22" t="s">
        <v>45</v>
      </c>
      <c r="K5" s="22"/>
      <c r="L5" s="22"/>
      <c r="M5" s="22"/>
    </row>
    <row r="6" customFormat="false" ht="23.85" hidden="false" customHeight="false" outlineLevel="0" collapsed="false">
      <c r="A6" s="22" t="s">
        <v>590</v>
      </c>
      <c r="B6" s="22" t="s">
        <v>588</v>
      </c>
      <c r="C6" s="22" t="s">
        <v>589</v>
      </c>
      <c r="D6" s="22" t="s">
        <v>591</v>
      </c>
      <c r="E6" s="22" t="s">
        <v>592</v>
      </c>
      <c r="F6" s="22"/>
      <c r="G6" s="21"/>
      <c r="H6" s="21"/>
      <c r="I6" s="21"/>
      <c r="J6" s="22" t="s">
        <v>45</v>
      </c>
      <c r="K6" s="22"/>
      <c r="L6" s="22"/>
      <c r="M6" s="22"/>
    </row>
    <row r="7" customFormat="false" ht="15" hidden="false" customHeight="false" outlineLevel="0" collapsed="false">
      <c r="A7" s="22" t="s">
        <v>593</v>
      </c>
      <c r="B7" s="22" t="s">
        <v>588</v>
      </c>
      <c r="C7" s="22" t="s">
        <v>594</v>
      </c>
      <c r="D7" s="22" t="s">
        <v>595</v>
      </c>
      <c r="E7" s="22" t="s">
        <v>596</v>
      </c>
      <c r="F7" s="22"/>
      <c r="G7" s="21"/>
      <c r="H7" s="21"/>
      <c r="I7" s="21"/>
      <c r="J7" s="22" t="s">
        <v>45</v>
      </c>
      <c r="K7" s="22"/>
      <c r="L7" s="22"/>
      <c r="M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1"/>
      <c r="H8" s="21"/>
      <c r="I8" s="21"/>
      <c r="J8" s="22"/>
      <c r="K8" s="22"/>
      <c r="L8" s="22"/>
      <c r="M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1"/>
      <c r="H9" s="21"/>
      <c r="I9" s="21"/>
      <c r="J9" s="22"/>
      <c r="K9" s="22"/>
      <c r="L9" s="22"/>
      <c r="M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1"/>
      <c r="H10" s="21"/>
      <c r="I10" s="21"/>
      <c r="J10" s="22"/>
      <c r="K10" s="22"/>
      <c r="L10" s="22"/>
      <c r="M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1"/>
      <c r="H11" s="21"/>
      <c r="I11" s="21"/>
      <c r="J11" s="22"/>
      <c r="K11" s="22"/>
      <c r="L11" s="22"/>
      <c r="M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1"/>
      <c r="H12" s="21"/>
      <c r="I12" s="21"/>
      <c r="J12" s="22"/>
      <c r="K12" s="22"/>
      <c r="L12" s="22"/>
      <c r="M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1"/>
      <c r="H13" s="21"/>
      <c r="I13" s="21"/>
      <c r="J13" s="22"/>
      <c r="K13" s="22"/>
      <c r="L13" s="22"/>
      <c r="M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1"/>
      <c r="H14" s="21"/>
      <c r="I14" s="21"/>
      <c r="J14" s="22"/>
      <c r="K14" s="22"/>
      <c r="L14" s="22"/>
      <c r="M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1"/>
      <c r="H15" s="21"/>
      <c r="I15" s="21"/>
      <c r="J15" s="22"/>
      <c r="K15" s="22"/>
      <c r="L15" s="22"/>
      <c r="M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1"/>
      <c r="H16" s="21"/>
      <c r="I16" s="21"/>
      <c r="J16" s="22"/>
      <c r="K16" s="22"/>
      <c r="L16" s="22"/>
      <c r="M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1"/>
      <c r="H17" s="21"/>
      <c r="I17" s="21"/>
      <c r="J17" s="22"/>
      <c r="K17" s="22"/>
      <c r="L17" s="22"/>
      <c r="M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1"/>
      <c r="H18" s="21"/>
      <c r="I18" s="21"/>
      <c r="J18" s="22"/>
      <c r="K18" s="22"/>
      <c r="L18" s="22"/>
      <c r="M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1"/>
      <c r="H19" s="21"/>
      <c r="I19" s="21"/>
      <c r="J19" s="22"/>
      <c r="K19" s="22"/>
      <c r="L19" s="22"/>
      <c r="M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1"/>
      <c r="H20" s="21"/>
      <c r="I20" s="21"/>
      <c r="J20" s="22"/>
      <c r="K20" s="22"/>
      <c r="L20" s="22"/>
      <c r="M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1"/>
      <c r="H21" s="21"/>
      <c r="I21" s="21"/>
      <c r="J21" s="22"/>
      <c r="K21" s="22"/>
      <c r="L21" s="22"/>
      <c r="M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1"/>
      <c r="H22" s="21"/>
      <c r="I22" s="21"/>
      <c r="J22" s="22"/>
      <c r="K22" s="22"/>
      <c r="L22" s="22"/>
      <c r="M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1"/>
      <c r="H23" s="21"/>
      <c r="I23" s="21"/>
      <c r="J23" s="22"/>
      <c r="K23" s="22"/>
      <c r="L23" s="22"/>
      <c r="M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1"/>
      <c r="H24" s="21"/>
      <c r="I24" s="21"/>
      <c r="J24" s="22"/>
      <c r="K24" s="22"/>
      <c r="L24" s="22"/>
      <c r="M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1"/>
      <c r="H25" s="21"/>
      <c r="I25" s="21"/>
      <c r="J25" s="22"/>
      <c r="K25" s="22"/>
      <c r="L25" s="22"/>
      <c r="M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1"/>
      <c r="H26" s="21"/>
      <c r="I26" s="21"/>
      <c r="J26" s="22"/>
      <c r="K26" s="22"/>
      <c r="L26" s="22"/>
      <c r="M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1"/>
      <c r="H27" s="21"/>
      <c r="I27" s="21"/>
      <c r="J27" s="22"/>
      <c r="K27" s="22"/>
      <c r="L27" s="22"/>
      <c r="M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1"/>
      <c r="H28" s="21"/>
      <c r="I28" s="21"/>
      <c r="J28" s="22"/>
      <c r="K28" s="22"/>
      <c r="L28" s="22"/>
      <c r="M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1"/>
      <c r="H29" s="21"/>
      <c r="I29" s="21"/>
      <c r="J29" s="22"/>
      <c r="K29" s="22"/>
      <c r="L29" s="22"/>
      <c r="M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1"/>
      <c r="H30" s="21"/>
      <c r="I30" s="21"/>
      <c r="J30" s="22"/>
      <c r="K30" s="22"/>
      <c r="L30" s="22"/>
      <c r="M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1"/>
      <c r="H31" s="21"/>
      <c r="I31" s="21"/>
      <c r="J31" s="22"/>
      <c r="K31" s="22"/>
      <c r="L31" s="22"/>
      <c r="M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1"/>
      <c r="H32" s="21"/>
      <c r="I32" s="21"/>
      <c r="J32" s="22"/>
      <c r="K32" s="22"/>
      <c r="L32" s="22"/>
      <c r="M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1"/>
      <c r="H33" s="21"/>
      <c r="I33" s="21"/>
      <c r="J33" s="22"/>
      <c r="K33" s="22"/>
      <c r="L33" s="22"/>
      <c r="M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1"/>
      <c r="H34" s="21"/>
      <c r="I34" s="21"/>
      <c r="J34" s="22"/>
      <c r="K34" s="22"/>
      <c r="L34" s="22"/>
      <c r="M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1"/>
      <c r="H35" s="21"/>
      <c r="I35" s="21"/>
      <c r="J35" s="22"/>
      <c r="K35" s="22"/>
      <c r="L35" s="22"/>
      <c r="M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1"/>
      <c r="H36" s="21"/>
      <c r="I36" s="21"/>
      <c r="J36" s="22"/>
      <c r="K36" s="22"/>
      <c r="L36" s="22"/>
      <c r="M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1"/>
      <c r="H37" s="21"/>
      <c r="I37" s="21"/>
      <c r="J37" s="22"/>
      <c r="K37" s="22"/>
      <c r="L37" s="22"/>
      <c r="M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1"/>
      <c r="H38" s="21"/>
      <c r="I38" s="21"/>
      <c r="J38" s="22"/>
      <c r="K38" s="22"/>
      <c r="L38" s="22"/>
      <c r="M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1"/>
      <c r="H39" s="21"/>
      <c r="I39" s="21"/>
      <c r="J39" s="22"/>
      <c r="K39" s="22"/>
      <c r="L39" s="22"/>
      <c r="M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1"/>
      <c r="H40" s="21"/>
      <c r="I40" s="21"/>
      <c r="J40" s="22"/>
      <c r="K40" s="22"/>
      <c r="L40" s="22"/>
      <c r="M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1"/>
      <c r="H41" s="21"/>
      <c r="I41" s="21"/>
      <c r="J41" s="22"/>
      <c r="K41" s="22"/>
      <c r="L41" s="22"/>
      <c r="M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1"/>
      <c r="H42" s="21"/>
      <c r="I42" s="21"/>
      <c r="J42" s="22"/>
      <c r="K42" s="22"/>
      <c r="L42" s="22"/>
      <c r="M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1"/>
      <c r="H43" s="21"/>
      <c r="I43" s="21"/>
      <c r="J43" s="22"/>
      <c r="K43" s="22"/>
      <c r="L43" s="22"/>
      <c r="M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1"/>
      <c r="H44" s="21"/>
      <c r="I44" s="21"/>
      <c r="J44" s="22"/>
      <c r="K44" s="22"/>
      <c r="L44" s="22"/>
      <c r="M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1"/>
      <c r="H45" s="21"/>
      <c r="I45" s="21"/>
      <c r="J45" s="22"/>
      <c r="K45" s="22"/>
      <c r="L45" s="22"/>
      <c r="M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1"/>
      <c r="H46" s="21"/>
      <c r="I46" s="21"/>
      <c r="J46" s="22"/>
      <c r="K46" s="22"/>
      <c r="L46" s="22"/>
      <c r="M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1"/>
      <c r="H47" s="21"/>
      <c r="I47" s="21"/>
      <c r="J47" s="22"/>
      <c r="K47" s="22"/>
      <c r="L47" s="22"/>
      <c r="M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1"/>
      <c r="H48" s="21"/>
      <c r="I48" s="21"/>
      <c r="J48" s="22"/>
      <c r="K48" s="22"/>
      <c r="L48" s="22"/>
      <c r="M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1"/>
      <c r="H49" s="21"/>
      <c r="I49" s="21"/>
      <c r="J49" s="22"/>
      <c r="K49" s="22"/>
      <c r="L49" s="22"/>
      <c r="M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1"/>
      <c r="H50" s="21"/>
      <c r="I50" s="21"/>
      <c r="J50" s="22"/>
      <c r="K50" s="22"/>
      <c r="L50" s="22"/>
      <c r="M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1"/>
      <c r="H51" s="21"/>
      <c r="I51" s="21"/>
      <c r="J51" s="22"/>
      <c r="K51" s="22"/>
      <c r="L51" s="22"/>
      <c r="M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1"/>
      <c r="H52" s="21"/>
      <c r="I52" s="21"/>
      <c r="J52" s="22"/>
      <c r="K52" s="22"/>
      <c r="L52" s="22"/>
      <c r="M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1"/>
      <c r="H53" s="21"/>
      <c r="I53" s="21"/>
      <c r="J53" s="22"/>
      <c r="K53" s="22"/>
      <c r="L53" s="22"/>
      <c r="M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1"/>
      <c r="H54" s="21"/>
      <c r="I54" s="21"/>
      <c r="J54" s="22"/>
      <c r="K54" s="22"/>
      <c r="L54" s="22"/>
      <c r="M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1"/>
      <c r="H55" s="21"/>
      <c r="I55" s="21"/>
      <c r="J55" s="22"/>
      <c r="K55" s="22"/>
      <c r="L55" s="22"/>
      <c r="M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1"/>
      <c r="H56" s="21"/>
      <c r="I56" s="21"/>
      <c r="J56" s="22"/>
      <c r="K56" s="22"/>
      <c r="L56" s="22"/>
      <c r="M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1"/>
      <c r="H57" s="21"/>
      <c r="I57" s="21"/>
      <c r="J57" s="22"/>
      <c r="K57" s="22"/>
      <c r="L57" s="22"/>
      <c r="M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1"/>
      <c r="H58" s="21"/>
      <c r="I58" s="21"/>
      <c r="J58" s="22"/>
      <c r="K58" s="22"/>
      <c r="L58" s="22"/>
      <c r="M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1"/>
      <c r="H59" s="21"/>
      <c r="I59" s="21"/>
      <c r="J59" s="22"/>
      <c r="K59" s="22"/>
      <c r="L59" s="22"/>
      <c r="M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1"/>
      <c r="H60" s="21"/>
      <c r="I60" s="21"/>
      <c r="J60" s="22"/>
      <c r="K60" s="22"/>
      <c r="L60" s="22"/>
      <c r="M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1"/>
      <c r="H61" s="21"/>
      <c r="I61" s="21"/>
      <c r="J61" s="22"/>
      <c r="K61" s="22"/>
      <c r="L61" s="22"/>
      <c r="M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1"/>
      <c r="H62" s="21"/>
      <c r="I62" s="21"/>
      <c r="J62" s="22"/>
      <c r="K62" s="22"/>
      <c r="L62" s="22"/>
      <c r="M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1"/>
      <c r="H63" s="21"/>
      <c r="I63" s="21"/>
      <c r="J63" s="22"/>
      <c r="K63" s="22"/>
      <c r="L63" s="22"/>
      <c r="M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1"/>
      <c r="H64" s="21"/>
      <c r="I64" s="21"/>
      <c r="J64" s="22"/>
      <c r="K64" s="22"/>
      <c r="L64" s="22"/>
      <c r="M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1"/>
      <c r="H65" s="21"/>
      <c r="I65" s="21"/>
      <c r="J65" s="22"/>
      <c r="K65" s="22"/>
      <c r="L65" s="22"/>
      <c r="M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1"/>
      <c r="H66" s="21"/>
      <c r="I66" s="21"/>
      <c r="J66" s="22"/>
      <c r="K66" s="22"/>
      <c r="L66" s="22"/>
      <c r="M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1"/>
      <c r="H67" s="21"/>
      <c r="I67" s="21"/>
      <c r="J67" s="22"/>
      <c r="K67" s="22"/>
      <c r="L67" s="22"/>
      <c r="M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1"/>
      <c r="H68" s="21"/>
      <c r="I68" s="21"/>
      <c r="J68" s="22"/>
      <c r="K68" s="22"/>
      <c r="L68" s="22"/>
      <c r="M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1"/>
      <c r="H69" s="21"/>
      <c r="I69" s="21"/>
      <c r="J69" s="22"/>
      <c r="K69" s="22"/>
      <c r="L69" s="22"/>
      <c r="M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1"/>
      <c r="H70" s="21"/>
      <c r="I70" s="21"/>
      <c r="J70" s="22"/>
      <c r="K70" s="22"/>
      <c r="L70" s="22"/>
      <c r="M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1"/>
      <c r="H71" s="21"/>
      <c r="I71" s="21"/>
      <c r="J71" s="22"/>
      <c r="K71" s="22"/>
      <c r="L71" s="22"/>
      <c r="M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1"/>
      <c r="H72" s="21"/>
      <c r="I72" s="21"/>
      <c r="J72" s="22"/>
      <c r="K72" s="22"/>
      <c r="L72" s="22"/>
      <c r="M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1"/>
      <c r="H73" s="21"/>
      <c r="I73" s="21"/>
      <c r="J73" s="22"/>
      <c r="K73" s="22"/>
      <c r="L73" s="22"/>
      <c r="M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1"/>
      <c r="H74" s="21"/>
      <c r="I74" s="21"/>
      <c r="J74" s="22"/>
      <c r="K74" s="22"/>
      <c r="L74" s="22"/>
      <c r="M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1"/>
      <c r="H75" s="21"/>
      <c r="I75" s="21"/>
      <c r="J75" s="22"/>
      <c r="K75" s="22"/>
      <c r="L75" s="22"/>
      <c r="M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1"/>
      <c r="H76" s="21"/>
      <c r="I76" s="21"/>
      <c r="J76" s="22"/>
      <c r="K76" s="22"/>
      <c r="L76" s="22"/>
      <c r="M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1"/>
      <c r="H77" s="21"/>
      <c r="I77" s="21"/>
      <c r="J77" s="22"/>
      <c r="K77" s="22"/>
      <c r="L77" s="22"/>
      <c r="M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1"/>
      <c r="H78" s="21"/>
      <c r="I78" s="21"/>
      <c r="J78" s="22"/>
      <c r="K78" s="22"/>
      <c r="L78" s="22"/>
      <c r="M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1"/>
      <c r="H79" s="21"/>
      <c r="I79" s="21"/>
      <c r="J79" s="22"/>
      <c r="K79" s="22"/>
      <c r="L79" s="22"/>
      <c r="M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1"/>
      <c r="H80" s="21"/>
      <c r="I80" s="21"/>
      <c r="J80" s="22"/>
      <c r="K80" s="22"/>
      <c r="L80" s="22"/>
      <c r="M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1"/>
      <c r="H81" s="21"/>
      <c r="I81" s="21"/>
      <c r="J81" s="22"/>
      <c r="K81" s="22"/>
      <c r="L81" s="22"/>
      <c r="M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1"/>
      <c r="H82" s="21"/>
      <c r="I82" s="21"/>
      <c r="J82" s="22"/>
      <c r="K82" s="22"/>
      <c r="L82" s="22"/>
      <c r="M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1"/>
      <c r="H83" s="21"/>
      <c r="I83" s="21"/>
      <c r="J83" s="22"/>
      <c r="K83" s="22"/>
      <c r="L83" s="22"/>
      <c r="M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1"/>
      <c r="H84" s="21"/>
      <c r="I84" s="21"/>
      <c r="J84" s="22"/>
      <c r="K84" s="22"/>
      <c r="L84" s="22"/>
      <c r="M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1"/>
      <c r="H85" s="21"/>
      <c r="I85" s="21"/>
      <c r="J85" s="22"/>
      <c r="K85" s="22"/>
      <c r="L85" s="22"/>
      <c r="M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1"/>
      <c r="H86" s="21"/>
      <c r="I86" s="21"/>
      <c r="J86" s="22"/>
      <c r="K86" s="22"/>
      <c r="L86" s="22"/>
      <c r="M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1"/>
      <c r="H87" s="21"/>
      <c r="I87" s="21"/>
      <c r="J87" s="22"/>
      <c r="K87" s="22"/>
      <c r="L87" s="22"/>
      <c r="M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1"/>
      <c r="H88" s="21"/>
      <c r="I88" s="21"/>
      <c r="J88" s="22"/>
      <c r="K88" s="22"/>
      <c r="L88" s="22"/>
      <c r="M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1"/>
      <c r="H89" s="21"/>
      <c r="I89" s="21"/>
      <c r="J89" s="22"/>
      <c r="K89" s="22"/>
      <c r="L89" s="22"/>
      <c r="M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1"/>
      <c r="H90" s="21"/>
      <c r="I90" s="21"/>
      <c r="J90" s="22"/>
      <c r="K90" s="22"/>
      <c r="L90" s="22"/>
      <c r="M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1"/>
      <c r="H91" s="21"/>
      <c r="I91" s="21"/>
      <c r="J91" s="22"/>
      <c r="K91" s="22"/>
      <c r="L91" s="22"/>
      <c r="M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1"/>
      <c r="H92" s="21"/>
      <c r="I92" s="21"/>
      <c r="J92" s="22"/>
      <c r="K92" s="22"/>
      <c r="L92" s="22"/>
      <c r="M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1"/>
      <c r="H93" s="21"/>
      <c r="I93" s="21"/>
      <c r="J93" s="22"/>
      <c r="K93" s="22"/>
      <c r="L93" s="22"/>
      <c r="M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1"/>
      <c r="H94" s="21"/>
      <c r="I94" s="21"/>
      <c r="J94" s="22"/>
      <c r="K94" s="22"/>
      <c r="L94" s="22"/>
      <c r="M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1"/>
      <c r="H95" s="21"/>
      <c r="I95" s="21"/>
      <c r="J95" s="22"/>
      <c r="K95" s="22"/>
      <c r="L95" s="22"/>
      <c r="M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1"/>
      <c r="H96" s="21"/>
      <c r="I96" s="21"/>
      <c r="J96" s="22"/>
      <c r="K96" s="22"/>
      <c r="L96" s="22"/>
      <c r="M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1"/>
      <c r="H97" s="21"/>
      <c r="I97" s="21"/>
      <c r="J97" s="22"/>
      <c r="K97" s="22"/>
      <c r="L97" s="22"/>
      <c r="M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1"/>
      <c r="H98" s="21"/>
      <c r="I98" s="21"/>
      <c r="J98" s="22"/>
      <c r="K98" s="22"/>
      <c r="L98" s="22"/>
      <c r="M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1"/>
      <c r="H99" s="21"/>
      <c r="I99" s="21"/>
      <c r="J99" s="22"/>
      <c r="K99" s="22"/>
      <c r="L99" s="22"/>
      <c r="M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1"/>
      <c r="H100" s="21"/>
      <c r="I100" s="21"/>
      <c r="J100" s="22"/>
      <c r="K100" s="22"/>
      <c r="L100" s="22"/>
      <c r="M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1"/>
      <c r="H101" s="21"/>
      <c r="I101" s="21"/>
      <c r="J101" s="22"/>
      <c r="K101" s="22"/>
      <c r="L101" s="22"/>
      <c r="M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1"/>
      <c r="H102" s="21"/>
      <c r="I102" s="21"/>
      <c r="J102" s="22"/>
      <c r="K102" s="22"/>
      <c r="L102" s="22"/>
      <c r="M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1"/>
      <c r="H103" s="21"/>
      <c r="I103" s="21"/>
      <c r="J103" s="22"/>
      <c r="K103" s="22"/>
      <c r="L103" s="22"/>
      <c r="M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1"/>
      <c r="H104" s="21"/>
      <c r="I104" s="21"/>
      <c r="J104" s="22"/>
      <c r="K104" s="22"/>
      <c r="L104" s="22"/>
      <c r="M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1"/>
      <c r="H105" s="21"/>
      <c r="I105" s="21"/>
      <c r="J105" s="22"/>
      <c r="K105" s="22"/>
      <c r="L105" s="22"/>
      <c r="M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1"/>
      <c r="H106" s="21"/>
      <c r="I106" s="21"/>
      <c r="J106" s="22"/>
      <c r="K106" s="22"/>
      <c r="L106" s="22"/>
      <c r="M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1"/>
      <c r="H107" s="21"/>
      <c r="I107" s="21"/>
      <c r="J107" s="22"/>
      <c r="K107" s="22"/>
      <c r="L107" s="22"/>
      <c r="M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1"/>
      <c r="H108" s="21"/>
      <c r="I108" s="21"/>
      <c r="J108" s="22"/>
      <c r="K108" s="22"/>
      <c r="L108" s="22"/>
      <c r="M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1"/>
      <c r="H109" s="21"/>
      <c r="I109" s="21"/>
      <c r="J109" s="22"/>
      <c r="K109" s="22"/>
      <c r="L109" s="22"/>
      <c r="M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1"/>
      <c r="H110" s="21"/>
      <c r="I110" s="21"/>
      <c r="J110" s="22"/>
      <c r="K110" s="22"/>
      <c r="L110" s="22"/>
      <c r="M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1"/>
      <c r="H111" s="21"/>
      <c r="I111" s="21"/>
      <c r="J111" s="22"/>
      <c r="K111" s="22"/>
      <c r="L111" s="22"/>
      <c r="M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1"/>
      <c r="H112" s="21"/>
      <c r="I112" s="21"/>
      <c r="J112" s="22"/>
      <c r="K112" s="22"/>
      <c r="L112" s="22"/>
      <c r="M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1"/>
      <c r="H113" s="21"/>
      <c r="I113" s="21"/>
      <c r="J113" s="22"/>
      <c r="K113" s="22"/>
      <c r="L113" s="22"/>
      <c r="M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1"/>
      <c r="H114" s="21"/>
      <c r="I114" s="21"/>
      <c r="J114" s="22"/>
      <c r="K114" s="22"/>
      <c r="L114" s="22"/>
      <c r="M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1"/>
      <c r="H115" s="21"/>
      <c r="I115" s="21"/>
      <c r="J115" s="22"/>
      <c r="K115" s="22"/>
      <c r="L115" s="22"/>
      <c r="M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1"/>
      <c r="H116" s="21"/>
      <c r="I116" s="21"/>
      <c r="J116" s="22"/>
      <c r="K116" s="22"/>
      <c r="L116" s="22"/>
      <c r="M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1"/>
      <c r="H117" s="21"/>
      <c r="I117" s="21"/>
      <c r="J117" s="22"/>
      <c r="K117" s="22"/>
      <c r="L117" s="22"/>
      <c r="M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1"/>
      <c r="H118" s="21"/>
      <c r="I118" s="21"/>
      <c r="J118" s="22"/>
      <c r="K118" s="22"/>
      <c r="L118" s="22"/>
      <c r="M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1"/>
      <c r="H119" s="21"/>
      <c r="I119" s="21"/>
      <c r="J119" s="22"/>
      <c r="K119" s="22"/>
      <c r="L119" s="22"/>
      <c r="M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1"/>
      <c r="H120" s="21"/>
      <c r="I120" s="21"/>
      <c r="J120" s="22"/>
      <c r="K120" s="22"/>
      <c r="L120" s="22"/>
      <c r="M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1"/>
      <c r="H121" s="21"/>
      <c r="I121" s="21"/>
      <c r="J121" s="22"/>
      <c r="K121" s="22"/>
      <c r="L121" s="22"/>
      <c r="M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1"/>
      <c r="H122" s="21"/>
      <c r="I122" s="21"/>
      <c r="J122" s="22"/>
      <c r="K122" s="22"/>
      <c r="L122" s="22"/>
      <c r="M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1"/>
      <c r="H123" s="21"/>
      <c r="I123" s="21"/>
      <c r="J123" s="22"/>
      <c r="K123" s="22"/>
      <c r="L123" s="22"/>
      <c r="M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1"/>
      <c r="H124" s="21"/>
      <c r="I124" s="21"/>
      <c r="J124" s="22"/>
      <c r="K124" s="22"/>
      <c r="L124" s="22"/>
      <c r="M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1"/>
      <c r="H125" s="21"/>
      <c r="I125" s="21"/>
      <c r="J125" s="22"/>
      <c r="K125" s="22"/>
      <c r="L125" s="22"/>
      <c r="M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1"/>
      <c r="H126" s="21"/>
      <c r="I126" s="21"/>
      <c r="J126" s="22"/>
      <c r="K126" s="22"/>
      <c r="L126" s="22"/>
      <c r="M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1"/>
      <c r="H127" s="21"/>
      <c r="I127" s="21"/>
      <c r="J127" s="22"/>
      <c r="K127" s="22"/>
      <c r="L127" s="22"/>
      <c r="M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1"/>
      <c r="H128" s="21"/>
      <c r="I128" s="21"/>
      <c r="J128" s="22"/>
      <c r="K128" s="22"/>
      <c r="L128" s="22"/>
      <c r="M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1"/>
      <c r="H129" s="21"/>
      <c r="I129" s="21"/>
      <c r="J129" s="22"/>
      <c r="K129" s="22"/>
      <c r="L129" s="22"/>
      <c r="M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1"/>
      <c r="H130" s="21"/>
      <c r="I130" s="21"/>
      <c r="J130" s="22"/>
      <c r="K130" s="22"/>
      <c r="L130" s="22"/>
      <c r="M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1"/>
      <c r="H131" s="21"/>
      <c r="I131" s="21"/>
      <c r="J131" s="22"/>
      <c r="K131" s="22"/>
      <c r="L131" s="22"/>
      <c r="M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1"/>
      <c r="H132" s="21"/>
      <c r="I132" s="21"/>
      <c r="J132" s="22"/>
      <c r="K132" s="22"/>
      <c r="L132" s="22"/>
      <c r="M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1"/>
      <c r="H133" s="21"/>
      <c r="I133" s="21"/>
      <c r="J133" s="22"/>
      <c r="K133" s="22"/>
      <c r="L133" s="22"/>
      <c r="M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1"/>
      <c r="H134" s="21"/>
      <c r="I134" s="21"/>
      <c r="J134" s="22"/>
      <c r="K134" s="22"/>
      <c r="L134" s="22"/>
      <c r="M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1"/>
      <c r="H135" s="21"/>
      <c r="I135" s="21"/>
      <c r="J135" s="22"/>
      <c r="K135" s="22"/>
      <c r="L135" s="22"/>
      <c r="M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1"/>
      <c r="H136" s="21"/>
      <c r="I136" s="21"/>
      <c r="J136" s="22"/>
      <c r="K136" s="22"/>
      <c r="L136" s="22"/>
      <c r="M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1"/>
      <c r="H137" s="21"/>
      <c r="I137" s="21"/>
      <c r="J137" s="22"/>
      <c r="K137" s="22"/>
      <c r="L137" s="22"/>
      <c r="M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1"/>
      <c r="H138" s="21"/>
      <c r="I138" s="21"/>
      <c r="J138" s="22"/>
      <c r="K138" s="22"/>
      <c r="L138" s="22"/>
      <c r="M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1"/>
      <c r="H139" s="21"/>
      <c r="I139" s="21"/>
      <c r="J139" s="22"/>
      <c r="K139" s="22"/>
      <c r="L139" s="22"/>
      <c r="M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1"/>
      <c r="H140" s="21"/>
      <c r="I140" s="21"/>
      <c r="J140" s="22"/>
      <c r="K140" s="22"/>
      <c r="L140" s="22"/>
      <c r="M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1"/>
      <c r="H141" s="21"/>
      <c r="I141" s="21"/>
      <c r="J141" s="22"/>
      <c r="K141" s="22"/>
      <c r="L141" s="22"/>
      <c r="M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1"/>
      <c r="H142" s="21"/>
      <c r="I142" s="21"/>
      <c r="J142" s="22"/>
      <c r="K142" s="22"/>
      <c r="L142" s="22"/>
      <c r="M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1"/>
      <c r="H143" s="21"/>
      <c r="I143" s="21"/>
      <c r="J143" s="22"/>
      <c r="K143" s="22"/>
      <c r="L143" s="22"/>
      <c r="M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1"/>
      <c r="H144" s="21"/>
      <c r="I144" s="21"/>
      <c r="J144" s="22"/>
      <c r="K144" s="22"/>
      <c r="L144" s="22"/>
      <c r="M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1"/>
      <c r="H145" s="21"/>
      <c r="I145" s="21"/>
      <c r="J145" s="22"/>
      <c r="K145" s="22"/>
      <c r="L145" s="22"/>
      <c r="M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1"/>
      <c r="H146" s="21"/>
      <c r="I146" s="21"/>
      <c r="J146" s="22"/>
      <c r="K146" s="22"/>
      <c r="L146" s="22"/>
      <c r="M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1"/>
      <c r="H147" s="21"/>
      <c r="I147" s="21"/>
      <c r="J147" s="22"/>
      <c r="K147" s="22"/>
      <c r="L147" s="22"/>
      <c r="M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1"/>
      <c r="H148" s="21"/>
      <c r="I148" s="21"/>
      <c r="J148" s="22"/>
      <c r="K148" s="22"/>
      <c r="L148" s="22"/>
      <c r="M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1"/>
      <c r="H149" s="21"/>
      <c r="I149" s="21"/>
      <c r="J149" s="22"/>
      <c r="K149" s="22"/>
      <c r="L149" s="22"/>
      <c r="M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1"/>
      <c r="H150" s="21"/>
      <c r="I150" s="21"/>
      <c r="J150" s="22"/>
      <c r="K150" s="22"/>
      <c r="L150" s="22"/>
      <c r="M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1"/>
      <c r="H151" s="21"/>
      <c r="I151" s="21"/>
      <c r="J151" s="22"/>
      <c r="K151" s="22"/>
      <c r="L151" s="22"/>
      <c r="M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1"/>
      <c r="H152" s="21"/>
      <c r="I152" s="21"/>
      <c r="J152" s="22"/>
      <c r="K152" s="22"/>
      <c r="L152" s="22"/>
      <c r="M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1"/>
      <c r="H153" s="21"/>
      <c r="I153" s="21"/>
      <c r="J153" s="22"/>
      <c r="K153" s="22"/>
      <c r="L153" s="22"/>
      <c r="M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1"/>
      <c r="H154" s="21"/>
      <c r="I154" s="21"/>
      <c r="J154" s="22"/>
      <c r="K154" s="22"/>
      <c r="L154" s="22"/>
      <c r="M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1"/>
      <c r="H155" s="21"/>
      <c r="I155" s="21"/>
      <c r="J155" s="22"/>
      <c r="K155" s="22"/>
      <c r="L155" s="22"/>
      <c r="M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1"/>
      <c r="H156" s="21"/>
      <c r="I156" s="21"/>
      <c r="J156" s="22"/>
      <c r="K156" s="22"/>
      <c r="L156" s="22"/>
      <c r="M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1"/>
      <c r="H157" s="21"/>
      <c r="I157" s="21"/>
      <c r="J157" s="22"/>
      <c r="K157" s="22"/>
      <c r="L157" s="22"/>
      <c r="M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1"/>
      <c r="H158" s="21"/>
      <c r="I158" s="21"/>
      <c r="J158" s="22"/>
      <c r="K158" s="22"/>
      <c r="L158" s="22"/>
      <c r="M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1"/>
      <c r="H159" s="21"/>
      <c r="I159" s="21"/>
      <c r="J159" s="22"/>
      <c r="K159" s="22"/>
      <c r="L159" s="22"/>
      <c r="M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1"/>
      <c r="H160" s="21"/>
      <c r="I160" s="21"/>
      <c r="J160" s="22"/>
      <c r="K160" s="22"/>
      <c r="L160" s="22"/>
      <c r="M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1"/>
      <c r="H161" s="21"/>
      <c r="I161" s="21"/>
      <c r="J161" s="22"/>
      <c r="K161" s="22"/>
      <c r="L161" s="22"/>
      <c r="M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1"/>
      <c r="H162" s="21"/>
      <c r="I162" s="21"/>
      <c r="J162" s="22"/>
      <c r="K162" s="22"/>
      <c r="L162" s="22"/>
      <c r="M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1"/>
      <c r="H163" s="21"/>
      <c r="I163" s="21"/>
      <c r="J163" s="22"/>
      <c r="K163" s="22"/>
      <c r="L163" s="22"/>
      <c r="M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1"/>
      <c r="H164" s="21"/>
      <c r="I164" s="21"/>
      <c r="J164" s="22"/>
      <c r="K164" s="22"/>
      <c r="L164" s="22"/>
      <c r="M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1"/>
      <c r="H165" s="21"/>
      <c r="I165" s="21"/>
      <c r="J165" s="22"/>
      <c r="K165" s="22"/>
      <c r="L165" s="22"/>
      <c r="M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1"/>
      <c r="H166" s="21"/>
      <c r="I166" s="21"/>
      <c r="J166" s="22"/>
      <c r="K166" s="22"/>
      <c r="L166" s="22"/>
      <c r="M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1"/>
      <c r="H167" s="21"/>
      <c r="I167" s="21"/>
      <c r="J167" s="22"/>
      <c r="K167" s="22"/>
      <c r="L167" s="22"/>
      <c r="M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1"/>
      <c r="H168" s="21"/>
      <c r="I168" s="21"/>
      <c r="J168" s="22"/>
      <c r="K168" s="22"/>
      <c r="L168" s="22"/>
      <c r="M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1"/>
      <c r="H169" s="21"/>
      <c r="I169" s="21"/>
      <c r="J169" s="22"/>
      <c r="K169" s="22"/>
      <c r="L169" s="22"/>
      <c r="M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1"/>
      <c r="H170" s="21"/>
      <c r="I170" s="21"/>
      <c r="J170" s="22"/>
      <c r="K170" s="22"/>
      <c r="L170" s="22"/>
      <c r="M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1"/>
      <c r="H171" s="21"/>
      <c r="I171" s="21"/>
      <c r="J171" s="22"/>
      <c r="K171" s="22"/>
      <c r="L171" s="22"/>
      <c r="M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1"/>
      <c r="H172" s="21"/>
      <c r="I172" s="21"/>
      <c r="J172" s="22"/>
      <c r="K172" s="22"/>
      <c r="L172" s="22"/>
      <c r="M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1"/>
      <c r="H173" s="21"/>
      <c r="I173" s="21"/>
      <c r="J173" s="22"/>
      <c r="K173" s="22"/>
      <c r="L173" s="22"/>
      <c r="M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1"/>
      <c r="H174" s="21"/>
      <c r="I174" s="21"/>
      <c r="J174" s="22"/>
      <c r="K174" s="22"/>
      <c r="L174" s="22"/>
      <c r="M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1"/>
      <c r="H175" s="21"/>
      <c r="I175" s="21"/>
      <c r="J175" s="22"/>
      <c r="K175" s="22"/>
      <c r="L175" s="22"/>
      <c r="M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1"/>
      <c r="H176" s="21"/>
      <c r="I176" s="21"/>
      <c r="J176" s="22"/>
      <c r="K176" s="22"/>
      <c r="L176" s="22"/>
      <c r="M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1"/>
      <c r="H177" s="21"/>
      <c r="I177" s="21"/>
      <c r="J177" s="22"/>
      <c r="K177" s="22"/>
      <c r="L177" s="22"/>
      <c r="M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1"/>
      <c r="H178" s="21"/>
      <c r="I178" s="21"/>
      <c r="J178" s="22"/>
      <c r="K178" s="22"/>
      <c r="L178" s="22"/>
      <c r="M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1"/>
      <c r="H179" s="21"/>
      <c r="I179" s="21"/>
      <c r="J179" s="22"/>
      <c r="K179" s="22"/>
      <c r="L179" s="22"/>
      <c r="M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1"/>
      <c r="H180" s="21"/>
      <c r="I180" s="21"/>
      <c r="J180" s="22"/>
      <c r="K180" s="22"/>
      <c r="L180" s="22"/>
      <c r="M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1"/>
      <c r="H181" s="21"/>
      <c r="I181" s="21"/>
      <c r="J181" s="22"/>
      <c r="K181" s="22"/>
      <c r="L181" s="22"/>
      <c r="M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1"/>
      <c r="H182" s="21"/>
      <c r="I182" s="21"/>
      <c r="J182" s="22"/>
      <c r="K182" s="22"/>
      <c r="L182" s="22"/>
      <c r="M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1"/>
      <c r="H183" s="21"/>
      <c r="I183" s="21"/>
      <c r="J183" s="22"/>
      <c r="K183" s="22"/>
      <c r="L183" s="22"/>
      <c r="M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1"/>
      <c r="H184" s="21"/>
      <c r="I184" s="21"/>
      <c r="J184" s="22"/>
      <c r="K184" s="22"/>
      <c r="L184" s="22"/>
      <c r="M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1"/>
      <c r="H185" s="21"/>
      <c r="I185" s="21"/>
      <c r="J185" s="22"/>
      <c r="K185" s="22"/>
      <c r="L185" s="22"/>
      <c r="M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1"/>
      <c r="H186" s="21"/>
      <c r="I186" s="21"/>
      <c r="J186" s="22"/>
      <c r="K186" s="22"/>
      <c r="L186" s="22"/>
      <c r="M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1"/>
      <c r="H187" s="21"/>
      <c r="I187" s="21"/>
      <c r="J187" s="22"/>
      <c r="K187" s="22"/>
      <c r="L187" s="22"/>
      <c r="M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1"/>
      <c r="H188" s="21"/>
      <c r="I188" s="21"/>
      <c r="J188" s="22"/>
      <c r="K188" s="22"/>
      <c r="L188" s="22"/>
      <c r="M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1"/>
      <c r="H189" s="21"/>
      <c r="I189" s="21"/>
      <c r="J189" s="22"/>
      <c r="K189" s="22"/>
      <c r="L189" s="22"/>
      <c r="M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1"/>
      <c r="H190" s="21"/>
      <c r="I190" s="21"/>
      <c r="J190" s="22"/>
      <c r="K190" s="22"/>
      <c r="L190" s="22"/>
      <c r="M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1"/>
      <c r="H191" s="21"/>
      <c r="I191" s="21"/>
      <c r="J191" s="22"/>
      <c r="K191" s="22"/>
      <c r="L191" s="22"/>
      <c r="M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1"/>
      <c r="H192" s="21"/>
      <c r="I192" s="21"/>
      <c r="J192" s="22"/>
      <c r="K192" s="22"/>
      <c r="L192" s="22"/>
      <c r="M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1"/>
      <c r="H193" s="21"/>
      <c r="I193" s="21"/>
      <c r="J193" s="22"/>
      <c r="K193" s="22"/>
      <c r="L193" s="22"/>
      <c r="M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1"/>
      <c r="H194" s="21"/>
      <c r="I194" s="21"/>
      <c r="J194" s="22"/>
      <c r="K194" s="22"/>
      <c r="L194" s="22"/>
      <c r="M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1"/>
      <c r="H195" s="21"/>
      <c r="I195" s="21"/>
      <c r="J195" s="22"/>
      <c r="K195" s="22"/>
      <c r="L195" s="22"/>
      <c r="M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1"/>
      <c r="H196" s="21"/>
      <c r="I196" s="21"/>
      <c r="J196" s="22"/>
      <c r="K196" s="22"/>
      <c r="L196" s="22"/>
      <c r="M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1"/>
      <c r="H197" s="21"/>
      <c r="I197" s="21"/>
      <c r="J197" s="22"/>
      <c r="K197" s="22"/>
      <c r="L197" s="22"/>
      <c r="M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1"/>
      <c r="H198" s="21"/>
      <c r="I198" s="21"/>
      <c r="J198" s="22"/>
      <c r="K198" s="22"/>
      <c r="L198" s="22"/>
      <c r="M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1"/>
      <c r="H199" s="21"/>
      <c r="I199" s="21"/>
      <c r="J199" s="22"/>
      <c r="K199" s="22"/>
      <c r="L199" s="22"/>
      <c r="M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1"/>
      <c r="H200" s="21"/>
      <c r="I200" s="21"/>
      <c r="J200" s="22"/>
      <c r="K200" s="22"/>
      <c r="L200" s="22"/>
      <c r="M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1"/>
      <c r="H201" s="21"/>
      <c r="I201" s="21"/>
      <c r="J201" s="22"/>
      <c r="K201" s="22"/>
      <c r="L201" s="22"/>
      <c r="M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1"/>
      <c r="H202" s="21"/>
      <c r="I202" s="21"/>
      <c r="J202" s="22"/>
      <c r="K202" s="22"/>
      <c r="L202" s="22"/>
      <c r="M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1"/>
      <c r="H203" s="21"/>
      <c r="I203" s="21"/>
      <c r="J203" s="22"/>
      <c r="K203" s="22"/>
      <c r="L203" s="22"/>
      <c r="M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1"/>
      <c r="H204" s="21"/>
      <c r="I204" s="21"/>
      <c r="J204" s="22"/>
      <c r="K204" s="22"/>
      <c r="L204" s="22"/>
      <c r="M204" s="22"/>
    </row>
  </sheetData>
  <autoFilter ref="A4:M204"/>
  <dataValidations count="1">
    <dataValidation allowBlank="true" errorStyle="stop" operator="between" showDropDown="false" showErrorMessage="false" showInputMessage="false" sqref="J5:J2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R3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3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  <col collapsed="false" customWidth="true" hidden="false" outlineLevel="0" max="6" min="6" style="0" width="36"/>
    <col collapsed="false" customWidth="true" hidden="false" outlineLevel="0" max="7" min="7" style="0" width="12"/>
    <col collapsed="false" customWidth="true" hidden="false" outlineLevel="0" max="8" min="8" style="0" width="10"/>
    <col collapsed="false" customWidth="true" hidden="false" outlineLevel="0" max="11" min="9" style="0" width="12"/>
    <col collapsed="false" customWidth="true" hidden="false" outlineLevel="0" max="13" min="12" style="0" width="10"/>
    <col collapsed="false" customWidth="true" hidden="false" outlineLevel="0" max="14" min="14" style="0" width="16"/>
    <col collapsed="false" customWidth="true" hidden="false" outlineLevel="0" max="15" min="15" style="0" width="12"/>
    <col collapsed="false" customWidth="true" hidden="false" outlineLevel="0" max="18" min="16" style="0" width="10"/>
  </cols>
  <sheetData>
    <row r="1" customFormat="false" ht="19.7" hidden="false" customHeight="false" outlineLevel="0" collapsed="false">
      <c r="A1" s="1" t="s">
        <v>597</v>
      </c>
    </row>
    <row r="2" customFormat="false" ht="15" hidden="false" customHeight="false" outlineLevel="0" collapsed="false">
      <c r="A2" s="2" t="s">
        <v>598</v>
      </c>
    </row>
    <row r="4" customFormat="false" ht="31.5" hidden="false" customHeight="true" outlineLevel="0" collapsed="false">
      <c r="A4" s="9" t="s">
        <v>599</v>
      </c>
      <c r="B4" s="9" t="s">
        <v>235</v>
      </c>
      <c r="C4" s="9" t="s">
        <v>158</v>
      </c>
      <c r="D4" s="9" t="s">
        <v>113</v>
      </c>
      <c r="E4" s="9" t="s">
        <v>302</v>
      </c>
      <c r="F4" s="9" t="s">
        <v>115</v>
      </c>
      <c r="G4" s="9" t="s">
        <v>600</v>
      </c>
      <c r="H4" s="9" t="s">
        <v>601</v>
      </c>
      <c r="I4" s="9" t="s">
        <v>602</v>
      </c>
      <c r="J4" s="9" t="s">
        <v>603</v>
      </c>
      <c r="K4" s="9" t="s">
        <v>604</v>
      </c>
      <c r="L4" s="9" t="s">
        <v>605</v>
      </c>
      <c r="M4" s="9" t="s">
        <v>606</v>
      </c>
      <c r="N4" s="9" t="s">
        <v>34</v>
      </c>
      <c r="O4" s="9" t="s">
        <v>585</v>
      </c>
      <c r="P4" s="9" t="s">
        <v>586</v>
      </c>
      <c r="Q4" s="9" t="s">
        <v>607</v>
      </c>
      <c r="R4" s="9" t="s">
        <v>546</v>
      </c>
    </row>
    <row r="5" customFormat="false" ht="35.05" hidden="false" customHeight="false" outlineLevel="0" collapsed="false">
      <c r="A5" s="22" t="n">
        <v>6494</v>
      </c>
      <c r="B5" s="22" t="s">
        <v>608</v>
      </c>
      <c r="C5" s="22" t="s">
        <v>609</v>
      </c>
      <c r="D5" s="22" t="s">
        <v>610</v>
      </c>
      <c r="E5" s="22"/>
      <c r="F5" s="22" t="s">
        <v>611</v>
      </c>
      <c r="G5" s="22"/>
      <c r="H5" s="22" t="s">
        <v>612</v>
      </c>
      <c r="I5" s="22" t="s">
        <v>612</v>
      </c>
      <c r="J5" s="22" t="s">
        <v>613</v>
      </c>
      <c r="K5" s="22" t="s">
        <v>612</v>
      </c>
      <c r="L5" s="22" t="s">
        <v>614</v>
      </c>
      <c r="M5" s="22" t="s">
        <v>612</v>
      </c>
      <c r="N5" s="22" t="s">
        <v>39</v>
      </c>
      <c r="O5" s="22"/>
      <c r="P5" s="22"/>
      <c r="Q5" s="22"/>
      <c r="R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2"/>
      <c r="I7" s="22"/>
      <c r="J7" s="22"/>
      <c r="K7" s="22"/>
      <c r="L7" s="22"/>
      <c r="M7" s="22"/>
      <c r="N7" s="22"/>
      <c r="O7" s="22"/>
      <c r="P7" s="22"/>
      <c r="Q7" s="22"/>
      <c r="R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2"/>
      <c r="I9" s="22"/>
      <c r="J9" s="22"/>
      <c r="K9" s="22"/>
      <c r="L9" s="22"/>
      <c r="M9" s="22"/>
      <c r="N9" s="22"/>
      <c r="O9" s="22"/>
      <c r="P9" s="22"/>
      <c r="Q9" s="22"/>
      <c r="R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  <c r="O11" s="22"/>
      <c r="P11" s="22"/>
      <c r="Q11" s="22"/>
      <c r="R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  <c r="O13" s="22"/>
      <c r="P13" s="22"/>
      <c r="Q13" s="22"/>
      <c r="R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  <c r="O15" s="22"/>
      <c r="P15" s="22"/>
      <c r="Q15" s="22"/>
      <c r="R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  <c r="O17" s="22"/>
      <c r="P17" s="22"/>
      <c r="Q17" s="22"/>
      <c r="R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  <c r="O29" s="22"/>
      <c r="P29" s="22"/>
      <c r="Q29" s="22"/>
      <c r="R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  <c r="O31" s="22"/>
      <c r="P31" s="22"/>
      <c r="Q31" s="22"/>
      <c r="R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  <c r="O33" s="22"/>
      <c r="P33" s="22"/>
      <c r="Q33" s="22"/>
      <c r="R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  <c r="O35" s="22"/>
      <c r="P35" s="22"/>
      <c r="Q35" s="22"/>
      <c r="R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  <c r="R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  <c r="R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  <c r="O41" s="22"/>
      <c r="P41" s="22"/>
      <c r="Q41" s="22"/>
      <c r="R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  <c r="O43" s="22"/>
      <c r="P43" s="22"/>
      <c r="Q43" s="22"/>
      <c r="R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  <c r="O45" s="22"/>
      <c r="P45" s="22"/>
      <c r="Q45" s="22"/>
      <c r="R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  <c r="O47" s="22"/>
      <c r="P47" s="22"/>
      <c r="Q47" s="22"/>
      <c r="R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  <c r="O49" s="22"/>
      <c r="P49" s="22"/>
      <c r="Q49" s="22"/>
      <c r="R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  <c r="O51" s="22"/>
      <c r="P51" s="22"/>
      <c r="Q51" s="22"/>
      <c r="R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  <c r="O53" s="22"/>
      <c r="P53" s="22"/>
      <c r="Q53" s="22"/>
      <c r="R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  <c r="O55" s="22"/>
      <c r="P55" s="22"/>
      <c r="Q55" s="22"/>
      <c r="R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  <c r="O57" s="22"/>
      <c r="P57" s="22"/>
      <c r="Q57" s="22"/>
      <c r="R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  <c r="O59" s="22"/>
      <c r="P59" s="22"/>
      <c r="Q59" s="22"/>
      <c r="R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  <c r="O61" s="22"/>
      <c r="P61" s="22"/>
      <c r="Q61" s="22"/>
      <c r="R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  <c r="O63" s="22"/>
      <c r="P63" s="22"/>
      <c r="Q63" s="22"/>
      <c r="R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  <c r="O65" s="22"/>
      <c r="P65" s="22"/>
      <c r="Q65" s="22"/>
      <c r="R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  <c r="O67" s="22"/>
      <c r="P67" s="22"/>
      <c r="Q67" s="22"/>
      <c r="R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  <c r="O69" s="22"/>
      <c r="P69" s="22"/>
      <c r="Q69" s="22"/>
      <c r="R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  <c r="O71" s="22"/>
      <c r="P71" s="22"/>
      <c r="Q71" s="22"/>
      <c r="R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  <c r="O73" s="22"/>
      <c r="P73" s="22"/>
      <c r="Q73" s="22"/>
      <c r="R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  <c r="O75" s="22"/>
      <c r="P75" s="22"/>
      <c r="Q75" s="22"/>
      <c r="R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  <c r="O77" s="22"/>
      <c r="P77" s="22"/>
      <c r="Q77" s="22"/>
      <c r="R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  <c r="O79" s="22"/>
      <c r="P79" s="22"/>
      <c r="Q79" s="22"/>
      <c r="R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  <c r="O81" s="22"/>
      <c r="P81" s="22"/>
      <c r="Q81" s="22"/>
      <c r="R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  <c r="O83" s="22"/>
      <c r="P83" s="22"/>
      <c r="Q83" s="22"/>
      <c r="R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  <c r="O85" s="22"/>
      <c r="P85" s="22"/>
      <c r="Q85" s="22"/>
      <c r="R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  <c r="O87" s="22"/>
      <c r="P87" s="22"/>
      <c r="Q87" s="22"/>
      <c r="R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  <c r="O89" s="22"/>
      <c r="P89" s="22"/>
      <c r="Q89" s="22"/>
      <c r="R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  <c r="O91" s="22"/>
      <c r="P91" s="22"/>
      <c r="Q91" s="22"/>
      <c r="R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  <c r="O93" s="22"/>
      <c r="P93" s="22"/>
      <c r="Q93" s="22"/>
      <c r="R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  <c r="O95" s="22"/>
      <c r="P95" s="22"/>
      <c r="Q95" s="22"/>
      <c r="R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  <c r="O97" s="22"/>
      <c r="P97" s="22"/>
      <c r="Q97" s="22"/>
      <c r="R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  <c r="O99" s="22"/>
      <c r="P99" s="22"/>
      <c r="Q99" s="22"/>
      <c r="R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  <c r="O101" s="22"/>
      <c r="P101" s="22"/>
      <c r="Q101" s="22"/>
      <c r="R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  <c r="O103" s="22"/>
      <c r="P103" s="22"/>
      <c r="Q103" s="22"/>
      <c r="R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  <c r="O105" s="22"/>
      <c r="P105" s="22"/>
      <c r="Q105" s="22"/>
      <c r="R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  <c r="O107" s="22"/>
      <c r="P107" s="22"/>
      <c r="Q107" s="22"/>
      <c r="R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  <c r="O109" s="22"/>
      <c r="P109" s="22"/>
      <c r="Q109" s="22"/>
      <c r="R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  <c r="O111" s="22"/>
      <c r="P111" s="22"/>
      <c r="Q111" s="22"/>
      <c r="R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  <c r="O113" s="22"/>
      <c r="P113" s="22"/>
      <c r="Q113" s="22"/>
      <c r="R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  <c r="O115" s="22"/>
      <c r="P115" s="22"/>
      <c r="Q115" s="22"/>
      <c r="R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  <c r="O117" s="22"/>
      <c r="P117" s="22"/>
      <c r="Q117" s="22"/>
      <c r="R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  <c r="O119" s="22"/>
      <c r="P119" s="22"/>
      <c r="Q119" s="22"/>
      <c r="R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  <c r="O121" s="22"/>
      <c r="P121" s="22"/>
      <c r="Q121" s="22"/>
      <c r="R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  <c r="O123" s="22"/>
      <c r="P123" s="22"/>
      <c r="Q123" s="22"/>
      <c r="R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  <c r="O125" s="22"/>
      <c r="P125" s="22"/>
      <c r="Q125" s="22"/>
      <c r="R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  <c r="O127" s="22"/>
      <c r="P127" s="22"/>
      <c r="Q127" s="22"/>
      <c r="R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  <c r="O129" s="22"/>
      <c r="P129" s="22"/>
      <c r="Q129" s="22"/>
      <c r="R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  <c r="O131" s="22"/>
      <c r="P131" s="22"/>
      <c r="Q131" s="22"/>
      <c r="R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  <c r="O133" s="22"/>
      <c r="P133" s="22"/>
      <c r="Q133" s="22"/>
      <c r="R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  <c r="O135" s="22"/>
      <c r="P135" s="22"/>
      <c r="Q135" s="22"/>
      <c r="R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  <c r="O137" s="22"/>
      <c r="P137" s="22"/>
      <c r="Q137" s="22"/>
      <c r="R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  <c r="O139" s="22"/>
      <c r="P139" s="22"/>
      <c r="Q139" s="22"/>
      <c r="R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  <c r="O141" s="22"/>
      <c r="P141" s="22"/>
      <c r="Q141" s="22"/>
      <c r="R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  <c r="O143" s="22"/>
      <c r="P143" s="22"/>
      <c r="Q143" s="22"/>
      <c r="R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  <c r="O145" s="22"/>
      <c r="P145" s="22"/>
      <c r="Q145" s="22"/>
      <c r="R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  <c r="O147" s="22"/>
      <c r="P147" s="22"/>
      <c r="Q147" s="22"/>
      <c r="R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  <c r="O149" s="22"/>
      <c r="P149" s="22"/>
      <c r="Q149" s="22"/>
      <c r="R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  <c r="O151" s="22"/>
      <c r="P151" s="22"/>
      <c r="Q151" s="22"/>
      <c r="R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  <c r="O153" s="22"/>
      <c r="P153" s="22"/>
      <c r="Q153" s="22"/>
      <c r="R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  <c r="O155" s="22"/>
      <c r="P155" s="22"/>
      <c r="Q155" s="22"/>
      <c r="R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  <c r="O157" s="22"/>
      <c r="P157" s="22"/>
      <c r="Q157" s="22"/>
      <c r="R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  <c r="O159" s="22"/>
      <c r="P159" s="22"/>
      <c r="Q159" s="22"/>
      <c r="R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  <c r="O161" s="22"/>
      <c r="P161" s="22"/>
      <c r="Q161" s="22"/>
      <c r="R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  <c r="O163" s="22"/>
      <c r="P163" s="22"/>
      <c r="Q163" s="22"/>
      <c r="R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  <c r="O165" s="22"/>
      <c r="P165" s="22"/>
      <c r="Q165" s="22"/>
      <c r="R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  <c r="O167" s="22"/>
      <c r="P167" s="22"/>
      <c r="Q167" s="22"/>
      <c r="R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  <c r="O169" s="22"/>
      <c r="P169" s="22"/>
      <c r="Q169" s="22"/>
      <c r="R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  <c r="O171" s="22"/>
      <c r="P171" s="22"/>
      <c r="Q171" s="22"/>
      <c r="R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  <c r="O173" s="22"/>
      <c r="P173" s="22"/>
      <c r="Q173" s="22"/>
      <c r="R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  <c r="O175" s="22"/>
      <c r="P175" s="22"/>
      <c r="Q175" s="22"/>
      <c r="R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  <c r="O177" s="22"/>
      <c r="P177" s="22"/>
      <c r="Q177" s="22"/>
      <c r="R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  <c r="O179" s="22"/>
      <c r="P179" s="22"/>
      <c r="Q179" s="22"/>
      <c r="R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  <c r="O181" s="22"/>
      <c r="P181" s="22"/>
      <c r="Q181" s="22"/>
      <c r="R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  <c r="O183" s="22"/>
      <c r="P183" s="22"/>
      <c r="Q183" s="22"/>
      <c r="R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  <c r="O185" s="22"/>
      <c r="P185" s="22"/>
      <c r="Q185" s="22"/>
      <c r="R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  <c r="O187" s="22"/>
      <c r="P187" s="22"/>
      <c r="Q187" s="22"/>
      <c r="R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  <c r="O189" s="22"/>
      <c r="P189" s="22"/>
      <c r="Q189" s="22"/>
      <c r="R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  <c r="O191" s="22"/>
      <c r="P191" s="22"/>
      <c r="Q191" s="22"/>
      <c r="R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  <c r="O193" s="22"/>
      <c r="P193" s="22"/>
      <c r="Q193" s="22"/>
      <c r="R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  <c r="O195" s="22"/>
      <c r="P195" s="22"/>
      <c r="Q195" s="22"/>
      <c r="R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  <c r="O197" s="22"/>
      <c r="P197" s="22"/>
      <c r="Q197" s="22"/>
      <c r="R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  <c r="O199" s="22"/>
      <c r="P199" s="22"/>
      <c r="Q199" s="22"/>
      <c r="R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  <c r="O201" s="22"/>
      <c r="P201" s="22"/>
      <c r="Q201" s="22"/>
      <c r="R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  <c r="O203" s="22"/>
      <c r="P203" s="22"/>
      <c r="Q203" s="22"/>
      <c r="R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</row>
    <row r="205" customFormat="false" ht="15" hidden="false" customHeight="false" outlineLevel="0" collapsed="false">
      <c r="A205" s="22"/>
      <c r="B205" s="22"/>
      <c r="C205" s="22"/>
      <c r="D205" s="22"/>
      <c r="E205" s="22"/>
      <c r="F205" s="22"/>
      <c r="G205" s="22"/>
      <c r="H205" s="22"/>
      <c r="I205" s="22"/>
      <c r="J205" s="22"/>
      <c r="K205" s="22"/>
      <c r="L205" s="22"/>
      <c r="M205" s="22"/>
      <c r="N205" s="22"/>
      <c r="O205" s="22"/>
      <c r="P205" s="22"/>
      <c r="Q205" s="22"/>
      <c r="R205" s="22"/>
    </row>
    <row r="206" customFormat="false" ht="15" hidden="false" customHeight="fals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</row>
    <row r="207" customFormat="false" ht="15" hidden="false" customHeight="false" outlineLevel="0" collapsed="false">
      <c r="A207" s="22"/>
      <c r="B207" s="22"/>
      <c r="C207" s="22"/>
      <c r="D207" s="22"/>
      <c r="E207" s="22"/>
      <c r="F207" s="22"/>
      <c r="G207" s="22"/>
      <c r="H207" s="22"/>
      <c r="I207" s="22"/>
      <c r="J207" s="22"/>
      <c r="K207" s="22"/>
      <c r="L207" s="22"/>
      <c r="M207" s="22"/>
      <c r="N207" s="22"/>
      <c r="O207" s="22"/>
      <c r="P207" s="22"/>
      <c r="Q207" s="22"/>
      <c r="R207" s="22"/>
    </row>
    <row r="208" customFormat="false" ht="15" hidden="false" customHeight="fals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</row>
    <row r="209" customFormat="false" ht="15" hidden="false" customHeight="false" outlineLevel="0" collapsed="false">
      <c r="A209" s="22"/>
      <c r="B209" s="22"/>
      <c r="C209" s="22"/>
      <c r="D209" s="22"/>
      <c r="E209" s="22"/>
      <c r="F209" s="22"/>
      <c r="G209" s="22"/>
      <c r="H209" s="22"/>
      <c r="I209" s="22"/>
      <c r="J209" s="22"/>
      <c r="K209" s="22"/>
      <c r="L209" s="22"/>
      <c r="M209" s="22"/>
      <c r="N209" s="22"/>
      <c r="O209" s="22"/>
      <c r="P209" s="22"/>
      <c r="Q209" s="22"/>
      <c r="R209" s="22"/>
    </row>
    <row r="210" customFormat="false" ht="15" hidden="false" customHeight="fals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</row>
    <row r="211" customFormat="false" ht="15" hidden="false" customHeight="false" outlineLevel="0" collapsed="false">
      <c r="A211" s="22"/>
      <c r="B211" s="22"/>
      <c r="C211" s="22"/>
      <c r="D211" s="22"/>
      <c r="E211" s="22"/>
      <c r="F211" s="22"/>
      <c r="G211" s="22"/>
      <c r="H211" s="22"/>
      <c r="I211" s="22"/>
      <c r="J211" s="22"/>
      <c r="K211" s="22"/>
      <c r="L211" s="22"/>
      <c r="M211" s="22"/>
      <c r="N211" s="22"/>
      <c r="O211" s="22"/>
      <c r="P211" s="22"/>
      <c r="Q211" s="22"/>
      <c r="R211" s="22"/>
    </row>
    <row r="212" customFormat="false" ht="15" hidden="false" customHeight="fals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</row>
    <row r="213" customFormat="false" ht="15" hidden="false" customHeight="false" outlineLevel="0" collapsed="false">
      <c r="A213" s="22"/>
      <c r="B213" s="22"/>
      <c r="C213" s="22"/>
      <c r="D213" s="22"/>
      <c r="E213" s="22"/>
      <c r="F213" s="22"/>
      <c r="G213" s="22"/>
      <c r="H213" s="22"/>
      <c r="I213" s="22"/>
      <c r="J213" s="22"/>
      <c r="K213" s="22"/>
      <c r="L213" s="22"/>
      <c r="M213" s="22"/>
      <c r="N213" s="22"/>
      <c r="O213" s="22"/>
      <c r="P213" s="22"/>
      <c r="Q213" s="22"/>
      <c r="R213" s="22"/>
    </row>
    <row r="214" customFormat="false" ht="15" hidden="false" customHeight="fals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</row>
    <row r="215" customFormat="false" ht="15" hidden="false" customHeight="false" outlineLevel="0" collapsed="false">
      <c r="A215" s="22"/>
      <c r="B215" s="22"/>
      <c r="C215" s="22"/>
      <c r="D215" s="22"/>
      <c r="E215" s="22"/>
      <c r="F215" s="22"/>
      <c r="G215" s="22"/>
      <c r="H215" s="22"/>
      <c r="I215" s="22"/>
      <c r="J215" s="22"/>
      <c r="K215" s="22"/>
      <c r="L215" s="22"/>
      <c r="M215" s="22"/>
      <c r="N215" s="22"/>
      <c r="O215" s="22"/>
      <c r="P215" s="22"/>
      <c r="Q215" s="22"/>
      <c r="R215" s="22"/>
    </row>
    <row r="216" customFormat="false" ht="15" hidden="false" customHeight="fals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</row>
    <row r="217" customFormat="false" ht="15" hidden="false" customHeight="false" outlineLevel="0" collapsed="false">
      <c r="A217" s="22"/>
      <c r="B217" s="22"/>
      <c r="C217" s="22"/>
      <c r="D217" s="22"/>
      <c r="E217" s="22"/>
      <c r="F217" s="22"/>
      <c r="G217" s="22"/>
      <c r="H217" s="22"/>
      <c r="I217" s="22"/>
      <c r="J217" s="22"/>
      <c r="K217" s="22"/>
      <c r="L217" s="22"/>
      <c r="M217" s="22"/>
      <c r="N217" s="22"/>
      <c r="O217" s="22"/>
      <c r="P217" s="22"/>
      <c r="Q217" s="22"/>
      <c r="R217" s="22"/>
    </row>
    <row r="218" customFormat="false" ht="15" hidden="false" customHeight="fals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</row>
    <row r="219" customFormat="false" ht="15" hidden="false" customHeight="false" outlineLevel="0" collapsed="false">
      <c r="A219" s="22"/>
      <c r="B219" s="22"/>
      <c r="C219" s="22"/>
      <c r="D219" s="22"/>
      <c r="E219" s="22"/>
      <c r="F219" s="22"/>
      <c r="G219" s="22"/>
      <c r="H219" s="22"/>
      <c r="I219" s="22"/>
      <c r="J219" s="22"/>
      <c r="K219" s="22"/>
      <c r="L219" s="22"/>
      <c r="M219" s="22"/>
      <c r="N219" s="22"/>
      <c r="O219" s="22"/>
      <c r="P219" s="22"/>
      <c r="Q219" s="22"/>
      <c r="R219" s="22"/>
    </row>
    <row r="220" customFormat="false" ht="15" hidden="false" customHeight="fals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</row>
    <row r="221" customFormat="false" ht="15" hidden="false" customHeight="false" outlineLevel="0" collapsed="false">
      <c r="A221" s="22"/>
      <c r="B221" s="22"/>
      <c r="C221" s="22"/>
      <c r="D221" s="22"/>
      <c r="E221" s="22"/>
      <c r="F221" s="22"/>
      <c r="G221" s="22"/>
      <c r="H221" s="22"/>
      <c r="I221" s="22"/>
      <c r="J221" s="22"/>
      <c r="K221" s="22"/>
      <c r="L221" s="22"/>
      <c r="M221" s="22"/>
      <c r="N221" s="22"/>
      <c r="O221" s="22"/>
      <c r="P221" s="22"/>
      <c r="Q221" s="22"/>
      <c r="R221" s="22"/>
    </row>
    <row r="222" customFormat="false" ht="15" hidden="false" customHeight="fals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</row>
    <row r="223" customFormat="false" ht="15" hidden="false" customHeight="false" outlineLevel="0" collapsed="false">
      <c r="A223" s="22"/>
      <c r="B223" s="22"/>
      <c r="C223" s="22"/>
      <c r="D223" s="22"/>
      <c r="E223" s="22"/>
      <c r="F223" s="22"/>
      <c r="G223" s="22"/>
      <c r="H223" s="22"/>
      <c r="I223" s="22"/>
      <c r="J223" s="22"/>
      <c r="K223" s="22"/>
      <c r="L223" s="22"/>
      <c r="M223" s="22"/>
      <c r="N223" s="22"/>
      <c r="O223" s="22"/>
      <c r="P223" s="22"/>
      <c r="Q223" s="22"/>
      <c r="R223" s="22"/>
    </row>
    <row r="224" customFormat="false" ht="15" hidden="false" customHeight="fals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</row>
    <row r="225" customFormat="false" ht="15" hidden="false" customHeight="false" outlineLevel="0" collapsed="false">
      <c r="A225" s="22"/>
      <c r="B225" s="22"/>
      <c r="C225" s="22"/>
      <c r="D225" s="22"/>
      <c r="E225" s="22"/>
      <c r="F225" s="22"/>
      <c r="G225" s="22"/>
      <c r="H225" s="22"/>
      <c r="I225" s="22"/>
      <c r="J225" s="22"/>
      <c r="K225" s="22"/>
      <c r="L225" s="22"/>
      <c r="M225" s="22"/>
      <c r="N225" s="22"/>
      <c r="O225" s="22"/>
      <c r="P225" s="22"/>
      <c r="Q225" s="22"/>
      <c r="R225" s="22"/>
    </row>
    <row r="226" customFormat="false" ht="15" hidden="false" customHeight="fals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</row>
    <row r="227" customFormat="false" ht="15" hidden="false" customHeight="false" outlineLevel="0" collapsed="false">
      <c r="A227" s="22"/>
      <c r="B227" s="22"/>
      <c r="C227" s="22"/>
      <c r="D227" s="22"/>
      <c r="E227" s="22"/>
      <c r="F227" s="22"/>
      <c r="G227" s="22"/>
      <c r="H227" s="22"/>
      <c r="I227" s="22"/>
      <c r="J227" s="22"/>
      <c r="K227" s="22"/>
      <c r="L227" s="22"/>
      <c r="M227" s="22"/>
      <c r="N227" s="22"/>
      <c r="O227" s="22"/>
      <c r="P227" s="22"/>
      <c r="Q227" s="22"/>
      <c r="R227" s="22"/>
    </row>
    <row r="228" customFormat="false" ht="15" hidden="false" customHeight="fals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</row>
    <row r="229" customFormat="false" ht="15" hidden="false" customHeight="false" outlineLevel="0" collapsed="false">
      <c r="A229" s="22"/>
      <c r="B229" s="22"/>
      <c r="C229" s="22"/>
      <c r="D229" s="22"/>
      <c r="E229" s="22"/>
      <c r="F229" s="22"/>
      <c r="G229" s="22"/>
      <c r="H229" s="22"/>
      <c r="I229" s="22"/>
      <c r="J229" s="22"/>
      <c r="K229" s="22"/>
      <c r="L229" s="22"/>
      <c r="M229" s="22"/>
      <c r="N229" s="22"/>
      <c r="O229" s="22"/>
      <c r="P229" s="22"/>
      <c r="Q229" s="22"/>
      <c r="R229" s="22"/>
    </row>
    <row r="230" customFormat="false" ht="15" hidden="false" customHeight="fals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</row>
    <row r="231" customFormat="false" ht="15" hidden="false" customHeight="false" outlineLevel="0" collapsed="false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O231" s="22"/>
      <c r="P231" s="22"/>
      <c r="Q231" s="22"/>
      <c r="R231" s="22"/>
    </row>
    <row r="232" customFormat="false" ht="15" hidden="false" customHeight="fals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</row>
    <row r="233" customFormat="false" ht="15" hidden="false" customHeight="false" outlineLevel="0" collapsed="false">
      <c r="A233" s="22"/>
      <c r="B233" s="22"/>
      <c r="C233" s="22"/>
      <c r="D233" s="22"/>
      <c r="E233" s="22"/>
      <c r="F233" s="22"/>
      <c r="G233" s="22"/>
      <c r="H233" s="22"/>
      <c r="I233" s="22"/>
      <c r="J233" s="22"/>
      <c r="K233" s="22"/>
      <c r="L233" s="22"/>
      <c r="M233" s="22"/>
      <c r="N233" s="22"/>
      <c r="O233" s="22"/>
      <c r="P233" s="22"/>
      <c r="Q233" s="22"/>
      <c r="R233" s="22"/>
    </row>
    <row r="234" customFormat="false" ht="15" hidden="false" customHeight="fals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</row>
    <row r="235" customFormat="false" ht="15" hidden="false" customHeight="false" outlineLevel="0" collapsed="false">
      <c r="A235" s="22"/>
      <c r="B235" s="22"/>
      <c r="C235" s="22"/>
      <c r="D235" s="22"/>
      <c r="E235" s="22"/>
      <c r="F235" s="22"/>
      <c r="G235" s="22"/>
      <c r="H235" s="22"/>
      <c r="I235" s="22"/>
      <c r="J235" s="22"/>
      <c r="K235" s="22"/>
      <c r="L235" s="22"/>
      <c r="M235" s="22"/>
      <c r="N235" s="22"/>
      <c r="O235" s="22"/>
      <c r="P235" s="22"/>
      <c r="Q235" s="22"/>
      <c r="R235" s="22"/>
    </row>
    <row r="236" customFormat="false" ht="15" hidden="false" customHeight="fals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</row>
    <row r="237" customFormat="false" ht="15" hidden="false" customHeight="false" outlineLevel="0" collapsed="false">
      <c r="A237" s="22"/>
      <c r="B237" s="22"/>
      <c r="C237" s="22"/>
      <c r="D237" s="22"/>
      <c r="E237" s="22"/>
      <c r="F237" s="22"/>
      <c r="G237" s="22"/>
      <c r="H237" s="22"/>
      <c r="I237" s="22"/>
      <c r="J237" s="22"/>
      <c r="K237" s="22"/>
      <c r="L237" s="22"/>
      <c r="M237" s="22"/>
      <c r="N237" s="22"/>
      <c r="O237" s="22"/>
      <c r="P237" s="22"/>
      <c r="Q237" s="22"/>
      <c r="R237" s="22"/>
    </row>
    <row r="238" customFormat="false" ht="15" hidden="false" customHeight="fals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</row>
    <row r="239" customFormat="false" ht="15" hidden="false" customHeight="false" outlineLevel="0" collapsed="false">
      <c r="A239" s="22"/>
      <c r="B239" s="22"/>
      <c r="C239" s="22"/>
      <c r="D239" s="22"/>
      <c r="E239" s="22"/>
      <c r="F239" s="22"/>
      <c r="G239" s="22"/>
      <c r="H239" s="22"/>
      <c r="I239" s="22"/>
      <c r="J239" s="22"/>
      <c r="K239" s="22"/>
      <c r="L239" s="22"/>
      <c r="M239" s="22"/>
      <c r="N239" s="22"/>
      <c r="O239" s="22"/>
      <c r="P239" s="22"/>
      <c r="Q239" s="22"/>
      <c r="R239" s="22"/>
    </row>
    <row r="240" customFormat="false" ht="15" hidden="false" customHeight="fals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</row>
    <row r="241" customFormat="false" ht="15" hidden="false" customHeight="false" outlineLevel="0" collapsed="false">
      <c r="A241" s="22"/>
      <c r="B241" s="22"/>
      <c r="C241" s="22"/>
      <c r="D241" s="22"/>
      <c r="E241" s="22"/>
      <c r="F241" s="22"/>
      <c r="G241" s="22"/>
      <c r="H241" s="22"/>
      <c r="I241" s="22"/>
      <c r="J241" s="22"/>
      <c r="K241" s="22"/>
      <c r="L241" s="22"/>
      <c r="M241" s="22"/>
      <c r="N241" s="22"/>
      <c r="O241" s="22"/>
      <c r="P241" s="22"/>
      <c r="Q241" s="22"/>
      <c r="R241" s="22"/>
    </row>
    <row r="242" customFormat="false" ht="15" hidden="false" customHeight="fals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</row>
    <row r="243" customFormat="false" ht="15" hidden="false" customHeight="false" outlineLevel="0" collapsed="false">
      <c r="A243" s="22"/>
      <c r="B243" s="22"/>
      <c r="C243" s="22"/>
      <c r="D243" s="22"/>
      <c r="E243" s="22"/>
      <c r="F243" s="22"/>
      <c r="G243" s="22"/>
      <c r="H243" s="22"/>
      <c r="I243" s="22"/>
      <c r="J243" s="22"/>
      <c r="K243" s="22"/>
      <c r="L243" s="22"/>
      <c r="M243" s="22"/>
      <c r="N243" s="22"/>
      <c r="O243" s="22"/>
      <c r="P243" s="22"/>
      <c r="Q243" s="22"/>
      <c r="R243" s="22"/>
    </row>
    <row r="244" customFormat="false" ht="15" hidden="false" customHeight="fals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</row>
    <row r="245" customFormat="false" ht="15" hidden="false" customHeight="false" outlineLevel="0" collapsed="false">
      <c r="A245" s="22"/>
      <c r="B245" s="22"/>
      <c r="C245" s="22"/>
      <c r="D245" s="22"/>
      <c r="E245" s="22"/>
      <c r="F245" s="22"/>
      <c r="G245" s="22"/>
      <c r="H245" s="22"/>
      <c r="I245" s="22"/>
      <c r="J245" s="22"/>
      <c r="K245" s="22"/>
      <c r="L245" s="22"/>
      <c r="M245" s="22"/>
      <c r="N245" s="22"/>
      <c r="O245" s="22"/>
      <c r="P245" s="22"/>
      <c r="Q245" s="22"/>
      <c r="R245" s="22"/>
    </row>
    <row r="246" customFormat="false" ht="15" hidden="false" customHeight="fals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</row>
    <row r="247" customFormat="false" ht="15" hidden="false" customHeight="false" outlineLevel="0" collapsed="false">
      <c r="A247" s="22"/>
      <c r="B247" s="22"/>
      <c r="C247" s="22"/>
      <c r="D247" s="22"/>
      <c r="E247" s="22"/>
      <c r="F247" s="22"/>
      <c r="G247" s="22"/>
      <c r="H247" s="22"/>
      <c r="I247" s="22"/>
      <c r="J247" s="22"/>
      <c r="K247" s="22"/>
      <c r="L247" s="22"/>
      <c r="M247" s="22"/>
      <c r="N247" s="22"/>
      <c r="O247" s="22"/>
      <c r="P247" s="22"/>
      <c r="Q247" s="22"/>
      <c r="R247" s="22"/>
    </row>
    <row r="248" customFormat="false" ht="15" hidden="false" customHeight="fals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</row>
    <row r="249" customFormat="false" ht="15" hidden="false" customHeight="false" outlineLevel="0" collapsed="false">
      <c r="A249" s="22"/>
      <c r="B249" s="22"/>
      <c r="C249" s="22"/>
      <c r="D249" s="22"/>
      <c r="E249" s="22"/>
      <c r="F249" s="22"/>
      <c r="G249" s="22"/>
      <c r="H249" s="22"/>
      <c r="I249" s="22"/>
      <c r="J249" s="22"/>
      <c r="K249" s="22"/>
      <c r="L249" s="22"/>
      <c r="M249" s="22"/>
      <c r="N249" s="22"/>
      <c r="O249" s="22"/>
      <c r="P249" s="22"/>
      <c r="Q249" s="22"/>
      <c r="R249" s="22"/>
    </row>
    <row r="250" customFormat="false" ht="15" hidden="false" customHeight="fals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</row>
    <row r="251" customFormat="false" ht="15" hidden="false" customHeight="false" outlineLevel="0" collapsed="false">
      <c r="A251" s="22"/>
      <c r="B251" s="22"/>
      <c r="C251" s="22"/>
      <c r="D251" s="22"/>
      <c r="E251" s="22"/>
      <c r="F251" s="22"/>
      <c r="G251" s="22"/>
      <c r="H251" s="22"/>
      <c r="I251" s="22"/>
      <c r="J251" s="22"/>
      <c r="K251" s="22"/>
      <c r="L251" s="22"/>
      <c r="M251" s="22"/>
      <c r="N251" s="22"/>
      <c r="O251" s="22"/>
      <c r="P251" s="22"/>
      <c r="Q251" s="22"/>
      <c r="R251" s="22"/>
    </row>
    <row r="252" customFormat="false" ht="15" hidden="false" customHeight="fals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</row>
    <row r="253" customFormat="false" ht="15" hidden="false" customHeight="false" outlineLevel="0" collapsed="false">
      <c r="A253" s="22"/>
      <c r="B253" s="22"/>
      <c r="C253" s="22"/>
      <c r="D253" s="22"/>
      <c r="E253" s="22"/>
      <c r="F253" s="22"/>
      <c r="G253" s="22"/>
      <c r="H253" s="22"/>
      <c r="I253" s="22"/>
      <c r="J253" s="22"/>
      <c r="K253" s="22"/>
      <c r="L253" s="22"/>
      <c r="M253" s="22"/>
      <c r="N253" s="22"/>
      <c r="O253" s="22"/>
      <c r="P253" s="22"/>
      <c r="Q253" s="22"/>
      <c r="R253" s="22"/>
    </row>
    <row r="254" customFormat="false" ht="15" hidden="false" customHeight="fals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</row>
    <row r="255" customFormat="false" ht="15" hidden="false" customHeight="false" outlineLevel="0" collapsed="false">
      <c r="A255" s="22"/>
      <c r="B255" s="22"/>
      <c r="C255" s="22"/>
      <c r="D255" s="22"/>
      <c r="E255" s="22"/>
      <c r="F255" s="22"/>
      <c r="G255" s="22"/>
      <c r="H255" s="22"/>
      <c r="I255" s="22"/>
      <c r="J255" s="22"/>
      <c r="K255" s="22"/>
      <c r="L255" s="22"/>
      <c r="M255" s="22"/>
      <c r="N255" s="22"/>
      <c r="O255" s="22"/>
      <c r="P255" s="22"/>
      <c r="Q255" s="22"/>
      <c r="R255" s="22"/>
    </row>
    <row r="256" customFormat="false" ht="15" hidden="false" customHeight="fals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</row>
    <row r="257" customFormat="false" ht="15" hidden="false" customHeight="false" outlineLevel="0" collapsed="false">
      <c r="A257" s="22"/>
      <c r="B257" s="22"/>
      <c r="C257" s="22"/>
      <c r="D257" s="22"/>
      <c r="E257" s="22"/>
      <c r="F257" s="22"/>
      <c r="G257" s="22"/>
      <c r="H257" s="22"/>
      <c r="I257" s="22"/>
      <c r="J257" s="22"/>
      <c r="K257" s="22"/>
      <c r="L257" s="22"/>
      <c r="M257" s="22"/>
      <c r="N257" s="22"/>
      <c r="O257" s="22"/>
      <c r="P257" s="22"/>
      <c r="Q257" s="22"/>
      <c r="R257" s="22"/>
    </row>
    <row r="258" customFormat="false" ht="15" hidden="false" customHeight="fals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</row>
    <row r="259" customFormat="false" ht="15" hidden="false" customHeight="false" outlineLevel="0" collapsed="false">
      <c r="A259" s="22"/>
      <c r="B259" s="22"/>
      <c r="C259" s="22"/>
      <c r="D259" s="22"/>
      <c r="E259" s="22"/>
      <c r="F259" s="22"/>
      <c r="G259" s="22"/>
      <c r="H259" s="22"/>
      <c r="I259" s="22"/>
      <c r="J259" s="22"/>
      <c r="K259" s="22"/>
      <c r="L259" s="22"/>
      <c r="M259" s="22"/>
      <c r="N259" s="22"/>
      <c r="O259" s="22"/>
      <c r="P259" s="22"/>
      <c r="Q259" s="22"/>
      <c r="R259" s="22"/>
    </row>
    <row r="260" customFormat="false" ht="15" hidden="false" customHeight="fals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</row>
    <row r="261" customFormat="false" ht="15" hidden="false" customHeight="false" outlineLevel="0" collapsed="false">
      <c r="A261" s="22"/>
      <c r="B261" s="22"/>
      <c r="C261" s="22"/>
      <c r="D261" s="22"/>
      <c r="E261" s="22"/>
      <c r="F261" s="22"/>
      <c r="G261" s="22"/>
      <c r="H261" s="22"/>
      <c r="I261" s="22"/>
      <c r="J261" s="22"/>
      <c r="K261" s="22"/>
      <c r="L261" s="22"/>
      <c r="M261" s="22"/>
      <c r="N261" s="22"/>
      <c r="O261" s="22"/>
      <c r="P261" s="22"/>
      <c r="Q261" s="22"/>
      <c r="R261" s="22"/>
    </row>
    <row r="262" customFormat="false" ht="15" hidden="false" customHeight="fals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</row>
    <row r="263" customFormat="false" ht="15" hidden="false" customHeight="false" outlineLevel="0" collapsed="false">
      <c r="A263" s="22"/>
      <c r="B263" s="22"/>
      <c r="C263" s="22"/>
      <c r="D263" s="22"/>
      <c r="E263" s="22"/>
      <c r="F263" s="22"/>
      <c r="G263" s="22"/>
      <c r="H263" s="22"/>
      <c r="I263" s="22"/>
      <c r="J263" s="22"/>
      <c r="K263" s="22"/>
      <c r="L263" s="22"/>
      <c r="M263" s="22"/>
      <c r="N263" s="22"/>
      <c r="O263" s="22"/>
      <c r="P263" s="22"/>
      <c r="Q263" s="22"/>
      <c r="R263" s="22"/>
    </row>
    <row r="264" customFormat="false" ht="15" hidden="false" customHeight="fals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</row>
    <row r="265" customFormat="false" ht="15" hidden="false" customHeight="false" outlineLevel="0" collapsed="false">
      <c r="A265" s="22"/>
      <c r="B265" s="22"/>
      <c r="C265" s="22"/>
      <c r="D265" s="22"/>
      <c r="E265" s="22"/>
      <c r="F265" s="22"/>
      <c r="G265" s="22"/>
      <c r="H265" s="22"/>
      <c r="I265" s="22"/>
      <c r="J265" s="22"/>
      <c r="K265" s="22"/>
      <c r="L265" s="22"/>
      <c r="M265" s="22"/>
      <c r="N265" s="22"/>
      <c r="O265" s="22"/>
      <c r="P265" s="22"/>
      <c r="Q265" s="22"/>
      <c r="R265" s="22"/>
    </row>
    <row r="266" customFormat="false" ht="15" hidden="false" customHeight="fals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</row>
    <row r="267" customFormat="false" ht="15" hidden="false" customHeight="false" outlineLevel="0" collapsed="false">
      <c r="A267" s="22"/>
      <c r="B267" s="22"/>
      <c r="C267" s="22"/>
      <c r="D267" s="22"/>
      <c r="E267" s="22"/>
      <c r="F267" s="22"/>
      <c r="G267" s="22"/>
      <c r="H267" s="22"/>
      <c r="I267" s="22"/>
      <c r="J267" s="22"/>
      <c r="K267" s="22"/>
      <c r="L267" s="22"/>
      <c r="M267" s="22"/>
      <c r="N267" s="22"/>
      <c r="O267" s="22"/>
      <c r="P267" s="22"/>
      <c r="Q267" s="22"/>
      <c r="R267" s="22"/>
    </row>
    <row r="268" customFormat="false" ht="15" hidden="false" customHeight="fals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</row>
    <row r="269" customFormat="false" ht="15" hidden="false" customHeight="false" outlineLevel="0" collapsed="false">
      <c r="A269" s="22"/>
      <c r="B269" s="22"/>
      <c r="C269" s="22"/>
      <c r="D269" s="22"/>
      <c r="E269" s="22"/>
      <c r="F269" s="22"/>
      <c r="G269" s="22"/>
      <c r="H269" s="22"/>
      <c r="I269" s="22"/>
      <c r="J269" s="22"/>
      <c r="K269" s="22"/>
      <c r="L269" s="22"/>
      <c r="M269" s="22"/>
      <c r="N269" s="22"/>
      <c r="O269" s="22"/>
      <c r="P269" s="22"/>
      <c r="Q269" s="22"/>
      <c r="R269" s="22"/>
    </row>
    <row r="270" customFormat="false" ht="15" hidden="false" customHeight="fals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</row>
    <row r="271" customFormat="false" ht="15" hidden="false" customHeight="false" outlineLevel="0" collapsed="false">
      <c r="A271" s="22"/>
      <c r="B271" s="22"/>
      <c r="C271" s="22"/>
      <c r="D271" s="22"/>
      <c r="E271" s="22"/>
      <c r="F271" s="22"/>
      <c r="G271" s="22"/>
      <c r="H271" s="22"/>
      <c r="I271" s="22"/>
      <c r="J271" s="22"/>
      <c r="K271" s="22"/>
      <c r="L271" s="22"/>
      <c r="M271" s="22"/>
      <c r="N271" s="22"/>
      <c r="O271" s="22"/>
      <c r="P271" s="22"/>
      <c r="Q271" s="22"/>
      <c r="R271" s="22"/>
    </row>
    <row r="272" customFormat="false" ht="15" hidden="false" customHeight="fals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</row>
    <row r="273" customFormat="false" ht="15" hidden="false" customHeight="false" outlineLevel="0" collapsed="false">
      <c r="A273" s="22"/>
      <c r="B273" s="22"/>
      <c r="C273" s="22"/>
      <c r="D273" s="22"/>
      <c r="E273" s="22"/>
      <c r="F273" s="22"/>
      <c r="G273" s="22"/>
      <c r="H273" s="22"/>
      <c r="I273" s="22"/>
      <c r="J273" s="22"/>
      <c r="K273" s="22"/>
      <c r="L273" s="22"/>
      <c r="M273" s="22"/>
      <c r="N273" s="22"/>
      <c r="O273" s="22"/>
      <c r="P273" s="22"/>
      <c r="Q273" s="22"/>
      <c r="R273" s="22"/>
    </row>
    <row r="274" customFormat="false" ht="15" hidden="false" customHeight="fals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</row>
    <row r="275" customFormat="false" ht="15" hidden="false" customHeight="false" outlineLevel="0" collapsed="false">
      <c r="A275" s="22"/>
      <c r="B275" s="22"/>
      <c r="C275" s="22"/>
      <c r="D275" s="22"/>
      <c r="E275" s="22"/>
      <c r="F275" s="22"/>
      <c r="G275" s="22"/>
      <c r="H275" s="22"/>
      <c r="I275" s="22"/>
      <c r="J275" s="22"/>
      <c r="K275" s="22"/>
      <c r="L275" s="22"/>
      <c r="M275" s="22"/>
      <c r="N275" s="22"/>
      <c r="O275" s="22"/>
      <c r="P275" s="22"/>
      <c r="Q275" s="22"/>
      <c r="R275" s="22"/>
    </row>
    <row r="276" customFormat="false" ht="15" hidden="false" customHeight="fals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</row>
    <row r="277" customFormat="false" ht="15" hidden="false" customHeight="false" outlineLevel="0" collapsed="false">
      <c r="A277" s="22"/>
      <c r="B277" s="22"/>
      <c r="C277" s="22"/>
      <c r="D277" s="22"/>
      <c r="E277" s="22"/>
      <c r="F277" s="22"/>
      <c r="G277" s="22"/>
      <c r="H277" s="22"/>
      <c r="I277" s="22"/>
      <c r="J277" s="22"/>
      <c r="K277" s="22"/>
      <c r="L277" s="22"/>
      <c r="M277" s="22"/>
      <c r="N277" s="22"/>
      <c r="O277" s="22"/>
      <c r="P277" s="22"/>
      <c r="Q277" s="22"/>
      <c r="R277" s="22"/>
    </row>
    <row r="278" customFormat="false" ht="15" hidden="false" customHeight="fals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</row>
    <row r="279" customFormat="false" ht="15" hidden="false" customHeight="false" outlineLevel="0" collapsed="false">
      <c r="A279" s="22"/>
      <c r="B279" s="22"/>
      <c r="C279" s="22"/>
      <c r="D279" s="22"/>
      <c r="E279" s="22"/>
      <c r="F279" s="22"/>
      <c r="G279" s="22"/>
      <c r="H279" s="22"/>
      <c r="I279" s="22"/>
      <c r="J279" s="22"/>
      <c r="K279" s="22"/>
      <c r="L279" s="22"/>
      <c r="M279" s="22"/>
      <c r="N279" s="22"/>
      <c r="O279" s="22"/>
      <c r="P279" s="22"/>
      <c r="Q279" s="22"/>
      <c r="R279" s="22"/>
    </row>
    <row r="280" customFormat="false" ht="15" hidden="false" customHeight="fals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</row>
    <row r="281" customFormat="false" ht="15" hidden="false" customHeight="false" outlineLevel="0" collapsed="false">
      <c r="A281" s="22"/>
      <c r="B281" s="22"/>
      <c r="C281" s="22"/>
      <c r="D281" s="22"/>
      <c r="E281" s="22"/>
      <c r="F281" s="22"/>
      <c r="G281" s="22"/>
      <c r="H281" s="22"/>
      <c r="I281" s="22"/>
      <c r="J281" s="22"/>
      <c r="K281" s="22"/>
      <c r="L281" s="22"/>
      <c r="M281" s="22"/>
      <c r="N281" s="22"/>
      <c r="O281" s="22"/>
      <c r="P281" s="22"/>
      <c r="Q281" s="22"/>
      <c r="R281" s="22"/>
    </row>
    <row r="282" customFormat="false" ht="15" hidden="false" customHeight="fals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</row>
    <row r="283" customFormat="false" ht="15" hidden="false" customHeight="false" outlineLevel="0" collapsed="false">
      <c r="A283" s="22"/>
      <c r="B283" s="22"/>
      <c r="C283" s="22"/>
      <c r="D283" s="22"/>
      <c r="E283" s="22"/>
      <c r="F283" s="22"/>
      <c r="G283" s="22"/>
      <c r="H283" s="22"/>
      <c r="I283" s="22"/>
      <c r="J283" s="22"/>
      <c r="K283" s="22"/>
      <c r="L283" s="22"/>
      <c r="M283" s="22"/>
      <c r="N283" s="22"/>
      <c r="O283" s="22"/>
      <c r="P283" s="22"/>
      <c r="Q283" s="22"/>
      <c r="R283" s="22"/>
    </row>
    <row r="284" customFormat="false" ht="15" hidden="false" customHeight="fals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</row>
    <row r="285" customFormat="false" ht="15" hidden="false" customHeight="false" outlineLevel="0" collapsed="false">
      <c r="A285" s="22"/>
      <c r="B285" s="22"/>
      <c r="C285" s="22"/>
      <c r="D285" s="22"/>
      <c r="E285" s="22"/>
      <c r="F285" s="22"/>
      <c r="G285" s="22"/>
      <c r="H285" s="22"/>
      <c r="I285" s="22"/>
      <c r="J285" s="22"/>
      <c r="K285" s="22"/>
      <c r="L285" s="22"/>
      <c r="M285" s="22"/>
      <c r="N285" s="22"/>
      <c r="O285" s="22"/>
      <c r="P285" s="22"/>
      <c r="Q285" s="22"/>
      <c r="R285" s="22"/>
    </row>
    <row r="286" customFormat="false" ht="15" hidden="false" customHeight="fals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</row>
    <row r="287" customFormat="false" ht="15" hidden="false" customHeight="false" outlineLevel="0" collapsed="false">
      <c r="A287" s="22"/>
      <c r="B287" s="22"/>
      <c r="C287" s="22"/>
      <c r="D287" s="22"/>
      <c r="E287" s="22"/>
      <c r="F287" s="22"/>
      <c r="G287" s="22"/>
      <c r="H287" s="22"/>
      <c r="I287" s="22"/>
      <c r="J287" s="22"/>
      <c r="K287" s="22"/>
      <c r="L287" s="22"/>
      <c r="M287" s="22"/>
      <c r="N287" s="22"/>
      <c r="O287" s="22"/>
      <c r="P287" s="22"/>
      <c r="Q287" s="22"/>
      <c r="R287" s="22"/>
    </row>
    <row r="288" customFormat="false" ht="15" hidden="false" customHeight="fals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</row>
    <row r="289" customFormat="false" ht="15" hidden="false" customHeight="false" outlineLevel="0" collapsed="false">
      <c r="A289" s="22"/>
      <c r="B289" s="22"/>
      <c r="C289" s="22"/>
      <c r="D289" s="22"/>
      <c r="E289" s="22"/>
      <c r="F289" s="22"/>
      <c r="G289" s="22"/>
      <c r="H289" s="22"/>
      <c r="I289" s="22"/>
      <c r="J289" s="22"/>
      <c r="K289" s="22"/>
      <c r="L289" s="22"/>
      <c r="M289" s="22"/>
      <c r="N289" s="22"/>
      <c r="O289" s="22"/>
      <c r="P289" s="22"/>
      <c r="Q289" s="22"/>
      <c r="R289" s="22"/>
    </row>
    <row r="290" customFormat="false" ht="15" hidden="false" customHeight="fals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</row>
    <row r="291" customFormat="false" ht="15" hidden="false" customHeight="false" outlineLevel="0" collapsed="false">
      <c r="A291" s="22"/>
      <c r="B291" s="22"/>
      <c r="C291" s="22"/>
      <c r="D291" s="22"/>
      <c r="E291" s="22"/>
      <c r="F291" s="22"/>
      <c r="G291" s="22"/>
      <c r="H291" s="22"/>
      <c r="I291" s="22"/>
      <c r="J291" s="22"/>
      <c r="K291" s="22"/>
      <c r="L291" s="22"/>
      <c r="M291" s="22"/>
      <c r="N291" s="22"/>
      <c r="O291" s="22"/>
      <c r="P291" s="22"/>
      <c r="Q291" s="22"/>
      <c r="R291" s="22"/>
    </row>
    <row r="292" customFormat="false" ht="15" hidden="false" customHeight="fals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</row>
    <row r="293" customFormat="false" ht="15" hidden="false" customHeight="false" outlineLevel="0" collapsed="false">
      <c r="A293" s="22"/>
      <c r="B293" s="22"/>
      <c r="C293" s="22"/>
      <c r="D293" s="22"/>
      <c r="E293" s="22"/>
      <c r="F293" s="22"/>
      <c r="G293" s="22"/>
      <c r="H293" s="22"/>
      <c r="I293" s="22"/>
      <c r="J293" s="22"/>
      <c r="K293" s="22"/>
      <c r="L293" s="22"/>
      <c r="M293" s="22"/>
      <c r="N293" s="22"/>
      <c r="O293" s="22"/>
      <c r="P293" s="22"/>
      <c r="Q293" s="22"/>
      <c r="R293" s="22"/>
    </row>
    <row r="294" customFormat="false" ht="15" hidden="false" customHeight="fals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</row>
    <row r="295" customFormat="false" ht="15" hidden="false" customHeight="false" outlineLevel="0" collapsed="false">
      <c r="A295" s="22"/>
      <c r="B295" s="22"/>
      <c r="C295" s="22"/>
      <c r="D295" s="22"/>
      <c r="E295" s="22"/>
      <c r="F295" s="22"/>
      <c r="G295" s="22"/>
      <c r="H295" s="22"/>
      <c r="I295" s="22"/>
      <c r="J295" s="22"/>
      <c r="K295" s="22"/>
      <c r="L295" s="22"/>
      <c r="M295" s="22"/>
      <c r="N295" s="22"/>
      <c r="O295" s="22"/>
      <c r="P295" s="22"/>
      <c r="Q295" s="22"/>
      <c r="R295" s="22"/>
    </row>
    <row r="296" customFormat="false" ht="15" hidden="false" customHeight="fals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</row>
    <row r="297" customFormat="false" ht="15" hidden="false" customHeight="false" outlineLevel="0" collapsed="false">
      <c r="A297" s="22"/>
      <c r="B297" s="22"/>
      <c r="C297" s="22"/>
      <c r="D297" s="22"/>
      <c r="E297" s="22"/>
      <c r="F297" s="22"/>
      <c r="G297" s="22"/>
      <c r="H297" s="22"/>
      <c r="I297" s="22"/>
      <c r="J297" s="22"/>
      <c r="K297" s="22"/>
      <c r="L297" s="22"/>
      <c r="M297" s="22"/>
      <c r="N297" s="22"/>
      <c r="O297" s="22"/>
      <c r="P297" s="22"/>
      <c r="Q297" s="22"/>
      <c r="R297" s="22"/>
    </row>
    <row r="298" customFormat="false" ht="15" hidden="false" customHeight="fals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</row>
    <row r="299" customFormat="false" ht="15" hidden="false" customHeight="false" outlineLevel="0" collapsed="false">
      <c r="A299" s="22"/>
      <c r="B299" s="22"/>
      <c r="C299" s="22"/>
      <c r="D299" s="22"/>
      <c r="E299" s="22"/>
      <c r="F299" s="22"/>
      <c r="G299" s="22"/>
      <c r="H299" s="22"/>
      <c r="I299" s="22"/>
      <c r="J299" s="22"/>
      <c r="K299" s="22"/>
      <c r="L299" s="22"/>
      <c r="M299" s="22"/>
      <c r="N299" s="22"/>
      <c r="O299" s="22"/>
      <c r="P299" s="22"/>
      <c r="Q299" s="22"/>
      <c r="R299" s="22"/>
    </row>
    <row r="300" customFormat="false" ht="15" hidden="false" customHeight="fals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</row>
    <row r="301" customFormat="false" ht="15" hidden="false" customHeight="false" outlineLevel="0" collapsed="false">
      <c r="A301" s="22"/>
      <c r="B301" s="22"/>
      <c r="C301" s="22"/>
      <c r="D301" s="22"/>
      <c r="E301" s="22"/>
      <c r="F301" s="22"/>
      <c r="G301" s="22"/>
      <c r="H301" s="22"/>
      <c r="I301" s="22"/>
      <c r="J301" s="22"/>
      <c r="K301" s="22"/>
      <c r="L301" s="22"/>
      <c r="M301" s="22"/>
      <c r="N301" s="22"/>
      <c r="O301" s="22"/>
      <c r="P301" s="22"/>
      <c r="Q301" s="22"/>
      <c r="R301" s="22"/>
    </row>
    <row r="302" customFormat="false" ht="15" hidden="false" customHeight="fals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</row>
    <row r="303" customFormat="false" ht="15" hidden="false" customHeight="false" outlineLevel="0" collapsed="false">
      <c r="A303" s="22"/>
      <c r="B303" s="22"/>
      <c r="C303" s="22"/>
      <c r="D303" s="22"/>
      <c r="E303" s="22"/>
      <c r="F303" s="22"/>
      <c r="G303" s="22"/>
      <c r="H303" s="22"/>
      <c r="I303" s="22"/>
      <c r="J303" s="22"/>
      <c r="K303" s="22"/>
      <c r="L303" s="22"/>
      <c r="M303" s="22"/>
      <c r="N303" s="22"/>
      <c r="O303" s="22"/>
      <c r="P303" s="22"/>
      <c r="Q303" s="22"/>
      <c r="R303" s="22"/>
    </row>
    <row r="304" customFormat="false" ht="15" hidden="false" customHeight="fals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</row>
  </sheetData>
  <autoFilter ref="A4:R304"/>
  <dataValidations count="1">
    <dataValidation allowBlank="true" errorStyle="stop" operator="between" showDropDown="false" showErrorMessage="false" showInputMessage="false" sqref="N5:N3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2"/>
    <col collapsed="false" customWidth="true" hidden="false" outlineLevel="0" max="3" min="3" style="0" width="34"/>
    <col collapsed="false" customWidth="true" hidden="false" outlineLevel="0" max="4" min="4" style="0" width="22"/>
    <col collapsed="false" customWidth="true" hidden="false" outlineLevel="0" max="5" min="5" style="0" width="16"/>
    <col collapsed="false" customWidth="true" hidden="false" outlineLevel="0" max="7" min="6" style="0" width="11"/>
    <col collapsed="false" customWidth="true" hidden="false" outlineLevel="0" max="8" min="8" style="0" width="12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2" min="12" style="0" width="11"/>
    <col collapsed="false" customWidth="true" hidden="false" outlineLevel="0" max="13" min="13" style="0" width="12"/>
    <col collapsed="false" customWidth="true" hidden="false" outlineLevel="0" max="14" min="14" style="0" width="10"/>
  </cols>
  <sheetData>
    <row r="1" customFormat="false" ht="19.7" hidden="false" customHeight="false" outlineLevel="0" collapsed="false">
      <c r="A1" s="1" t="s">
        <v>615</v>
      </c>
    </row>
    <row r="2" customFormat="false" ht="15" hidden="false" customHeight="false" outlineLevel="0" collapsed="false">
      <c r="A2" s="2" t="s">
        <v>616</v>
      </c>
    </row>
    <row r="4" customFormat="false" ht="31.5" hidden="false" customHeight="true" outlineLevel="0" collapsed="false">
      <c r="A4" s="9" t="s">
        <v>578</v>
      </c>
      <c r="B4" s="9" t="s">
        <v>617</v>
      </c>
      <c r="C4" s="9" t="s">
        <v>618</v>
      </c>
      <c r="D4" s="9" t="s">
        <v>619</v>
      </c>
      <c r="E4" s="9" t="s">
        <v>34</v>
      </c>
      <c r="F4" s="9" t="s">
        <v>620</v>
      </c>
      <c r="G4" s="9" t="s">
        <v>621</v>
      </c>
      <c r="H4" s="9" t="s">
        <v>622</v>
      </c>
      <c r="I4" s="9" t="s">
        <v>623</v>
      </c>
      <c r="J4" s="9" t="s">
        <v>52</v>
      </c>
      <c r="K4" s="9" t="s">
        <v>85</v>
      </c>
      <c r="L4" s="9" t="s">
        <v>586</v>
      </c>
      <c r="M4" s="9" t="s">
        <v>607</v>
      </c>
      <c r="N4" s="9" t="s">
        <v>546</v>
      </c>
    </row>
    <row r="5" customFormat="false" ht="15" hidden="false" customHeight="false" outlineLevel="0" collapsed="false">
      <c r="A5" s="22" t="s">
        <v>624</v>
      </c>
      <c r="B5" s="22" t="s">
        <v>158</v>
      </c>
      <c r="C5" s="22" t="s">
        <v>625</v>
      </c>
      <c r="D5" s="22" t="s">
        <v>285</v>
      </c>
      <c r="E5" s="22" t="s">
        <v>45</v>
      </c>
      <c r="F5" s="22"/>
      <c r="G5" s="22"/>
      <c r="H5" s="22"/>
      <c r="I5" s="22"/>
      <c r="J5" s="22"/>
      <c r="K5" s="22"/>
      <c r="L5" s="22"/>
      <c r="M5" s="22"/>
      <c r="N5" s="22"/>
    </row>
    <row r="6" customFormat="false" ht="15" hidden="false" customHeight="false" outlineLevel="0" collapsed="false">
      <c r="A6" s="22" t="s">
        <v>626</v>
      </c>
      <c r="B6" s="22" t="s">
        <v>158</v>
      </c>
      <c r="C6" s="22" t="s">
        <v>293</v>
      </c>
      <c r="D6" s="22" t="s">
        <v>285</v>
      </c>
      <c r="E6" s="22" t="s">
        <v>39</v>
      </c>
      <c r="F6" s="22"/>
      <c r="G6" s="22"/>
      <c r="H6" s="22"/>
      <c r="I6" s="22"/>
      <c r="J6" s="22"/>
      <c r="K6" s="22"/>
      <c r="L6" s="22"/>
      <c r="M6" s="22"/>
      <c r="N6" s="22"/>
    </row>
    <row r="7" customFormat="false" ht="15" hidden="false" customHeight="false" outlineLevel="0" collapsed="false">
      <c r="A7" s="22" t="s">
        <v>627</v>
      </c>
      <c r="B7" s="22" t="s">
        <v>158</v>
      </c>
      <c r="C7" s="22" t="s">
        <v>298</v>
      </c>
      <c r="D7" s="22" t="s">
        <v>249</v>
      </c>
      <c r="E7" s="22" t="s">
        <v>39</v>
      </c>
      <c r="F7" s="22"/>
      <c r="G7" s="22"/>
      <c r="H7" s="22"/>
      <c r="I7" s="22"/>
      <c r="J7" s="22"/>
      <c r="K7" s="22"/>
      <c r="L7" s="22"/>
      <c r="M7" s="22"/>
      <c r="N7" s="22"/>
    </row>
    <row r="8" customFormat="false" ht="15" hidden="false" customHeight="false" outlineLevel="0" collapsed="false">
      <c r="A8" s="22" t="s">
        <v>587</v>
      </c>
      <c r="B8" s="22" t="s">
        <v>158</v>
      </c>
      <c r="C8" s="22" t="s">
        <v>588</v>
      </c>
      <c r="D8" s="22" t="s">
        <v>384</v>
      </c>
      <c r="E8" s="22" t="s">
        <v>45</v>
      </c>
      <c r="F8" s="22"/>
      <c r="G8" s="22"/>
      <c r="H8" s="22"/>
      <c r="I8" s="22"/>
      <c r="J8" s="22"/>
      <c r="K8" s="22"/>
      <c r="L8" s="22"/>
      <c r="M8" s="22"/>
      <c r="N8" s="22"/>
    </row>
    <row r="9" customFormat="false" ht="15" hidden="false" customHeight="false" outlineLevel="0" collapsed="false">
      <c r="A9" s="22" t="s">
        <v>628</v>
      </c>
      <c r="B9" s="22" t="s">
        <v>302</v>
      </c>
      <c r="C9" s="22" t="s">
        <v>301</v>
      </c>
      <c r="D9" s="22" t="s">
        <v>285</v>
      </c>
      <c r="E9" s="22" t="s">
        <v>39</v>
      </c>
      <c r="F9" s="22"/>
      <c r="G9" s="22"/>
      <c r="H9" s="22"/>
      <c r="I9" s="22"/>
      <c r="J9" s="22"/>
      <c r="K9" s="22"/>
      <c r="L9" s="22"/>
      <c r="M9" s="22"/>
      <c r="N9" s="22"/>
    </row>
    <row r="10" customFormat="false" ht="15" hidden="false" customHeight="false" outlineLevel="0" collapsed="false">
      <c r="A10" s="22" t="s">
        <v>629</v>
      </c>
      <c r="B10" s="22" t="s">
        <v>196</v>
      </c>
      <c r="C10" s="22" t="s">
        <v>195</v>
      </c>
      <c r="D10" s="22" t="s">
        <v>384</v>
      </c>
      <c r="E10" s="22" t="s">
        <v>39</v>
      </c>
      <c r="F10" s="22"/>
      <c r="G10" s="22"/>
      <c r="H10" s="22"/>
      <c r="I10" s="22"/>
      <c r="J10" s="22"/>
      <c r="K10" s="22"/>
      <c r="L10" s="22"/>
      <c r="M10" s="22"/>
      <c r="N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2"/>
      <c r="I11" s="22"/>
      <c r="J11" s="22"/>
      <c r="K11" s="22"/>
      <c r="L11" s="22"/>
      <c r="M11" s="22"/>
      <c r="N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  <c r="N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  <c r="M17" s="22"/>
      <c r="N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  <c r="M29" s="22"/>
      <c r="N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  <c r="M31" s="22"/>
      <c r="N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  <c r="M33" s="22"/>
      <c r="N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  <c r="M35" s="22"/>
      <c r="N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  <c r="M37" s="22"/>
      <c r="N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  <c r="M39" s="22"/>
      <c r="N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  <c r="M41" s="22"/>
      <c r="N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  <c r="M43" s="22"/>
      <c r="N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  <c r="M45" s="22"/>
      <c r="N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  <c r="M47" s="22"/>
      <c r="N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  <c r="M49" s="22"/>
      <c r="N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  <c r="M51" s="22"/>
      <c r="N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  <c r="M53" s="22"/>
      <c r="N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  <c r="M55" s="22"/>
      <c r="N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  <c r="M57" s="22"/>
      <c r="N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  <c r="M59" s="22"/>
      <c r="N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  <c r="M61" s="22"/>
      <c r="N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  <c r="M63" s="22"/>
      <c r="N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  <c r="M65" s="22"/>
      <c r="N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  <c r="M67" s="22"/>
      <c r="N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  <c r="M69" s="22"/>
      <c r="N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  <c r="M71" s="22"/>
      <c r="N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  <c r="M73" s="22"/>
      <c r="N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  <c r="M75" s="22"/>
      <c r="N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  <c r="M77" s="22"/>
      <c r="N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  <c r="M79" s="22"/>
      <c r="N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  <c r="M81" s="22"/>
      <c r="N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  <c r="M83" s="22"/>
      <c r="N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  <c r="M85" s="22"/>
      <c r="N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  <c r="M87" s="22"/>
      <c r="N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  <c r="M89" s="22"/>
      <c r="N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  <c r="M91" s="22"/>
      <c r="N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  <c r="M93" s="22"/>
      <c r="N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  <c r="M95" s="22"/>
      <c r="N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  <c r="M97" s="22"/>
      <c r="N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  <c r="M99" s="22"/>
      <c r="N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  <c r="M101" s="22"/>
      <c r="N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  <c r="M103" s="22"/>
      <c r="N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2"/>
      <c r="I105" s="22"/>
      <c r="J105" s="22"/>
      <c r="K105" s="22"/>
      <c r="L105" s="22"/>
      <c r="M105" s="22"/>
      <c r="N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2"/>
      <c r="I107" s="22"/>
      <c r="J107" s="22"/>
      <c r="K107" s="22"/>
      <c r="L107" s="22"/>
      <c r="M107" s="22"/>
      <c r="N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2"/>
      <c r="I109" s="22"/>
      <c r="J109" s="22"/>
      <c r="K109" s="22"/>
      <c r="L109" s="22"/>
      <c r="M109" s="22"/>
      <c r="N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2"/>
      <c r="I111" s="22"/>
      <c r="J111" s="22"/>
      <c r="K111" s="22"/>
      <c r="L111" s="22"/>
      <c r="M111" s="22"/>
      <c r="N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2"/>
      <c r="I113" s="22"/>
      <c r="J113" s="22"/>
      <c r="K113" s="22"/>
      <c r="L113" s="22"/>
      <c r="M113" s="22"/>
      <c r="N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2"/>
      <c r="I115" s="22"/>
      <c r="J115" s="22"/>
      <c r="K115" s="22"/>
      <c r="L115" s="22"/>
      <c r="M115" s="22"/>
      <c r="N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2"/>
      <c r="I117" s="22"/>
      <c r="J117" s="22"/>
      <c r="K117" s="22"/>
      <c r="L117" s="22"/>
      <c r="M117" s="22"/>
      <c r="N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2"/>
      <c r="I119" s="22"/>
      <c r="J119" s="22"/>
      <c r="K119" s="22"/>
      <c r="L119" s="22"/>
      <c r="M119" s="22"/>
      <c r="N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2"/>
      <c r="I121" s="22"/>
      <c r="J121" s="22"/>
      <c r="K121" s="22"/>
      <c r="L121" s="22"/>
      <c r="M121" s="22"/>
      <c r="N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2"/>
      <c r="I123" s="22"/>
      <c r="J123" s="22"/>
      <c r="K123" s="22"/>
      <c r="L123" s="22"/>
      <c r="M123" s="22"/>
      <c r="N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2"/>
      <c r="I125" s="22"/>
      <c r="J125" s="22"/>
      <c r="K125" s="22"/>
      <c r="L125" s="22"/>
      <c r="M125" s="22"/>
      <c r="N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2"/>
      <c r="I127" s="22"/>
      <c r="J127" s="22"/>
      <c r="K127" s="22"/>
      <c r="L127" s="22"/>
      <c r="M127" s="22"/>
      <c r="N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2"/>
      <c r="I129" s="22"/>
      <c r="J129" s="22"/>
      <c r="K129" s="22"/>
      <c r="L129" s="22"/>
      <c r="M129" s="22"/>
      <c r="N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2"/>
      <c r="I131" s="22"/>
      <c r="J131" s="22"/>
      <c r="K131" s="22"/>
      <c r="L131" s="22"/>
      <c r="M131" s="22"/>
      <c r="N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2"/>
      <c r="I133" s="22"/>
      <c r="J133" s="22"/>
      <c r="K133" s="22"/>
      <c r="L133" s="22"/>
      <c r="M133" s="22"/>
      <c r="N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2"/>
      <c r="I135" s="22"/>
      <c r="J135" s="22"/>
      <c r="K135" s="22"/>
      <c r="L135" s="22"/>
      <c r="M135" s="22"/>
      <c r="N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2"/>
      <c r="I137" s="22"/>
      <c r="J137" s="22"/>
      <c r="K137" s="22"/>
      <c r="L137" s="22"/>
      <c r="M137" s="22"/>
      <c r="N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2"/>
      <c r="I139" s="22"/>
      <c r="J139" s="22"/>
      <c r="K139" s="22"/>
      <c r="L139" s="22"/>
      <c r="M139" s="22"/>
      <c r="N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2"/>
      <c r="I141" s="22"/>
      <c r="J141" s="22"/>
      <c r="K141" s="22"/>
      <c r="L141" s="22"/>
      <c r="M141" s="22"/>
      <c r="N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2"/>
      <c r="I143" s="22"/>
      <c r="J143" s="22"/>
      <c r="K143" s="22"/>
      <c r="L143" s="22"/>
      <c r="M143" s="22"/>
      <c r="N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2"/>
      <c r="I145" s="22"/>
      <c r="J145" s="22"/>
      <c r="K145" s="22"/>
      <c r="L145" s="22"/>
      <c r="M145" s="22"/>
      <c r="N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2"/>
      <c r="I147" s="22"/>
      <c r="J147" s="22"/>
      <c r="K147" s="22"/>
      <c r="L147" s="22"/>
      <c r="M147" s="22"/>
      <c r="N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2"/>
      <c r="I149" s="22"/>
      <c r="J149" s="22"/>
      <c r="K149" s="22"/>
      <c r="L149" s="22"/>
      <c r="M149" s="22"/>
      <c r="N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2"/>
      <c r="I151" s="22"/>
      <c r="J151" s="22"/>
      <c r="K151" s="22"/>
      <c r="L151" s="22"/>
      <c r="M151" s="22"/>
      <c r="N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2"/>
      <c r="I153" s="22"/>
      <c r="J153" s="22"/>
      <c r="K153" s="22"/>
      <c r="L153" s="22"/>
      <c r="M153" s="22"/>
      <c r="N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2"/>
      <c r="I155" s="22"/>
      <c r="J155" s="22"/>
      <c r="K155" s="22"/>
      <c r="L155" s="22"/>
      <c r="M155" s="22"/>
      <c r="N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2"/>
      <c r="I157" s="22"/>
      <c r="J157" s="22"/>
      <c r="K157" s="22"/>
      <c r="L157" s="22"/>
      <c r="M157" s="22"/>
      <c r="N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2"/>
      <c r="I159" s="22"/>
      <c r="J159" s="22"/>
      <c r="K159" s="22"/>
      <c r="L159" s="22"/>
      <c r="M159" s="22"/>
      <c r="N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2"/>
      <c r="I161" s="22"/>
      <c r="J161" s="22"/>
      <c r="K161" s="22"/>
      <c r="L161" s="22"/>
      <c r="M161" s="22"/>
      <c r="N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2"/>
      <c r="I163" s="22"/>
      <c r="J163" s="22"/>
      <c r="K163" s="22"/>
      <c r="L163" s="22"/>
      <c r="M163" s="22"/>
      <c r="N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2"/>
      <c r="I165" s="22"/>
      <c r="J165" s="22"/>
      <c r="K165" s="22"/>
      <c r="L165" s="22"/>
      <c r="M165" s="22"/>
      <c r="N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2"/>
      <c r="I167" s="22"/>
      <c r="J167" s="22"/>
      <c r="K167" s="22"/>
      <c r="L167" s="22"/>
      <c r="M167" s="22"/>
      <c r="N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2"/>
      <c r="I169" s="22"/>
      <c r="J169" s="22"/>
      <c r="K169" s="22"/>
      <c r="L169" s="22"/>
      <c r="M169" s="22"/>
      <c r="N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2"/>
      <c r="I171" s="22"/>
      <c r="J171" s="22"/>
      <c r="K171" s="22"/>
      <c r="L171" s="22"/>
      <c r="M171" s="22"/>
      <c r="N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2"/>
      <c r="I173" s="22"/>
      <c r="J173" s="22"/>
      <c r="K173" s="22"/>
      <c r="L173" s="22"/>
      <c r="M173" s="22"/>
      <c r="N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2"/>
      <c r="I175" s="22"/>
      <c r="J175" s="22"/>
      <c r="K175" s="22"/>
      <c r="L175" s="22"/>
      <c r="M175" s="22"/>
      <c r="N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2"/>
      <c r="I177" s="22"/>
      <c r="J177" s="22"/>
      <c r="K177" s="22"/>
      <c r="L177" s="22"/>
      <c r="M177" s="22"/>
      <c r="N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2"/>
      <c r="I179" s="22"/>
      <c r="J179" s="22"/>
      <c r="K179" s="22"/>
      <c r="L179" s="22"/>
      <c r="M179" s="22"/>
      <c r="N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2"/>
      <c r="I181" s="22"/>
      <c r="J181" s="22"/>
      <c r="K181" s="22"/>
      <c r="L181" s="22"/>
      <c r="M181" s="22"/>
      <c r="N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2"/>
      <c r="I183" s="22"/>
      <c r="J183" s="22"/>
      <c r="K183" s="22"/>
      <c r="L183" s="22"/>
      <c r="M183" s="22"/>
      <c r="N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2"/>
      <c r="I185" s="22"/>
      <c r="J185" s="22"/>
      <c r="K185" s="22"/>
      <c r="L185" s="22"/>
      <c r="M185" s="22"/>
      <c r="N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2"/>
      <c r="I187" s="22"/>
      <c r="J187" s="22"/>
      <c r="K187" s="22"/>
      <c r="L187" s="22"/>
      <c r="M187" s="22"/>
      <c r="N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2"/>
      <c r="I189" s="22"/>
      <c r="J189" s="22"/>
      <c r="K189" s="22"/>
      <c r="L189" s="22"/>
      <c r="M189" s="22"/>
      <c r="N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2"/>
      <c r="I191" s="22"/>
      <c r="J191" s="22"/>
      <c r="K191" s="22"/>
      <c r="L191" s="22"/>
      <c r="M191" s="22"/>
      <c r="N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2"/>
      <c r="I193" s="22"/>
      <c r="J193" s="22"/>
      <c r="K193" s="22"/>
      <c r="L193" s="22"/>
      <c r="M193" s="22"/>
      <c r="N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2"/>
      <c r="I195" s="22"/>
      <c r="J195" s="22"/>
      <c r="K195" s="22"/>
      <c r="L195" s="22"/>
      <c r="M195" s="22"/>
      <c r="N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2"/>
      <c r="I197" s="22"/>
      <c r="J197" s="22"/>
      <c r="K197" s="22"/>
      <c r="L197" s="22"/>
      <c r="M197" s="22"/>
      <c r="N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2"/>
      <c r="I199" s="22"/>
      <c r="J199" s="22"/>
      <c r="K199" s="22"/>
      <c r="L199" s="22"/>
      <c r="M199" s="22"/>
      <c r="N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2"/>
      <c r="I201" s="22"/>
      <c r="J201" s="22"/>
      <c r="K201" s="22"/>
      <c r="L201" s="22"/>
      <c r="M201" s="22"/>
      <c r="N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2"/>
      <c r="I203" s="22"/>
      <c r="J203" s="22"/>
      <c r="K203" s="22"/>
      <c r="L203" s="22"/>
      <c r="M203" s="22"/>
      <c r="N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</row>
  </sheetData>
  <autoFilter ref="A4:N204"/>
  <dataValidations count="2">
    <dataValidation allowBlank="true" errorStyle="stop" operator="between" showDropDown="false" showErrorMessage="false" showInputMessage="false" sqref="E5:E204" type="list">
      <formula1>Lists!$A$2:$A$10</formula1>
      <formula2>0</formula2>
    </dataValidation>
    <dataValidation allowBlank="true" errorStyle="stop" operator="between" showDropDown="false" showErrorMessage="false" showInputMessage="false" sqref="D5:D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0"/>
    <col collapsed="false" customWidth="true" hidden="false" outlineLevel="0" max="4" min="3" style="0" width="32"/>
    <col collapsed="false" customWidth="true" hidden="false" outlineLevel="0" max="5" min="5" style="0" width="12"/>
    <col collapsed="false" customWidth="true" hidden="false" outlineLevel="0" max="6" min="6" style="0" width="10"/>
    <col collapsed="false" customWidth="true" hidden="false" outlineLevel="0" max="7" min="7" style="0" width="9"/>
    <col collapsed="false" customWidth="true" hidden="false" outlineLevel="0" max="8" min="8" style="0" width="11"/>
    <col collapsed="false" customWidth="true" hidden="false" outlineLevel="0" max="9" min="9" style="0" width="10"/>
    <col collapsed="false" customWidth="true" hidden="false" outlineLevel="0" max="10" min="10" style="0" width="34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630</v>
      </c>
    </row>
    <row r="2" customFormat="false" ht="15" hidden="false" customHeight="false" outlineLevel="0" collapsed="false">
      <c r="A2" s="2" t="s">
        <v>631</v>
      </c>
    </row>
    <row r="4" customFormat="false" ht="31.5" hidden="false" customHeight="true" outlineLevel="0" collapsed="false">
      <c r="A4" s="9" t="s">
        <v>632</v>
      </c>
      <c r="B4" s="9" t="s">
        <v>633</v>
      </c>
      <c r="C4" s="9" t="s">
        <v>634</v>
      </c>
      <c r="D4" s="9" t="s">
        <v>635</v>
      </c>
      <c r="E4" s="9" t="s">
        <v>636</v>
      </c>
      <c r="F4" s="9" t="s">
        <v>637</v>
      </c>
      <c r="G4" s="9" t="s">
        <v>81</v>
      </c>
      <c r="H4" s="9" t="s">
        <v>638</v>
      </c>
      <c r="I4" s="9" t="s">
        <v>639</v>
      </c>
      <c r="J4" s="9" t="s">
        <v>640</v>
      </c>
      <c r="K4" s="9" t="s">
        <v>546</v>
      </c>
    </row>
    <row r="5" customFormat="false" ht="15" hidden="false" customHeight="false" outlineLevel="0" collapsed="false">
      <c r="A5" s="22" t="s">
        <v>641</v>
      </c>
      <c r="B5" s="22" t="s">
        <v>642</v>
      </c>
      <c r="C5" s="22" t="s">
        <v>548</v>
      </c>
      <c r="D5" s="22" t="s">
        <v>551</v>
      </c>
      <c r="E5" s="22"/>
      <c r="F5" s="22"/>
      <c r="G5" s="24" t="str">
        <f aca="false">IFERROR(F5/E5,"")</f>
        <v/>
      </c>
      <c r="H5" s="22"/>
      <c r="I5" s="22"/>
      <c r="J5" s="22"/>
      <c r="K5" s="22"/>
    </row>
    <row r="6" customFormat="false" ht="15" hidden="false" customHeight="false" outlineLevel="0" collapsed="false">
      <c r="A6" s="22" t="s">
        <v>643</v>
      </c>
      <c r="B6" s="22" t="s">
        <v>609</v>
      </c>
      <c r="C6" s="22" t="s">
        <v>552</v>
      </c>
      <c r="D6" s="22" t="s">
        <v>553</v>
      </c>
      <c r="E6" s="22"/>
      <c r="F6" s="22"/>
      <c r="G6" s="24" t="str">
        <f aca="false">IFERROR(F6/E6,"")</f>
        <v/>
      </c>
      <c r="H6" s="22"/>
      <c r="I6" s="22"/>
      <c r="J6" s="22"/>
      <c r="K6" s="22"/>
    </row>
    <row r="7" customFormat="false" ht="15" hidden="false" customHeight="false" outlineLevel="0" collapsed="false">
      <c r="A7" s="22" t="s">
        <v>644</v>
      </c>
      <c r="B7" s="22" t="s">
        <v>645</v>
      </c>
      <c r="C7" s="22" t="s">
        <v>646</v>
      </c>
      <c r="D7" s="22" t="s">
        <v>647</v>
      </c>
      <c r="E7" s="22"/>
      <c r="F7" s="22"/>
      <c r="G7" s="24" t="str">
        <f aca="false">IFERROR(F7/E7,"")</f>
        <v/>
      </c>
      <c r="H7" s="22"/>
      <c r="I7" s="22"/>
      <c r="J7" s="22"/>
      <c r="K7" s="22"/>
    </row>
    <row r="8" customFormat="false" ht="23.85" hidden="false" customHeight="false" outlineLevel="0" collapsed="false">
      <c r="A8" s="22" t="s">
        <v>648</v>
      </c>
      <c r="B8" s="22" t="s">
        <v>649</v>
      </c>
      <c r="C8" s="22" t="s">
        <v>650</v>
      </c>
      <c r="D8" s="22" t="s">
        <v>651</v>
      </c>
      <c r="E8" s="22"/>
      <c r="F8" s="22"/>
      <c r="G8" s="24" t="str">
        <f aca="false">IFERROR(F8/E8,"")</f>
        <v/>
      </c>
      <c r="H8" s="22"/>
      <c r="I8" s="22"/>
      <c r="J8" s="22"/>
      <c r="K8" s="22"/>
    </row>
    <row r="9" customFormat="false" ht="23.85" hidden="false" customHeight="false" outlineLevel="0" collapsed="false">
      <c r="A9" s="22" t="s">
        <v>648</v>
      </c>
      <c r="B9" s="22" t="s">
        <v>652</v>
      </c>
      <c r="C9" s="22" t="s">
        <v>653</v>
      </c>
      <c r="D9" s="22" t="s">
        <v>651</v>
      </c>
      <c r="E9" s="22"/>
      <c r="F9" s="22"/>
      <c r="G9" s="24" t="str">
        <f aca="false">IFERROR(F9/E9,"")</f>
        <v/>
      </c>
      <c r="H9" s="22"/>
      <c r="I9" s="22"/>
      <c r="J9" s="22"/>
      <c r="K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4" t="str">
        <f aca="false">IFERROR(F10/E10,"")</f>
        <v/>
      </c>
      <c r="H10" s="22"/>
      <c r="I10" s="22"/>
      <c r="J10" s="22"/>
      <c r="K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4" t="str">
        <f aca="false">IFERROR(F11/E11,"")</f>
        <v/>
      </c>
      <c r="H11" s="22"/>
      <c r="I11" s="22"/>
      <c r="J11" s="22"/>
      <c r="K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4" t="str">
        <f aca="false">IFERROR(F12/E12,"")</f>
        <v/>
      </c>
      <c r="H12" s="22"/>
      <c r="I12" s="22"/>
      <c r="J12" s="22"/>
      <c r="K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4" t="str">
        <f aca="false">IFERROR(F13/E13,"")</f>
        <v/>
      </c>
      <c r="H13" s="22"/>
      <c r="I13" s="22"/>
      <c r="J13" s="22"/>
      <c r="K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4" t="str">
        <f aca="false">IFERROR(F14/E14,"")</f>
        <v/>
      </c>
      <c r="H14" s="22"/>
      <c r="I14" s="22"/>
      <c r="J14" s="22"/>
      <c r="K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4" t="str">
        <f aca="false">IFERROR(F15/E15,"")</f>
        <v/>
      </c>
      <c r="H15" s="22"/>
      <c r="I15" s="22"/>
      <c r="J15" s="22"/>
      <c r="K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4" t="str">
        <f aca="false">IFERROR(F16/E16,"")</f>
        <v/>
      </c>
      <c r="H16" s="22"/>
      <c r="I16" s="22"/>
      <c r="J16" s="22"/>
      <c r="K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4" t="str">
        <f aca="false">IFERROR(F17/E17,"")</f>
        <v/>
      </c>
      <c r="H17" s="22"/>
      <c r="I17" s="22"/>
      <c r="J17" s="22"/>
      <c r="K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4" t="str">
        <f aca="false">IFERROR(F18/E18,"")</f>
        <v/>
      </c>
      <c r="H18" s="22"/>
      <c r="I18" s="22"/>
      <c r="J18" s="22"/>
      <c r="K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4" t="str">
        <f aca="false">IFERROR(F19/E19,"")</f>
        <v/>
      </c>
      <c r="H19" s="22"/>
      <c r="I19" s="22"/>
      <c r="J19" s="22"/>
      <c r="K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4" t="str">
        <f aca="false">IFERROR(F20/E20,"")</f>
        <v/>
      </c>
      <c r="H20" s="22"/>
      <c r="I20" s="22"/>
      <c r="J20" s="22"/>
      <c r="K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4" t="str">
        <f aca="false">IFERROR(F21/E21,"")</f>
        <v/>
      </c>
      <c r="H21" s="22"/>
      <c r="I21" s="22"/>
      <c r="J21" s="22"/>
      <c r="K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4" t="str">
        <f aca="false">IFERROR(F22/E22,"")</f>
        <v/>
      </c>
      <c r="H22" s="22"/>
      <c r="I22" s="22"/>
      <c r="J22" s="22"/>
      <c r="K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4" t="str">
        <f aca="false">IFERROR(F23/E23,"")</f>
        <v/>
      </c>
      <c r="H23" s="22"/>
      <c r="I23" s="22"/>
      <c r="J23" s="22"/>
      <c r="K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4" t="str">
        <f aca="false">IFERROR(F24/E24,"")</f>
        <v/>
      </c>
      <c r="H24" s="22"/>
      <c r="I24" s="22"/>
      <c r="J24" s="22"/>
      <c r="K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4" t="str">
        <f aca="false">IFERROR(F25/E25,"")</f>
        <v/>
      </c>
      <c r="H25" s="22"/>
      <c r="I25" s="22"/>
      <c r="J25" s="22"/>
      <c r="K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4" t="str">
        <f aca="false">IFERROR(F26/E26,"")</f>
        <v/>
      </c>
      <c r="H26" s="22"/>
      <c r="I26" s="22"/>
      <c r="J26" s="22"/>
      <c r="K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4" t="str">
        <f aca="false">IFERROR(F27/E27,"")</f>
        <v/>
      </c>
      <c r="H27" s="22"/>
      <c r="I27" s="22"/>
      <c r="J27" s="22"/>
      <c r="K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4" t="str">
        <f aca="false">IFERROR(F28/E28,"")</f>
        <v/>
      </c>
      <c r="H28" s="22"/>
      <c r="I28" s="22"/>
      <c r="J28" s="22"/>
      <c r="K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4" t="str">
        <f aca="false">IFERROR(F29/E29,"")</f>
        <v/>
      </c>
      <c r="H29" s="22"/>
      <c r="I29" s="22"/>
      <c r="J29" s="22"/>
      <c r="K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4" t="str">
        <f aca="false">IFERROR(F30/E30,"")</f>
        <v/>
      </c>
      <c r="H30" s="22"/>
      <c r="I30" s="22"/>
      <c r="J30" s="22"/>
      <c r="K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4" t="str">
        <f aca="false">IFERROR(F31/E31,"")</f>
        <v/>
      </c>
      <c r="H31" s="22"/>
      <c r="I31" s="22"/>
      <c r="J31" s="22"/>
      <c r="K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4" t="str">
        <f aca="false">IFERROR(F32/E32,"")</f>
        <v/>
      </c>
      <c r="H32" s="22"/>
      <c r="I32" s="22"/>
      <c r="J32" s="22"/>
      <c r="K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4" t="str">
        <f aca="false">IFERROR(F33/E33,"")</f>
        <v/>
      </c>
      <c r="H33" s="22"/>
      <c r="I33" s="22"/>
      <c r="J33" s="22"/>
      <c r="K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4" t="str">
        <f aca="false">IFERROR(F34/E34,"")</f>
        <v/>
      </c>
      <c r="H34" s="22"/>
      <c r="I34" s="22"/>
      <c r="J34" s="22"/>
      <c r="K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4" t="str">
        <f aca="false">IFERROR(F35/E35,"")</f>
        <v/>
      </c>
      <c r="H35" s="22"/>
      <c r="I35" s="22"/>
      <c r="J35" s="22"/>
      <c r="K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4" t="str">
        <f aca="false">IFERROR(F36/E36,"")</f>
        <v/>
      </c>
      <c r="H36" s="22"/>
      <c r="I36" s="22"/>
      <c r="J36" s="22"/>
      <c r="K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4" t="str">
        <f aca="false">IFERROR(F37/E37,"")</f>
        <v/>
      </c>
      <c r="H37" s="22"/>
      <c r="I37" s="22"/>
      <c r="J37" s="22"/>
      <c r="K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4" t="str">
        <f aca="false">IFERROR(F38/E38,"")</f>
        <v/>
      </c>
      <c r="H38" s="22"/>
      <c r="I38" s="22"/>
      <c r="J38" s="22"/>
      <c r="K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4" t="str">
        <f aca="false">IFERROR(F39/E39,"")</f>
        <v/>
      </c>
      <c r="H39" s="22"/>
      <c r="I39" s="22"/>
      <c r="J39" s="22"/>
      <c r="K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4" t="str">
        <f aca="false">IFERROR(F40/E40,"")</f>
        <v/>
      </c>
      <c r="H40" s="22"/>
      <c r="I40" s="22"/>
      <c r="J40" s="22"/>
      <c r="K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4" t="str">
        <f aca="false">IFERROR(F41/E41,"")</f>
        <v/>
      </c>
      <c r="H41" s="22"/>
      <c r="I41" s="22"/>
      <c r="J41" s="22"/>
      <c r="K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4" t="str">
        <f aca="false">IFERROR(F42/E42,"")</f>
        <v/>
      </c>
      <c r="H42" s="22"/>
      <c r="I42" s="22"/>
      <c r="J42" s="22"/>
      <c r="K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4" t="str">
        <f aca="false">IFERROR(F43/E43,"")</f>
        <v/>
      </c>
      <c r="H43" s="22"/>
      <c r="I43" s="22"/>
      <c r="J43" s="22"/>
      <c r="K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4" t="str">
        <f aca="false">IFERROR(F44/E44,"")</f>
        <v/>
      </c>
      <c r="H44" s="22"/>
      <c r="I44" s="22"/>
      <c r="J44" s="22"/>
      <c r="K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4" t="str">
        <f aca="false">IFERROR(F45/E45,"")</f>
        <v/>
      </c>
      <c r="H45" s="22"/>
      <c r="I45" s="22"/>
      <c r="J45" s="22"/>
      <c r="K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4" t="str">
        <f aca="false">IFERROR(F46/E46,"")</f>
        <v/>
      </c>
      <c r="H46" s="22"/>
      <c r="I46" s="22"/>
      <c r="J46" s="22"/>
      <c r="K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4" t="str">
        <f aca="false">IFERROR(F47/E47,"")</f>
        <v/>
      </c>
      <c r="H47" s="22"/>
      <c r="I47" s="22"/>
      <c r="J47" s="22"/>
      <c r="K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4" t="str">
        <f aca="false">IFERROR(F48/E48,"")</f>
        <v/>
      </c>
      <c r="H48" s="22"/>
      <c r="I48" s="22"/>
      <c r="J48" s="22"/>
      <c r="K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4" t="str">
        <f aca="false">IFERROR(F49/E49,"")</f>
        <v/>
      </c>
      <c r="H49" s="22"/>
      <c r="I49" s="22"/>
      <c r="J49" s="22"/>
      <c r="K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4" t="str">
        <f aca="false">IFERROR(F50/E50,"")</f>
        <v/>
      </c>
      <c r="H50" s="22"/>
      <c r="I50" s="22"/>
      <c r="J50" s="22"/>
      <c r="K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4" t="str">
        <f aca="false">IFERROR(F51/E51,"")</f>
        <v/>
      </c>
      <c r="H51" s="22"/>
      <c r="I51" s="22"/>
      <c r="J51" s="22"/>
      <c r="K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4" t="str">
        <f aca="false">IFERROR(F52/E52,"")</f>
        <v/>
      </c>
      <c r="H52" s="22"/>
      <c r="I52" s="22"/>
      <c r="J52" s="22"/>
      <c r="K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4" t="str">
        <f aca="false">IFERROR(F53/E53,"")</f>
        <v/>
      </c>
      <c r="H53" s="22"/>
      <c r="I53" s="22"/>
      <c r="J53" s="22"/>
      <c r="K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4" t="str">
        <f aca="false">IFERROR(F54/E54,"")</f>
        <v/>
      </c>
      <c r="H54" s="22"/>
      <c r="I54" s="22"/>
      <c r="J54" s="22"/>
      <c r="K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4" t="str">
        <f aca="false">IFERROR(F55/E55,"")</f>
        <v/>
      </c>
      <c r="H55" s="22"/>
      <c r="I55" s="22"/>
      <c r="J55" s="22"/>
      <c r="K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4" t="str">
        <f aca="false">IFERROR(F56/E56,"")</f>
        <v/>
      </c>
      <c r="H56" s="22"/>
      <c r="I56" s="22"/>
      <c r="J56" s="22"/>
      <c r="K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4" t="str">
        <f aca="false">IFERROR(F57/E57,"")</f>
        <v/>
      </c>
      <c r="H57" s="22"/>
      <c r="I57" s="22"/>
      <c r="J57" s="22"/>
      <c r="K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4" t="str">
        <f aca="false">IFERROR(F58/E58,"")</f>
        <v/>
      </c>
      <c r="H58" s="22"/>
      <c r="I58" s="22"/>
      <c r="J58" s="22"/>
      <c r="K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4" t="str">
        <f aca="false">IFERROR(F59/E59,"")</f>
        <v/>
      </c>
      <c r="H59" s="22"/>
      <c r="I59" s="22"/>
      <c r="J59" s="22"/>
      <c r="K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4" t="str">
        <f aca="false">IFERROR(F60/E60,"")</f>
        <v/>
      </c>
      <c r="H60" s="22"/>
      <c r="I60" s="22"/>
      <c r="J60" s="22"/>
      <c r="K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4" t="str">
        <f aca="false">IFERROR(F61/E61,"")</f>
        <v/>
      </c>
      <c r="H61" s="22"/>
      <c r="I61" s="22"/>
      <c r="J61" s="22"/>
      <c r="K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4" t="str">
        <f aca="false">IFERROR(F62/E62,"")</f>
        <v/>
      </c>
      <c r="H62" s="22"/>
      <c r="I62" s="22"/>
      <c r="J62" s="22"/>
      <c r="K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4" t="str">
        <f aca="false">IFERROR(F63/E63,"")</f>
        <v/>
      </c>
      <c r="H63" s="22"/>
      <c r="I63" s="22"/>
      <c r="J63" s="22"/>
      <c r="K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4" t="str">
        <f aca="false">IFERROR(F64/E64,"")</f>
        <v/>
      </c>
      <c r="H64" s="22"/>
      <c r="I64" s="22"/>
      <c r="J64" s="22"/>
      <c r="K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4" t="str">
        <f aca="false">IFERROR(F65/E65,"")</f>
        <v/>
      </c>
      <c r="H65" s="22"/>
      <c r="I65" s="22"/>
      <c r="J65" s="22"/>
      <c r="K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4" t="str">
        <f aca="false">IFERROR(F66/E66,"")</f>
        <v/>
      </c>
      <c r="H66" s="22"/>
      <c r="I66" s="22"/>
      <c r="J66" s="22"/>
      <c r="K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4" t="str">
        <f aca="false">IFERROR(F67/E67,"")</f>
        <v/>
      </c>
      <c r="H67" s="22"/>
      <c r="I67" s="22"/>
      <c r="J67" s="22"/>
      <c r="K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4" t="str">
        <f aca="false">IFERROR(F68/E68,"")</f>
        <v/>
      </c>
      <c r="H68" s="22"/>
      <c r="I68" s="22"/>
      <c r="J68" s="22"/>
      <c r="K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4" t="str">
        <f aca="false">IFERROR(F69/E69,"")</f>
        <v/>
      </c>
      <c r="H69" s="22"/>
      <c r="I69" s="22"/>
      <c r="J69" s="22"/>
      <c r="K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4" t="str">
        <f aca="false">IFERROR(F70/E70,"")</f>
        <v/>
      </c>
      <c r="H70" s="22"/>
      <c r="I70" s="22"/>
      <c r="J70" s="22"/>
      <c r="K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4" t="str">
        <f aca="false">IFERROR(F71/E71,"")</f>
        <v/>
      </c>
      <c r="H71" s="22"/>
      <c r="I71" s="22"/>
      <c r="J71" s="22"/>
      <c r="K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4" t="str">
        <f aca="false">IFERROR(F72/E72,"")</f>
        <v/>
      </c>
      <c r="H72" s="22"/>
      <c r="I72" s="22"/>
      <c r="J72" s="22"/>
      <c r="K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4" t="str">
        <f aca="false">IFERROR(F73/E73,"")</f>
        <v/>
      </c>
      <c r="H73" s="22"/>
      <c r="I73" s="22"/>
      <c r="J73" s="22"/>
      <c r="K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4" t="str">
        <f aca="false">IFERROR(F74/E74,"")</f>
        <v/>
      </c>
      <c r="H74" s="22"/>
      <c r="I74" s="22"/>
      <c r="J74" s="22"/>
      <c r="K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4" t="str">
        <f aca="false">IFERROR(F75/E75,"")</f>
        <v/>
      </c>
      <c r="H75" s="22"/>
      <c r="I75" s="22"/>
      <c r="J75" s="22"/>
      <c r="K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4" t="str">
        <f aca="false">IFERROR(F76/E76,"")</f>
        <v/>
      </c>
      <c r="H76" s="22"/>
      <c r="I76" s="22"/>
      <c r="J76" s="22"/>
      <c r="K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4" t="str">
        <f aca="false">IFERROR(F77/E77,"")</f>
        <v/>
      </c>
      <c r="H77" s="22"/>
      <c r="I77" s="22"/>
      <c r="J77" s="22"/>
      <c r="K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4" t="str">
        <f aca="false">IFERROR(F78/E78,"")</f>
        <v/>
      </c>
      <c r="H78" s="22"/>
      <c r="I78" s="22"/>
      <c r="J78" s="22"/>
      <c r="K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4" t="str">
        <f aca="false">IFERROR(F79/E79,"")</f>
        <v/>
      </c>
      <c r="H79" s="22"/>
      <c r="I79" s="22"/>
      <c r="J79" s="22"/>
      <c r="K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4" t="str">
        <f aca="false">IFERROR(F80/E80,"")</f>
        <v/>
      </c>
      <c r="H80" s="22"/>
      <c r="I80" s="22"/>
      <c r="J80" s="22"/>
      <c r="K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4" t="str">
        <f aca="false">IFERROR(F81/E81,"")</f>
        <v/>
      </c>
      <c r="H81" s="22"/>
      <c r="I81" s="22"/>
      <c r="J81" s="22"/>
      <c r="K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4" t="str">
        <f aca="false">IFERROR(F82/E82,"")</f>
        <v/>
      </c>
      <c r="H82" s="22"/>
      <c r="I82" s="22"/>
      <c r="J82" s="22"/>
      <c r="K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4" t="str">
        <f aca="false">IFERROR(F83/E83,"")</f>
        <v/>
      </c>
      <c r="H83" s="22"/>
      <c r="I83" s="22"/>
      <c r="J83" s="22"/>
      <c r="K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4" t="str">
        <f aca="false">IFERROR(F84/E84,"")</f>
        <v/>
      </c>
      <c r="H84" s="22"/>
      <c r="I84" s="22"/>
      <c r="J84" s="22"/>
      <c r="K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4" t="str">
        <f aca="false">IFERROR(F85/E85,"")</f>
        <v/>
      </c>
      <c r="H85" s="22"/>
      <c r="I85" s="22"/>
      <c r="J85" s="22"/>
      <c r="K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4" t="str">
        <f aca="false">IFERROR(F86/E86,"")</f>
        <v/>
      </c>
      <c r="H86" s="22"/>
      <c r="I86" s="22"/>
      <c r="J86" s="22"/>
      <c r="K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4" t="str">
        <f aca="false">IFERROR(F87/E87,"")</f>
        <v/>
      </c>
      <c r="H87" s="22"/>
      <c r="I87" s="22"/>
      <c r="J87" s="22"/>
      <c r="K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4" t="str">
        <f aca="false">IFERROR(F88/E88,"")</f>
        <v/>
      </c>
      <c r="H88" s="22"/>
      <c r="I88" s="22"/>
      <c r="J88" s="22"/>
      <c r="K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4" t="str">
        <f aca="false">IFERROR(F89/E89,"")</f>
        <v/>
      </c>
      <c r="H89" s="22"/>
      <c r="I89" s="22"/>
      <c r="J89" s="22"/>
      <c r="K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4" t="str">
        <f aca="false">IFERROR(F90/E90,"")</f>
        <v/>
      </c>
      <c r="H90" s="22"/>
      <c r="I90" s="22"/>
      <c r="J90" s="22"/>
      <c r="K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4" t="str">
        <f aca="false">IFERROR(F91/E91,"")</f>
        <v/>
      </c>
      <c r="H91" s="22"/>
      <c r="I91" s="22"/>
      <c r="J91" s="22"/>
      <c r="K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4" t="str">
        <f aca="false">IFERROR(F92/E92,"")</f>
        <v/>
      </c>
      <c r="H92" s="22"/>
      <c r="I92" s="22"/>
      <c r="J92" s="22"/>
      <c r="K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4" t="str">
        <f aca="false">IFERROR(F93/E93,"")</f>
        <v/>
      </c>
      <c r="H93" s="22"/>
      <c r="I93" s="22"/>
      <c r="J93" s="22"/>
      <c r="K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4" t="str">
        <f aca="false">IFERROR(F94/E94,"")</f>
        <v/>
      </c>
      <c r="H94" s="22"/>
      <c r="I94" s="22"/>
      <c r="J94" s="22"/>
      <c r="K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4" t="str">
        <f aca="false">IFERROR(F95/E95,"")</f>
        <v/>
      </c>
      <c r="H95" s="22"/>
      <c r="I95" s="22"/>
      <c r="J95" s="22"/>
      <c r="K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4" t="str">
        <f aca="false">IFERROR(F96/E96,"")</f>
        <v/>
      </c>
      <c r="H96" s="22"/>
      <c r="I96" s="22"/>
      <c r="J96" s="22"/>
      <c r="K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4" t="str">
        <f aca="false">IFERROR(F97/E97,"")</f>
        <v/>
      </c>
      <c r="H97" s="22"/>
      <c r="I97" s="22"/>
      <c r="J97" s="22"/>
      <c r="K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4" t="str">
        <f aca="false">IFERROR(F98/E98,"")</f>
        <v/>
      </c>
      <c r="H98" s="22"/>
      <c r="I98" s="22"/>
      <c r="J98" s="22"/>
      <c r="K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4" t="str">
        <f aca="false">IFERROR(F99/E99,"")</f>
        <v/>
      </c>
      <c r="H99" s="22"/>
      <c r="I99" s="22"/>
      <c r="J99" s="22"/>
      <c r="K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4" t="str">
        <f aca="false">IFERROR(F100/E100,"")</f>
        <v/>
      </c>
      <c r="H100" s="22"/>
      <c r="I100" s="22"/>
      <c r="J100" s="22"/>
      <c r="K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4" t="str">
        <f aca="false">IFERROR(F101/E101,"")</f>
        <v/>
      </c>
      <c r="H101" s="22"/>
      <c r="I101" s="22"/>
      <c r="J101" s="22"/>
      <c r="K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4" t="str">
        <f aca="false">IFERROR(F102/E102,"")</f>
        <v/>
      </c>
      <c r="H102" s="22"/>
      <c r="I102" s="22"/>
      <c r="J102" s="22"/>
      <c r="K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4" t="str">
        <f aca="false">IFERROR(F103/E103,"")</f>
        <v/>
      </c>
      <c r="H103" s="22"/>
      <c r="I103" s="22"/>
      <c r="J103" s="22"/>
      <c r="K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4" t="str">
        <f aca="false">IFERROR(F104/E104,"")</f>
        <v/>
      </c>
      <c r="H104" s="22"/>
      <c r="I104" s="22"/>
      <c r="J104" s="22"/>
      <c r="K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4" t="str">
        <f aca="false">IFERROR(F105/E105,"")</f>
        <v/>
      </c>
      <c r="H105" s="22"/>
      <c r="I105" s="22"/>
      <c r="J105" s="22"/>
      <c r="K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4" t="str">
        <f aca="false">IFERROR(F106/E106,"")</f>
        <v/>
      </c>
      <c r="H106" s="22"/>
      <c r="I106" s="22"/>
      <c r="J106" s="22"/>
      <c r="K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4" t="str">
        <f aca="false">IFERROR(F107/E107,"")</f>
        <v/>
      </c>
      <c r="H107" s="22"/>
      <c r="I107" s="22"/>
      <c r="J107" s="22"/>
      <c r="K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4" t="str">
        <f aca="false">IFERROR(F108/E108,"")</f>
        <v/>
      </c>
      <c r="H108" s="22"/>
      <c r="I108" s="22"/>
      <c r="J108" s="22"/>
      <c r="K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4" t="str">
        <f aca="false">IFERROR(F109/E109,"")</f>
        <v/>
      </c>
      <c r="H109" s="22"/>
      <c r="I109" s="22"/>
      <c r="J109" s="22"/>
      <c r="K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4" t="str">
        <f aca="false">IFERROR(F110/E110,"")</f>
        <v/>
      </c>
      <c r="H110" s="22"/>
      <c r="I110" s="22"/>
      <c r="J110" s="22"/>
      <c r="K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4" t="str">
        <f aca="false">IFERROR(F111/E111,"")</f>
        <v/>
      </c>
      <c r="H111" s="22"/>
      <c r="I111" s="22"/>
      <c r="J111" s="22"/>
      <c r="K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4" t="str">
        <f aca="false">IFERROR(F112/E112,"")</f>
        <v/>
      </c>
      <c r="H112" s="22"/>
      <c r="I112" s="22"/>
      <c r="J112" s="22"/>
      <c r="K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4" t="str">
        <f aca="false">IFERROR(F113/E113,"")</f>
        <v/>
      </c>
      <c r="H113" s="22"/>
      <c r="I113" s="22"/>
      <c r="J113" s="22"/>
      <c r="K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4" t="str">
        <f aca="false">IFERROR(F114/E114,"")</f>
        <v/>
      </c>
      <c r="H114" s="22"/>
      <c r="I114" s="22"/>
      <c r="J114" s="22"/>
      <c r="K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4" t="str">
        <f aca="false">IFERROR(F115/E115,"")</f>
        <v/>
      </c>
      <c r="H115" s="22"/>
      <c r="I115" s="22"/>
      <c r="J115" s="22"/>
      <c r="K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4" t="str">
        <f aca="false">IFERROR(F116/E116,"")</f>
        <v/>
      </c>
      <c r="H116" s="22"/>
      <c r="I116" s="22"/>
      <c r="J116" s="22"/>
      <c r="K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4" t="str">
        <f aca="false">IFERROR(F117/E117,"")</f>
        <v/>
      </c>
      <c r="H117" s="22"/>
      <c r="I117" s="22"/>
      <c r="J117" s="22"/>
      <c r="K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4" t="str">
        <f aca="false">IFERROR(F118/E118,"")</f>
        <v/>
      </c>
      <c r="H118" s="22"/>
      <c r="I118" s="22"/>
      <c r="J118" s="22"/>
      <c r="K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4" t="str">
        <f aca="false">IFERROR(F119/E119,"")</f>
        <v/>
      </c>
      <c r="H119" s="22"/>
      <c r="I119" s="22"/>
      <c r="J119" s="22"/>
      <c r="K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4" t="str">
        <f aca="false">IFERROR(F120/E120,"")</f>
        <v/>
      </c>
      <c r="H120" s="22"/>
      <c r="I120" s="22"/>
      <c r="J120" s="22"/>
      <c r="K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4" t="str">
        <f aca="false">IFERROR(F121/E121,"")</f>
        <v/>
      </c>
      <c r="H121" s="22"/>
      <c r="I121" s="22"/>
      <c r="J121" s="22"/>
      <c r="K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4" t="str">
        <f aca="false">IFERROR(F122/E122,"")</f>
        <v/>
      </c>
      <c r="H122" s="22"/>
      <c r="I122" s="22"/>
      <c r="J122" s="22"/>
      <c r="K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4" t="str">
        <f aca="false">IFERROR(F123/E123,"")</f>
        <v/>
      </c>
      <c r="H123" s="22"/>
      <c r="I123" s="22"/>
      <c r="J123" s="22"/>
      <c r="K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4" t="str">
        <f aca="false">IFERROR(F124/E124,"")</f>
        <v/>
      </c>
      <c r="H124" s="22"/>
      <c r="I124" s="22"/>
      <c r="J124" s="22"/>
      <c r="K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4" t="str">
        <f aca="false">IFERROR(F125/E125,"")</f>
        <v/>
      </c>
      <c r="H125" s="22"/>
      <c r="I125" s="22"/>
      <c r="J125" s="22"/>
      <c r="K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4" t="str">
        <f aca="false">IFERROR(F126/E126,"")</f>
        <v/>
      </c>
      <c r="H126" s="22"/>
      <c r="I126" s="22"/>
      <c r="J126" s="22"/>
      <c r="K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4" t="str">
        <f aca="false">IFERROR(F127/E127,"")</f>
        <v/>
      </c>
      <c r="H127" s="22"/>
      <c r="I127" s="22"/>
      <c r="J127" s="22"/>
      <c r="K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4" t="str">
        <f aca="false">IFERROR(F128/E128,"")</f>
        <v/>
      </c>
      <c r="H128" s="22"/>
      <c r="I128" s="22"/>
      <c r="J128" s="22"/>
      <c r="K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4" t="str">
        <f aca="false">IFERROR(F129/E129,"")</f>
        <v/>
      </c>
      <c r="H129" s="22"/>
      <c r="I129" s="22"/>
      <c r="J129" s="22"/>
      <c r="K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4" t="str">
        <f aca="false">IFERROR(F130/E130,"")</f>
        <v/>
      </c>
      <c r="H130" s="22"/>
      <c r="I130" s="22"/>
      <c r="J130" s="22"/>
      <c r="K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4" t="str">
        <f aca="false">IFERROR(F131/E131,"")</f>
        <v/>
      </c>
      <c r="H131" s="22"/>
      <c r="I131" s="22"/>
      <c r="J131" s="22"/>
      <c r="K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4" t="str">
        <f aca="false">IFERROR(F132/E132,"")</f>
        <v/>
      </c>
      <c r="H132" s="22"/>
      <c r="I132" s="22"/>
      <c r="J132" s="22"/>
      <c r="K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4" t="str">
        <f aca="false">IFERROR(F133/E133,"")</f>
        <v/>
      </c>
      <c r="H133" s="22"/>
      <c r="I133" s="22"/>
      <c r="J133" s="22"/>
      <c r="K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4" t="str">
        <f aca="false">IFERROR(F134/E134,"")</f>
        <v/>
      </c>
      <c r="H134" s="22"/>
      <c r="I134" s="22"/>
      <c r="J134" s="22"/>
      <c r="K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4" t="str">
        <f aca="false">IFERROR(F135/E135,"")</f>
        <v/>
      </c>
      <c r="H135" s="22"/>
      <c r="I135" s="22"/>
      <c r="J135" s="22"/>
      <c r="K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4" t="str">
        <f aca="false">IFERROR(F136/E136,"")</f>
        <v/>
      </c>
      <c r="H136" s="22"/>
      <c r="I136" s="22"/>
      <c r="J136" s="22"/>
      <c r="K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4" t="str">
        <f aca="false">IFERROR(F137/E137,"")</f>
        <v/>
      </c>
      <c r="H137" s="22"/>
      <c r="I137" s="22"/>
      <c r="J137" s="22"/>
      <c r="K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4" t="str">
        <f aca="false">IFERROR(F138/E138,"")</f>
        <v/>
      </c>
      <c r="H138" s="22"/>
      <c r="I138" s="22"/>
      <c r="J138" s="22"/>
      <c r="K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4" t="str">
        <f aca="false">IFERROR(F139/E139,"")</f>
        <v/>
      </c>
      <c r="H139" s="22"/>
      <c r="I139" s="22"/>
      <c r="J139" s="22"/>
      <c r="K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4" t="str">
        <f aca="false">IFERROR(F140/E140,"")</f>
        <v/>
      </c>
      <c r="H140" s="22"/>
      <c r="I140" s="22"/>
      <c r="J140" s="22"/>
      <c r="K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4" t="str">
        <f aca="false">IFERROR(F141/E141,"")</f>
        <v/>
      </c>
      <c r="H141" s="22"/>
      <c r="I141" s="22"/>
      <c r="J141" s="22"/>
      <c r="K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4" t="str">
        <f aca="false">IFERROR(F142/E142,"")</f>
        <v/>
      </c>
      <c r="H142" s="22"/>
      <c r="I142" s="22"/>
      <c r="J142" s="22"/>
      <c r="K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4" t="str">
        <f aca="false">IFERROR(F143/E143,"")</f>
        <v/>
      </c>
      <c r="H143" s="22"/>
      <c r="I143" s="22"/>
      <c r="J143" s="22"/>
      <c r="K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4" t="str">
        <f aca="false">IFERROR(F144/E144,"")</f>
        <v/>
      </c>
      <c r="H144" s="22"/>
      <c r="I144" s="22"/>
      <c r="J144" s="22"/>
      <c r="K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4" t="str">
        <f aca="false">IFERROR(F145/E145,"")</f>
        <v/>
      </c>
      <c r="H145" s="22"/>
      <c r="I145" s="22"/>
      <c r="J145" s="22"/>
      <c r="K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4" t="str">
        <f aca="false">IFERROR(F146/E146,"")</f>
        <v/>
      </c>
      <c r="H146" s="22"/>
      <c r="I146" s="22"/>
      <c r="J146" s="22"/>
      <c r="K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4" t="str">
        <f aca="false">IFERROR(F147/E147,"")</f>
        <v/>
      </c>
      <c r="H147" s="22"/>
      <c r="I147" s="22"/>
      <c r="J147" s="22"/>
      <c r="K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4" t="str">
        <f aca="false">IFERROR(F148/E148,"")</f>
        <v/>
      </c>
      <c r="H148" s="22"/>
      <c r="I148" s="22"/>
      <c r="J148" s="22"/>
      <c r="K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4" t="str">
        <f aca="false">IFERROR(F149/E149,"")</f>
        <v/>
      </c>
      <c r="H149" s="22"/>
      <c r="I149" s="22"/>
      <c r="J149" s="22"/>
      <c r="K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4" t="str">
        <f aca="false">IFERROR(F150/E150,"")</f>
        <v/>
      </c>
      <c r="H150" s="22"/>
      <c r="I150" s="22"/>
      <c r="J150" s="22"/>
      <c r="K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4" t="str">
        <f aca="false">IFERROR(F151/E151,"")</f>
        <v/>
      </c>
      <c r="H151" s="22"/>
      <c r="I151" s="22"/>
      <c r="J151" s="22"/>
      <c r="K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4" t="str">
        <f aca="false">IFERROR(F152/E152,"")</f>
        <v/>
      </c>
      <c r="H152" s="22"/>
      <c r="I152" s="22"/>
      <c r="J152" s="22"/>
      <c r="K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4" t="str">
        <f aca="false">IFERROR(F153/E153,"")</f>
        <v/>
      </c>
      <c r="H153" s="22"/>
      <c r="I153" s="22"/>
      <c r="J153" s="22"/>
      <c r="K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4" t="str">
        <f aca="false">IFERROR(F154/E154,"")</f>
        <v/>
      </c>
      <c r="H154" s="22"/>
      <c r="I154" s="22"/>
      <c r="J154" s="22"/>
      <c r="K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4" t="str">
        <f aca="false">IFERROR(F155/E155,"")</f>
        <v/>
      </c>
      <c r="H155" s="22"/>
      <c r="I155" s="22"/>
      <c r="J155" s="22"/>
      <c r="K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4" t="str">
        <f aca="false">IFERROR(F156/E156,"")</f>
        <v/>
      </c>
      <c r="H156" s="22"/>
      <c r="I156" s="22"/>
      <c r="J156" s="22"/>
      <c r="K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4" t="str">
        <f aca="false">IFERROR(F157/E157,"")</f>
        <v/>
      </c>
      <c r="H157" s="22"/>
      <c r="I157" s="22"/>
      <c r="J157" s="22"/>
      <c r="K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4" t="str">
        <f aca="false">IFERROR(F158/E158,"")</f>
        <v/>
      </c>
      <c r="H158" s="22"/>
      <c r="I158" s="22"/>
      <c r="J158" s="22"/>
      <c r="K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4" t="str">
        <f aca="false">IFERROR(F159/E159,"")</f>
        <v/>
      </c>
      <c r="H159" s="22"/>
      <c r="I159" s="22"/>
      <c r="J159" s="22"/>
      <c r="K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4" t="str">
        <f aca="false">IFERROR(F160/E160,"")</f>
        <v/>
      </c>
      <c r="H160" s="22"/>
      <c r="I160" s="22"/>
      <c r="J160" s="22"/>
      <c r="K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4" t="str">
        <f aca="false">IFERROR(F161/E161,"")</f>
        <v/>
      </c>
      <c r="H161" s="22"/>
      <c r="I161" s="22"/>
      <c r="J161" s="22"/>
      <c r="K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4" t="str">
        <f aca="false">IFERROR(F162/E162,"")</f>
        <v/>
      </c>
      <c r="H162" s="22"/>
      <c r="I162" s="22"/>
      <c r="J162" s="22"/>
      <c r="K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4" t="str">
        <f aca="false">IFERROR(F163/E163,"")</f>
        <v/>
      </c>
      <c r="H163" s="22"/>
      <c r="I163" s="22"/>
      <c r="J163" s="22"/>
      <c r="K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4" t="str">
        <f aca="false">IFERROR(F164/E164,"")</f>
        <v/>
      </c>
      <c r="H164" s="22"/>
      <c r="I164" s="22"/>
      <c r="J164" s="22"/>
      <c r="K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4" t="str">
        <f aca="false">IFERROR(F165/E165,"")</f>
        <v/>
      </c>
      <c r="H165" s="22"/>
      <c r="I165" s="22"/>
      <c r="J165" s="22"/>
      <c r="K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4" t="str">
        <f aca="false">IFERROR(F166/E166,"")</f>
        <v/>
      </c>
      <c r="H166" s="22"/>
      <c r="I166" s="22"/>
      <c r="J166" s="22"/>
      <c r="K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4" t="str">
        <f aca="false">IFERROR(F167/E167,"")</f>
        <v/>
      </c>
      <c r="H167" s="22"/>
      <c r="I167" s="22"/>
      <c r="J167" s="22"/>
      <c r="K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4" t="str">
        <f aca="false">IFERROR(F168/E168,"")</f>
        <v/>
      </c>
      <c r="H168" s="22"/>
      <c r="I168" s="22"/>
      <c r="J168" s="22"/>
      <c r="K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4" t="str">
        <f aca="false">IFERROR(F169/E169,"")</f>
        <v/>
      </c>
      <c r="H169" s="22"/>
      <c r="I169" s="22"/>
      <c r="J169" s="22"/>
      <c r="K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4" t="str">
        <f aca="false">IFERROR(F170/E170,"")</f>
        <v/>
      </c>
      <c r="H170" s="22"/>
      <c r="I170" s="22"/>
      <c r="J170" s="22"/>
      <c r="K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4" t="str">
        <f aca="false">IFERROR(F171/E171,"")</f>
        <v/>
      </c>
      <c r="H171" s="22"/>
      <c r="I171" s="22"/>
      <c r="J171" s="22"/>
      <c r="K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4" t="str">
        <f aca="false">IFERROR(F172/E172,"")</f>
        <v/>
      </c>
      <c r="H172" s="22"/>
      <c r="I172" s="22"/>
      <c r="J172" s="22"/>
      <c r="K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4" t="str">
        <f aca="false">IFERROR(F173/E173,"")</f>
        <v/>
      </c>
      <c r="H173" s="22"/>
      <c r="I173" s="22"/>
      <c r="J173" s="22"/>
      <c r="K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4" t="str">
        <f aca="false">IFERROR(F174/E174,"")</f>
        <v/>
      </c>
      <c r="H174" s="22"/>
      <c r="I174" s="22"/>
      <c r="J174" s="22"/>
      <c r="K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4" t="str">
        <f aca="false">IFERROR(F175/E175,"")</f>
        <v/>
      </c>
      <c r="H175" s="22"/>
      <c r="I175" s="22"/>
      <c r="J175" s="22"/>
      <c r="K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4" t="str">
        <f aca="false">IFERROR(F176/E176,"")</f>
        <v/>
      </c>
      <c r="H176" s="22"/>
      <c r="I176" s="22"/>
      <c r="J176" s="22"/>
      <c r="K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4" t="str">
        <f aca="false">IFERROR(F177/E177,"")</f>
        <v/>
      </c>
      <c r="H177" s="22"/>
      <c r="I177" s="22"/>
      <c r="J177" s="22"/>
      <c r="K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4" t="str">
        <f aca="false">IFERROR(F178/E178,"")</f>
        <v/>
      </c>
      <c r="H178" s="22"/>
      <c r="I178" s="22"/>
      <c r="J178" s="22"/>
      <c r="K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4" t="str">
        <f aca="false">IFERROR(F179/E179,"")</f>
        <v/>
      </c>
      <c r="H179" s="22"/>
      <c r="I179" s="22"/>
      <c r="J179" s="22"/>
      <c r="K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4" t="str">
        <f aca="false">IFERROR(F180/E180,"")</f>
        <v/>
      </c>
      <c r="H180" s="22"/>
      <c r="I180" s="22"/>
      <c r="J180" s="22"/>
      <c r="K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4" t="str">
        <f aca="false">IFERROR(F181/E181,"")</f>
        <v/>
      </c>
      <c r="H181" s="22"/>
      <c r="I181" s="22"/>
      <c r="J181" s="22"/>
      <c r="K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4" t="str">
        <f aca="false">IFERROR(F182/E182,"")</f>
        <v/>
      </c>
      <c r="H182" s="22"/>
      <c r="I182" s="22"/>
      <c r="J182" s="22"/>
      <c r="K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4" t="str">
        <f aca="false">IFERROR(F183/E183,"")</f>
        <v/>
      </c>
      <c r="H183" s="22"/>
      <c r="I183" s="22"/>
      <c r="J183" s="22"/>
      <c r="K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4" t="str">
        <f aca="false">IFERROR(F184/E184,"")</f>
        <v/>
      </c>
      <c r="H184" s="22"/>
      <c r="I184" s="22"/>
      <c r="J184" s="22"/>
      <c r="K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4" t="str">
        <f aca="false">IFERROR(F185/E185,"")</f>
        <v/>
      </c>
      <c r="H185" s="22"/>
      <c r="I185" s="22"/>
      <c r="J185" s="22"/>
      <c r="K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4" t="str">
        <f aca="false">IFERROR(F186/E186,"")</f>
        <v/>
      </c>
      <c r="H186" s="22"/>
      <c r="I186" s="22"/>
      <c r="J186" s="22"/>
      <c r="K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4" t="str">
        <f aca="false">IFERROR(F187/E187,"")</f>
        <v/>
      </c>
      <c r="H187" s="22"/>
      <c r="I187" s="22"/>
      <c r="J187" s="22"/>
      <c r="K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4" t="str">
        <f aca="false">IFERROR(F188/E188,"")</f>
        <v/>
      </c>
      <c r="H188" s="22"/>
      <c r="I188" s="22"/>
      <c r="J188" s="22"/>
      <c r="K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4" t="str">
        <f aca="false">IFERROR(F189/E189,"")</f>
        <v/>
      </c>
      <c r="H189" s="22"/>
      <c r="I189" s="22"/>
      <c r="J189" s="22"/>
      <c r="K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4" t="str">
        <f aca="false">IFERROR(F190/E190,"")</f>
        <v/>
      </c>
      <c r="H190" s="22"/>
      <c r="I190" s="22"/>
      <c r="J190" s="22"/>
      <c r="K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4" t="str">
        <f aca="false">IFERROR(F191/E191,"")</f>
        <v/>
      </c>
      <c r="H191" s="22"/>
      <c r="I191" s="22"/>
      <c r="J191" s="22"/>
      <c r="K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4" t="str">
        <f aca="false">IFERROR(F192/E192,"")</f>
        <v/>
      </c>
      <c r="H192" s="22"/>
      <c r="I192" s="22"/>
      <c r="J192" s="22"/>
      <c r="K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4" t="str">
        <f aca="false">IFERROR(F193/E193,"")</f>
        <v/>
      </c>
      <c r="H193" s="22"/>
      <c r="I193" s="22"/>
      <c r="J193" s="22"/>
      <c r="K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4" t="str">
        <f aca="false">IFERROR(F194/E194,"")</f>
        <v/>
      </c>
      <c r="H194" s="22"/>
      <c r="I194" s="22"/>
      <c r="J194" s="22"/>
      <c r="K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4" t="str">
        <f aca="false">IFERROR(F195/E195,"")</f>
        <v/>
      </c>
      <c r="H195" s="22"/>
      <c r="I195" s="22"/>
      <c r="J195" s="22"/>
      <c r="K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4" t="str">
        <f aca="false">IFERROR(F196/E196,"")</f>
        <v/>
      </c>
      <c r="H196" s="22"/>
      <c r="I196" s="22"/>
      <c r="J196" s="22"/>
      <c r="K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4" t="str">
        <f aca="false">IFERROR(F197/E197,"")</f>
        <v/>
      </c>
      <c r="H197" s="22"/>
      <c r="I197" s="22"/>
      <c r="J197" s="22"/>
      <c r="K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4" t="str">
        <f aca="false">IFERROR(F198/E198,"")</f>
        <v/>
      </c>
      <c r="H198" s="22"/>
      <c r="I198" s="22"/>
      <c r="J198" s="22"/>
      <c r="K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4" t="str">
        <f aca="false">IFERROR(F199/E199,"")</f>
        <v/>
      </c>
      <c r="H199" s="22"/>
      <c r="I199" s="22"/>
      <c r="J199" s="22"/>
      <c r="K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4" t="str">
        <f aca="false">IFERROR(F200/E200,"")</f>
        <v/>
      </c>
      <c r="H200" s="22"/>
      <c r="I200" s="22"/>
      <c r="J200" s="22"/>
      <c r="K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4" t="str">
        <f aca="false">IFERROR(F201/E201,"")</f>
        <v/>
      </c>
      <c r="H201" s="22"/>
      <c r="I201" s="22"/>
      <c r="J201" s="22"/>
      <c r="K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4" t="str">
        <f aca="false">IFERROR(F202/E202,"")</f>
        <v/>
      </c>
      <c r="H202" s="22"/>
      <c r="I202" s="22"/>
      <c r="J202" s="22"/>
      <c r="K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4" t="str">
        <f aca="false">IFERROR(F203/E203,"")</f>
        <v/>
      </c>
      <c r="H203" s="22"/>
      <c r="I203" s="22"/>
      <c r="J203" s="22"/>
      <c r="K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4" t="str">
        <f aca="false">IFERROR(F204/E204,"")</f>
        <v/>
      </c>
      <c r="H204" s="22"/>
      <c r="I204" s="22"/>
      <c r="J204" s="22"/>
      <c r="K204" s="22"/>
    </row>
  </sheetData>
  <autoFilter ref="A4:K2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7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5" min="5" style="0" width="9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10" min="8" style="0" width="12"/>
    <col collapsed="false" customWidth="true" hidden="false" outlineLevel="0" max="11" min="11" style="0" width="36"/>
    <col collapsed="false" customWidth="true" hidden="false" outlineLevel="0" max="13" min="12" style="0" width="14"/>
    <col collapsed="false" customWidth="true" hidden="false" outlineLevel="0" max="14" min="14" style="0" width="60"/>
  </cols>
  <sheetData>
    <row r="1" customFormat="false" ht="19.7" hidden="false" customHeight="false" outlineLevel="0" collapsed="false">
      <c r="A1" s="1" t="s">
        <v>654</v>
      </c>
    </row>
    <row r="2" customFormat="false" ht="15" hidden="false" customHeight="false" outlineLevel="0" collapsed="false">
      <c r="A2" s="2" t="s">
        <v>655</v>
      </c>
    </row>
    <row r="4" customFormat="false" ht="31.5" hidden="false" customHeight="true" outlineLevel="0" collapsed="false">
      <c r="A4" s="9" t="s">
        <v>112</v>
      </c>
      <c r="B4" s="9" t="s">
        <v>656</v>
      </c>
      <c r="C4" s="9" t="s">
        <v>636</v>
      </c>
      <c r="D4" s="9" t="s">
        <v>637</v>
      </c>
      <c r="E4" s="9" t="s">
        <v>81</v>
      </c>
      <c r="F4" s="9" t="s">
        <v>638</v>
      </c>
      <c r="G4" s="9" t="s">
        <v>657</v>
      </c>
      <c r="H4" s="9" t="s">
        <v>658</v>
      </c>
      <c r="I4" s="9" t="s">
        <v>659</v>
      </c>
      <c r="J4" s="9" t="s">
        <v>660</v>
      </c>
      <c r="K4" s="9" t="s">
        <v>661</v>
      </c>
      <c r="L4" s="9" t="s">
        <v>662</v>
      </c>
      <c r="M4" s="9" t="s">
        <v>663</v>
      </c>
      <c r="N4" s="9" t="s">
        <v>664</v>
      </c>
    </row>
    <row r="5" customFormat="false" ht="23.85" hidden="false" customHeight="false" outlineLevel="0" collapsed="false">
      <c r="A5" s="22" t="s">
        <v>285</v>
      </c>
      <c r="B5" s="22" t="n">
        <v>1</v>
      </c>
      <c r="C5" s="26" t="n">
        <v>5037</v>
      </c>
      <c r="D5" s="26" t="n">
        <v>15</v>
      </c>
      <c r="E5" s="29" t="n">
        <f aca="false">IFERROR(D5/C5,"")</f>
        <v>0.00297796307325789</v>
      </c>
      <c r="F5" s="30" t="n">
        <v>24.48</v>
      </c>
      <c r="G5" s="24" t="n">
        <f aca="false">IFERROR(C5/$C$16,"")</f>
        <v>0.109889390666928</v>
      </c>
      <c r="H5" s="24" t="n">
        <f aca="false">IFERROR(D5/$D$16,"")</f>
        <v>0.120967741935484</v>
      </c>
      <c r="I5" s="22"/>
      <c r="J5" s="22"/>
      <c r="K5" s="22"/>
      <c r="L5" s="24" t="str">
        <f aca="false">IF(OR(M5="",M5=0,D5=""),"",D5/M5-1)</f>
        <v/>
      </c>
      <c r="M5" s="22"/>
      <c r="N5" s="22" t="s">
        <v>665</v>
      </c>
    </row>
    <row r="6" customFormat="false" ht="15" hidden="false" customHeight="false" outlineLevel="0" collapsed="false">
      <c r="A6" s="22" t="s">
        <v>249</v>
      </c>
      <c r="B6" s="22" t="n">
        <v>1</v>
      </c>
      <c r="C6" s="26" t="n">
        <v>7753</v>
      </c>
      <c r="D6" s="26" t="n">
        <v>14</v>
      </c>
      <c r="E6" s="29" t="n">
        <f aca="false">IFERROR(D6/C6,"")</f>
        <v>0.00180575261189217</v>
      </c>
      <c r="F6" s="30" t="n">
        <v>14.7</v>
      </c>
      <c r="G6" s="24" t="n">
        <f aca="false">IFERROR(C6/$C$16,"")</f>
        <v>0.169142832209787</v>
      </c>
      <c r="H6" s="24" t="n">
        <f aca="false">IFERROR(D6/$D$16,"")</f>
        <v>0.112903225806452</v>
      </c>
      <c r="I6" s="22"/>
      <c r="J6" s="22"/>
      <c r="K6" s="22"/>
      <c r="L6" s="24" t="str">
        <f aca="false">IF(OR(M6="",M6=0,D6=""),"",D6/M6-1)</f>
        <v/>
      </c>
      <c r="M6" s="22"/>
      <c r="N6" s="22" t="s">
        <v>666</v>
      </c>
    </row>
    <row r="7" customFormat="false" ht="23.85" hidden="false" customHeight="false" outlineLevel="0" collapsed="false">
      <c r="A7" s="22" t="s">
        <v>384</v>
      </c>
      <c r="B7" s="22" t="n">
        <v>1</v>
      </c>
      <c r="C7" s="26" t="n">
        <v>13720</v>
      </c>
      <c r="D7" s="26" t="n">
        <v>37</v>
      </c>
      <c r="E7" s="29" t="n">
        <f aca="false">IFERROR(D7/C7,"")</f>
        <v>0.00269679300291545</v>
      </c>
      <c r="F7" s="30" t="n">
        <v>18.27</v>
      </c>
      <c r="G7" s="24" t="n">
        <f aca="false">IFERROR(C7/$C$16,"")</f>
        <v>0.299321508824749</v>
      </c>
      <c r="H7" s="24" t="n">
        <f aca="false">IFERROR(D7/$D$16,"")</f>
        <v>0.298387096774194</v>
      </c>
      <c r="I7" s="22"/>
      <c r="J7" s="22"/>
      <c r="K7" s="22"/>
      <c r="L7" s="24" t="str">
        <f aca="false">IF(OR(M7="",M7=0,D7=""),"",D7/M7-1)</f>
        <v/>
      </c>
      <c r="M7" s="22"/>
      <c r="N7" s="22" t="s">
        <v>667</v>
      </c>
    </row>
    <row r="8" customFormat="false" ht="23.85" hidden="false" customHeight="false" outlineLevel="0" collapsed="false">
      <c r="A8" s="22" t="s">
        <v>668</v>
      </c>
      <c r="B8" s="22" t="n">
        <v>2</v>
      </c>
      <c r="C8" s="26" t="n">
        <v>4176</v>
      </c>
      <c r="D8" s="26" t="n">
        <v>10</v>
      </c>
      <c r="E8" s="29" t="n">
        <f aca="false">IFERROR(D8/C8,"")</f>
        <v>0.00239463601532567</v>
      </c>
      <c r="F8" s="30" t="n">
        <v>11.3</v>
      </c>
      <c r="G8" s="24" t="n">
        <f aca="false">IFERROR(C8/$C$16,"")</f>
        <v>0.0911054388376203</v>
      </c>
      <c r="H8" s="24" t="n">
        <f aca="false">IFERROR(D8/$D$16,"")</f>
        <v>0.0806451612903226</v>
      </c>
      <c r="I8" s="22"/>
      <c r="J8" s="22"/>
      <c r="K8" s="22"/>
      <c r="L8" s="24" t="str">
        <f aca="false">IF(OR(M8="",M8=0,D8=""),"",D8/M8-1)</f>
        <v/>
      </c>
      <c r="M8" s="22"/>
      <c r="N8" s="22" t="s">
        <v>669</v>
      </c>
    </row>
    <row r="9" customFormat="false" ht="23.85" hidden="false" customHeight="false" outlineLevel="0" collapsed="false">
      <c r="A9" s="22" t="s">
        <v>670</v>
      </c>
      <c r="B9" s="22" t="n">
        <v>2</v>
      </c>
      <c r="C9" s="26" t="n">
        <v>1340</v>
      </c>
      <c r="D9" s="26" t="n">
        <v>6</v>
      </c>
      <c r="E9" s="29" t="n">
        <f aca="false">IFERROR(D9/C9,"")</f>
        <v>0.00447761194029851</v>
      </c>
      <c r="F9" s="30" t="n">
        <v>11.99</v>
      </c>
      <c r="G9" s="24" t="n">
        <f aca="false">IFERROR(C9/$C$16,"")</f>
        <v>0.0292340249143705</v>
      </c>
      <c r="H9" s="24" t="n">
        <f aca="false">IFERROR(D9/$D$16,"")</f>
        <v>0.0483870967741936</v>
      </c>
      <c r="I9" s="22"/>
      <c r="J9" s="22"/>
      <c r="K9" s="22"/>
      <c r="L9" s="24" t="str">
        <f aca="false">IF(OR(M9="",M9=0,D9=""),"",D9/M9-1)</f>
        <v/>
      </c>
      <c r="M9" s="22"/>
      <c r="N9" s="22" t="s">
        <v>671</v>
      </c>
    </row>
    <row r="10" customFormat="false" ht="15" hidden="false" customHeight="false" outlineLevel="0" collapsed="false">
      <c r="A10" s="22" t="s">
        <v>672</v>
      </c>
      <c r="B10" s="22" t="n">
        <v>2</v>
      </c>
      <c r="C10" s="26" t="n">
        <v>1376</v>
      </c>
      <c r="D10" s="26" t="n">
        <v>4</v>
      </c>
      <c r="E10" s="29" t="n">
        <f aca="false">IFERROR(D10/C10,"")</f>
        <v>0.00290697674418605</v>
      </c>
      <c r="F10" s="30" t="n">
        <v>11.68</v>
      </c>
      <c r="G10" s="24" t="n">
        <f aca="false">IFERROR(C10/$C$16,"")</f>
        <v>0.0300194166284879</v>
      </c>
      <c r="H10" s="24" t="n">
        <f aca="false">IFERROR(D10/$D$16,"")</f>
        <v>0.032258064516129</v>
      </c>
      <c r="I10" s="22"/>
      <c r="J10" s="22"/>
      <c r="K10" s="22"/>
      <c r="L10" s="24" t="str">
        <f aca="false">IF(OR(M10="",M10=0,D10=""),"",D10/M10-1)</f>
        <v/>
      </c>
      <c r="M10" s="22"/>
      <c r="N10" s="22" t="s">
        <v>673</v>
      </c>
    </row>
    <row r="11" customFormat="false" ht="15" hidden="false" customHeight="false" outlineLevel="0" collapsed="false">
      <c r="A11" s="22" t="s">
        <v>674</v>
      </c>
      <c r="B11" s="22" t="n">
        <v>2</v>
      </c>
      <c r="C11" s="26" t="n">
        <v>1116</v>
      </c>
      <c r="D11" s="26" t="n">
        <v>3</v>
      </c>
      <c r="E11" s="29" t="n">
        <f aca="false">IFERROR(D11/C11,"")</f>
        <v>0.00268817204301075</v>
      </c>
      <c r="F11" s="30" t="n">
        <v>11.66</v>
      </c>
      <c r="G11" s="24" t="n">
        <f aca="false">IFERROR(C11/$C$16,"")</f>
        <v>0.0243471431376399</v>
      </c>
      <c r="H11" s="24" t="n">
        <f aca="false">IFERROR(D11/$D$16,"")</f>
        <v>0.0241935483870968</v>
      </c>
      <c r="I11" s="22"/>
      <c r="J11" s="22"/>
      <c r="K11" s="22"/>
      <c r="L11" s="24" t="str">
        <f aca="false">IF(OR(M11="",M11=0,D11=""),"",D11/M11-1)</f>
        <v/>
      </c>
      <c r="M11" s="22"/>
      <c r="N11" s="22" t="s">
        <v>675</v>
      </c>
    </row>
    <row r="12" customFormat="false" ht="15" hidden="false" customHeight="false" outlineLevel="0" collapsed="false">
      <c r="A12" s="22" t="s">
        <v>676</v>
      </c>
      <c r="B12" s="22" t="n">
        <v>3</v>
      </c>
      <c r="C12" s="26" t="n">
        <v>807</v>
      </c>
      <c r="D12" s="26" t="n">
        <v>4</v>
      </c>
      <c r="E12" s="29" t="n">
        <f aca="false">IFERROR(D12/C12,"")</f>
        <v>0.00495662949194548</v>
      </c>
      <c r="F12" s="30" t="n">
        <v>14.47</v>
      </c>
      <c r="G12" s="24" t="n">
        <f aca="false">IFERROR(C12/$C$16,"")</f>
        <v>0.0176058642581321</v>
      </c>
      <c r="H12" s="24" t="n">
        <f aca="false">IFERROR(D12/$D$16,"")</f>
        <v>0.032258064516129</v>
      </c>
      <c r="I12" s="22"/>
      <c r="J12" s="22"/>
      <c r="K12" s="22"/>
      <c r="L12" s="24" t="str">
        <f aca="false">IF(OR(M12="",M12=0,D12=""),"",D12/M12-1)</f>
        <v/>
      </c>
      <c r="M12" s="22"/>
      <c r="N12" s="22" t="s">
        <v>677</v>
      </c>
    </row>
    <row r="13" customFormat="false" ht="15" hidden="false" customHeight="false" outlineLevel="0" collapsed="false">
      <c r="A13" s="22" t="s">
        <v>678</v>
      </c>
      <c r="B13" s="22" t="n">
        <v>3</v>
      </c>
      <c r="C13" s="26" t="n">
        <v>446</v>
      </c>
      <c r="D13" s="26" t="n">
        <v>4</v>
      </c>
      <c r="E13" s="29" t="n">
        <f aca="false">IFERROR(D13/C13,"")</f>
        <v>0.00896860986547085</v>
      </c>
      <c r="F13" s="30" t="n">
        <v>10.39</v>
      </c>
      <c r="G13" s="24" t="n">
        <f aca="false">IFERROR(C13/$C$16,"")</f>
        <v>0.00973013068045465</v>
      </c>
      <c r="H13" s="24" t="n">
        <f aca="false">IFERROR(D13/$D$16,"")</f>
        <v>0.032258064516129</v>
      </c>
      <c r="I13" s="22"/>
      <c r="J13" s="22"/>
      <c r="K13" s="22"/>
      <c r="L13" s="24" t="str">
        <f aca="false">IF(OR(M13="",M13=0,D13=""),"",D13/M13-1)</f>
        <v/>
      </c>
      <c r="M13" s="22"/>
      <c r="N13" s="22" t="s">
        <v>679</v>
      </c>
    </row>
    <row r="14" customFormat="false" ht="15" hidden="false" customHeight="false" outlineLevel="0" collapsed="false">
      <c r="A14" s="22" t="s">
        <v>680</v>
      </c>
      <c r="B14" s="22" t="n">
        <v>3</v>
      </c>
      <c r="C14" s="26" t="n">
        <v>244</v>
      </c>
      <c r="D14" s="26" t="n">
        <v>3</v>
      </c>
      <c r="E14" s="29" t="n">
        <f aca="false">IFERROR(D14/C14,"")</f>
        <v>0.0122950819672131</v>
      </c>
      <c r="F14" s="30" t="n">
        <v>9.83</v>
      </c>
      <c r="G14" s="24" t="n">
        <f aca="false">IFERROR(C14/$C$16,"")</f>
        <v>0.00532321050679582</v>
      </c>
      <c r="H14" s="24" t="n">
        <f aca="false">IFERROR(D14/$D$16,"")</f>
        <v>0.0241935483870968</v>
      </c>
      <c r="I14" s="22"/>
      <c r="J14" s="22"/>
      <c r="K14" s="22"/>
      <c r="L14" s="24" t="str">
        <f aca="false">IF(OR(M14="",M14=0,D14=""),"",D14/M14-1)</f>
        <v/>
      </c>
      <c r="M14" s="22"/>
      <c r="N14" s="22" t="s">
        <v>681</v>
      </c>
    </row>
    <row r="15" customFormat="false" ht="15" hidden="false" customHeight="false" outlineLevel="0" collapsed="false">
      <c r="A15" s="14" t="s">
        <v>682</v>
      </c>
      <c r="B15" s="14" t="n">
        <v>3</v>
      </c>
      <c r="C15" s="31" t="n">
        <f aca="false">45837-SUM(C5:C14)</f>
        <v>9822</v>
      </c>
      <c r="D15" s="31" t="n">
        <f aca="false">124-SUM(D5:D14)</f>
        <v>24</v>
      </c>
      <c r="E15" s="32" t="n">
        <f aca="false">IFERROR(D15/C15,"")</f>
        <v>0.00244349419670128</v>
      </c>
      <c r="F15" s="33"/>
      <c r="G15" s="15" t="n">
        <f aca="false">IFERROR(C15/$C$16,"")</f>
        <v>0.214281039335035</v>
      </c>
      <c r="H15" s="15" t="n">
        <f aca="false">IFERROR(D15/$D$16,"")</f>
        <v>0.193548387096774</v>
      </c>
      <c r="I15" s="12"/>
      <c r="J15" s="12"/>
      <c r="K15" s="12"/>
      <c r="L15" s="15" t="str">
        <f aca="false">IF(OR(M15="",M15=0,D15=""),"",D15/M15-1)</f>
        <v/>
      </c>
      <c r="M15" s="12"/>
      <c r="N15" s="14" t="s">
        <v>683</v>
      </c>
    </row>
    <row r="16" customFormat="false" ht="15" hidden="false" customHeight="false" outlineLevel="0" collapsed="false">
      <c r="A16" s="6" t="s">
        <v>684</v>
      </c>
      <c r="C16" s="34" t="n">
        <f aca="false">SUM(C5:C15)</f>
        <v>45837</v>
      </c>
      <c r="D16" s="34" t="n">
        <f aca="false">SUM(D5:D15)</f>
        <v>124</v>
      </c>
      <c r="E16" s="35" t="n">
        <f aca="false">IFERROR(D16/C16,"")</f>
        <v>0.00270523812640443</v>
      </c>
      <c r="F16" s="36"/>
      <c r="G16" s="37" t="n">
        <f aca="false">IFERROR(C16/$C$16,"")</f>
        <v>1</v>
      </c>
      <c r="H16" s="37" t="n">
        <f aca="false">IFERROR(D16/$D$16,"")</f>
        <v>1</v>
      </c>
      <c r="L16" s="37" t="str">
        <f aca="false">IF(OR(M16="",M16=0,D16=""),"",D16/M16-1)</f>
        <v/>
      </c>
    </row>
    <row r="18" customFormat="false" ht="15" hidden="false" customHeight="false" outlineLevel="0" collapsed="false">
      <c r="A18" s="2" t="s">
        <v>685</v>
      </c>
    </row>
  </sheetData>
  <autoFilter ref="A4:N16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K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0"/>
    <col collapsed="false" customWidth="true" hidden="false" outlineLevel="0" max="3" min="3" style="0" width="32"/>
    <col collapsed="false" customWidth="true" hidden="false" outlineLevel="0" max="4" min="4" style="0" width="12"/>
    <col collapsed="false" customWidth="true" hidden="false" outlineLevel="0" max="5" min="5" style="0" width="8"/>
    <col collapsed="false" customWidth="true" hidden="false" outlineLevel="0" max="6" min="6" style="0" width="24"/>
    <col collapsed="false" customWidth="true" hidden="false" outlineLevel="0" max="7" min="7" style="0" width="13"/>
    <col collapsed="false" customWidth="true" hidden="false" outlineLevel="0" max="8" min="8" style="0" width="16"/>
    <col collapsed="false" customWidth="true" hidden="false" outlineLevel="0" max="9" min="9" style="0" width="18"/>
    <col collapsed="false" customWidth="true" hidden="false" outlineLevel="0" max="10" min="10" style="0" width="12"/>
    <col collapsed="false" customWidth="true" hidden="false" outlineLevel="0" max="11" min="11" style="0" width="10"/>
  </cols>
  <sheetData>
    <row r="1" customFormat="false" ht="19.7" hidden="false" customHeight="false" outlineLevel="0" collapsed="false">
      <c r="A1" s="1" t="s">
        <v>58</v>
      </c>
    </row>
    <row r="2" customFormat="false" ht="15" hidden="false" customHeight="false" outlineLevel="0" collapsed="false">
      <c r="A2" s="2" t="s">
        <v>686</v>
      </c>
    </row>
    <row r="4" customFormat="false" ht="31.5" hidden="false" customHeight="true" outlineLevel="0" collapsed="false">
      <c r="A4" s="9" t="s">
        <v>687</v>
      </c>
      <c r="B4" s="9" t="s">
        <v>112</v>
      </c>
      <c r="C4" s="9" t="s">
        <v>688</v>
      </c>
      <c r="D4" s="9" t="s">
        <v>689</v>
      </c>
      <c r="E4" s="9" t="s">
        <v>690</v>
      </c>
      <c r="F4" s="9" t="s">
        <v>691</v>
      </c>
      <c r="G4" s="9" t="s">
        <v>692</v>
      </c>
      <c r="H4" s="9" t="s">
        <v>693</v>
      </c>
      <c r="I4" s="9" t="s">
        <v>694</v>
      </c>
      <c r="J4" s="9" t="s">
        <v>636</v>
      </c>
      <c r="K4" s="9" t="s">
        <v>546</v>
      </c>
    </row>
    <row r="5" customFormat="false" ht="15" hidden="false" customHeight="false" outlineLevel="0" collapsed="false">
      <c r="A5" s="22" t="s">
        <v>695</v>
      </c>
      <c r="B5" s="22" t="s">
        <v>384</v>
      </c>
      <c r="C5" s="22" t="s">
        <v>555</v>
      </c>
      <c r="D5" s="22" t="s">
        <v>696</v>
      </c>
      <c r="E5" s="22"/>
      <c r="F5" s="22"/>
      <c r="G5" s="21"/>
      <c r="H5" s="22"/>
      <c r="I5" s="22"/>
      <c r="J5" s="22"/>
      <c r="K5" s="22"/>
    </row>
    <row r="6" customFormat="false" ht="15" hidden="false" customHeight="false" outlineLevel="0" collapsed="false">
      <c r="A6" s="22" t="s">
        <v>697</v>
      </c>
      <c r="B6" s="22" t="s">
        <v>249</v>
      </c>
      <c r="C6" s="22" t="s">
        <v>698</v>
      </c>
      <c r="D6" s="22" t="s">
        <v>696</v>
      </c>
      <c r="E6" s="22"/>
      <c r="F6" s="22"/>
      <c r="G6" s="21"/>
      <c r="H6" s="22"/>
      <c r="I6" s="22"/>
      <c r="J6" s="22"/>
      <c r="K6" s="22"/>
    </row>
    <row r="7" customFormat="false" ht="15" hidden="false" customHeight="false" outlineLevel="0" collapsed="false">
      <c r="A7" s="22" t="s">
        <v>699</v>
      </c>
      <c r="B7" s="22" t="s">
        <v>140</v>
      </c>
      <c r="C7" s="22" t="s">
        <v>700</v>
      </c>
      <c r="D7" s="22" t="s">
        <v>696</v>
      </c>
      <c r="E7" s="22"/>
      <c r="F7" s="22"/>
      <c r="G7" s="21"/>
      <c r="H7" s="22"/>
      <c r="I7" s="22"/>
      <c r="J7" s="22"/>
      <c r="K7" s="22"/>
    </row>
    <row r="8" customFormat="false" ht="15" hidden="false" customHeight="false" outlineLevel="0" collapsed="false">
      <c r="A8" s="22" t="s">
        <v>559</v>
      </c>
      <c r="B8" s="22" t="s">
        <v>285</v>
      </c>
      <c r="C8" s="22" t="s">
        <v>701</v>
      </c>
      <c r="D8" s="22" t="s">
        <v>696</v>
      </c>
      <c r="E8" s="22"/>
      <c r="F8" s="22"/>
      <c r="G8" s="21"/>
      <c r="H8" s="22"/>
      <c r="I8" s="22"/>
      <c r="J8" s="22"/>
      <c r="K8" s="22"/>
    </row>
    <row r="9" customFormat="false" ht="15" hidden="false" customHeight="false" outlineLevel="0" collapsed="false">
      <c r="A9" s="22" t="s">
        <v>702</v>
      </c>
      <c r="B9" s="22" t="s">
        <v>249</v>
      </c>
      <c r="C9" s="22" t="s">
        <v>557</v>
      </c>
      <c r="D9" s="22" t="s">
        <v>696</v>
      </c>
      <c r="E9" s="22"/>
      <c r="F9" s="22"/>
      <c r="G9" s="21"/>
      <c r="H9" s="22"/>
      <c r="I9" s="22"/>
      <c r="J9" s="22"/>
      <c r="K9" s="22"/>
    </row>
    <row r="10" customFormat="false" ht="15" hidden="false" customHeight="false" outlineLevel="0" collapsed="false">
      <c r="A10" s="22" t="s">
        <v>703</v>
      </c>
      <c r="B10" s="22" t="s">
        <v>285</v>
      </c>
      <c r="C10" s="22" t="s">
        <v>551</v>
      </c>
      <c r="D10" s="22" t="s">
        <v>696</v>
      </c>
      <c r="E10" s="22"/>
      <c r="F10" s="22"/>
      <c r="G10" s="21"/>
      <c r="H10" s="22"/>
      <c r="I10" s="22"/>
      <c r="J10" s="22"/>
      <c r="K10" s="22"/>
    </row>
    <row r="11" customFormat="false" ht="23.85" hidden="false" customHeight="false" outlineLevel="0" collapsed="false">
      <c r="A11" s="22" t="s">
        <v>704</v>
      </c>
      <c r="B11" s="22" t="s">
        <v>140</v>
      </c>
      <c r="C11" s="22" t="s">
        <v>705</v>
      </c>
      <c r="D11" s="22" t="s">
        <v>696</v>
      </c>
      <c r="E11" s="22"/>
      <c r="F11" s="22"/>
      <c r="G11" s="21"/>
      <c r="H11" s="22"/>
      <c r="I11" s="22"/>
      <c r="J11" s="22"/>
      <c r="K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1"/>
      <c r="H12" s="22"/>
      <c r="I12" s="22"/>
      <c r="J12" s="22"/>
      <c r="K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1"/>
      <c r="H13" s="22"/>
      <c r="I13" s="22"/>
      <c r="J13" s="22"/>
      <c r="K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1"/>
      <c r="H14" s="22"/>
      <c r="I14" s="22"/>
      <c r="J14" s="22"/>
      <c r="K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1"/>
      <c r="H15" s="22"/>
      <c r="I15" s="22"/>
      <c r="J15" s="22"/>
      <c r="K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1"/>
      <c r="H16" s="22"/>
      <c r="I16" s="22"/>
      <c r="J16" s="22"/>
      <c r="K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1"/>
      <c r="H17" s="22"/>
      <c r="I17" s="22"/>
      <c r="J17" s="22"/>
      <c r="K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1"/>
      <c r="H18" s="22"/>
      <c r="I18" s="22"/>
      <c r="J18" s="22"/>
      <c r="K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1"/>
      <c r="H19" s="22"/>
      <c r="I19" s="22"/>
      <c r="J19" s="22"/>
      <c r="K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1"/>
      <c r="H20" s="22"/>
      <c r="I20" s="22"/>
      <c r="J20" s="22"/>
      <c r="K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1"/>
      <c r="H21" s="22"/>
      <c r="I21" s="22"/>
      <c r="J21" s="22"/>
      <c r="K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1"/>
      <c r="H22" s="22"/>
      <c r="I22" s="22"/>
      <c r="J22" s="22"/>
      <c r="K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1"/>
      <c r="H23" s="22"/>
      <c r="I23" s="22"/>
      <c r="J23" s="22"/>
      <c r="K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1"/>
      <c r="H24" s="22"/>
      <c r="I24" s="22"/>
      <c r="J24" s="22"/>
      <c r="K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1"/>
      <c r="H25" s="22"/>
      <c r="I25" s="22"/>
      <c r="J25" s="22"/>
      <c r="K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1"/>
      <c r="H26" s="22"/>
      <c r="I26" s="22"/>
      <c r="J26" s="22"/>
      <c r="K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1"/>
      <c r="H27" s="22"/>
      <c r="I27" s="22"/>
      <c r="J27" s="22"/>
      <c r="K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1"/>
      <c r="H28" s="22"/>
      <c r="I28" s="22"/>
      <c r="J28" s="22"/>
      <c r="K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1"/>
      <c r="H29" s="22"/>
      <c r="I29" s="22"/>
      <c r="J29" s="22"/>
      <c r="K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1"/>
      <c r="H30" s="22"/>
      <c r="I30" s="22"/>
      <c r="J30" s="22"/>
      <c r="K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1"/>
      <c r="H31" s="22"/>
      <c r="I31" s="22"/>
      <c r="J31" s="22"/>
      <c r="K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1"/>
      <c r="H32" s="22"/>
      <c r="I32" s="22"/>
      <c r="J32" s="22"/>
      <c r="K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1"/>
      <c r="H33" s="22"/>
      <c r="I33" s="22"/>
      <c r="J33" s="22"/>
      <c r="K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1"/>
      <c r="H34" s="22"/>
      <c r="I34" s="22"/>
      <c r="J34" s="22"/>
      <c r="K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1"/>
      <c r="H35" s="22"/>
      <c r="I35" s="22"/>
      <c r="J35" s="22"/>
      <c r="K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1"/>
      <c r="H36" s="22"/>
      <c r="I36" s="22"/>
      <c r="J36" s="22"/>
      <c r="K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1"/>
      <c r="H37" s="22"/>
      <c r="I37" s="22"/>
      <c r="J37" s="22"/>
      <c r="K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1"/>
      <c r="H38" s="22"/>
      <c r="I38" s="22"/>
      <c r="J38" s="22"/>
      <c r="K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1"/>
      <c r="H39" s="22"/>
      <c r="I39" s="22"/>
      <c r="J39" s="22"/>
      <c r="K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1"/>
      <c r="H40" s="22"/>
      <c r="I40" s="22"/>
      <c r="J40" s="22"/>
      <c r="K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1"/>
      <c r="H41" s="22"/>
      <c r="I41" s="22"/>
      <c r="J41" s="22"/>
      <c r="K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1"/>
      <c r="H42" s="22"/>
      <c r="I42" s="22"/>
      <c r="J42" s="22"/>
      <c r="K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1"/>
      <c r="H43" s="22"/>
      <c r="I43" s="22"/>
      <c r="J43" s="22"/>
      <c r="K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1"/>
      <c r="H44" s="22"/>
      <c r="I44" s="22"/>
      <c r="J44" s="22"/>
      <c r="K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1"/>
      <c r="H45" s="22"/>
      <c r="I45" s="22"/>
      <c r="J45" s="22"/>
      <c r="K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1"/>
      <c r="H46" s="22"/>
      <c r="I46" s="22"/>
      <c r="J46" s="22"/>
      <c r="K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1"/>
      <c r="H47" s="22"/>
      <c r="I47" s="22"/>
      <c r="J47" s="22"/>
      <c r="K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1"/>
      <c r="H48" s="22"/>
      <c r="I48" s="22"/>
      <c r="J48" s="22"/>
      <c r="K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1"/>
      <c r="H49" s="22"/>
      <c r="I49" s="22"/>
      <c r="J49" s="22"/>
      <c r="K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1"/>
      <c r="H50" s="22"/>
      <c r="I50" s="22"/>
      <c r="J50" s="22"/>
      <c r="K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1"/>
      <c r="H51" s="22"/>
      <c r="I51" s="22"/>
      <c r="J51" s="22"/>
      <c r="K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1"/>
      <c r="H52" s="22"/>
      <c r="I52" s="22"/>
      <c r="J52" s="22"/>
      <c r="K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1"/>
      <c r="H53" s="22"/>
      <c r="I53" s="22"/>
      <c r="J53" s="22"/>
      <c r="K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1"/>
      <c r="H54" s="22"/>
      <c r="I54" s="22"/>
      <c r="J54" s="22"/>
      <c r="K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1"/>
      <c r="H55" s="22"/>
      <c r="I55" s="22"/>
      <c r="J55" s="22"/>
      <c r="K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1"/>
      <c r="H56" s="22"/>
      <c r="I56" s="22"/>
      <c r="J56" s="22"/>
      <c r="K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1"/>
      <c r="H57" s="22"/>
      <c r="I57" s="22"/>
      <c r="J57" s="22"/>
      <c r="K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1"/>
      <c r="H58" s="22"/>
      <c r="I58" s="22"/>
      <c r="J58" s="22"/>
      <c r="K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1"/>
      <c r="H59" s="22"/>
      <c r="I59" s="22"/>
      <c r="J59" s="22"/>
      <c r="K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1"/>
      <c r="H60" s="22"/>
      <c r="I60" s="22"/>
      <c r="J60" s="22"/>
      <c r="K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1"/>
      <c r="H61" s="22"/>
      <c r="I61" s="22"/>
      <c r="J61" s="22"/>
      <c r="K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1"/>
      <c r="H62" s="22"/>
      <c r="I62" s="22"/>
      <c r="J62" s="22"/>
      <c r="K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1"/>
      <c r="H63" s="22"/>
      <c r="I63" s="22"/>
      <c r="J63" s="22"/>
      <c r="K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1"/>
      <c r="H64" s="22"/>
      <c r="I64" s="22"/>
      <c r="J64" s="22"/>
      <c r="K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1"/>
      <c r="H65" s="22"/>
      <c r="I65" s="22"/>
      <c r="J65" s="22"/>
      <c r="K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1"/>
      <c r="H66" s="22"/>
      <c r="I66" s="22"/>
      <c r="J66" s="22"/>
      <c r="K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1"/>
      <c r="H67" s="22"/>
      <c r="I67" s="22"/>
      <c r="J67" s="22"/>
      <c r="K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1"/>
      <c r="H68" s="22"/>
      <c r="I68" s="22"/>
      <c r="J68" s="22"/>
      <c r="K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1"/>
      <c r="H69" s="22"/>
      <c r="I69" s="22"/>
      <c r="J69" s="22"/>
      <c r="K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1"/>
      <c r="H70" s="22"/>
      <c r="I70" s="22"/>
      <c r="J70" s="22"/>
      <c r="K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1"/>
      <c r="H71" s="22"/>
      <c r="I71" s="22"/>
      <c r="J71" s="22"/>
      <c r="K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1"/>
      <c r="H72" s="22"/>
      <c r="I72" s="22"/>
      <c r="J72" s="22"/>
      <c r="K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1"/>
      <c r="H73" s="22"/>
      <c r="I73" s="22"/>
      <c r="J73" s="22"/>
      <c r="K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1"/>
      <c r="H74" s="22"/>
      <c r="I74" s="22"/>
      <c r="J74" s="22"/>
      <c r="K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1"/>
      <c r="H75" s="22"/>
      <c r="I75" s="22"/>
      <c r="J75" s="22"/>
      <c r="K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1"/>
      <c r="H76" s="22"/>
      <c r="I76" s="22"/>
      <c r="J76" s="22"/>
      <c r="K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1"/>
      <c r="H77" s="22"/>
      <c r="I77" s="22"/>
      <c r="J77" s="22"/>
      <c r="K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1"/>
      <c r="H78" s="22"/>
      <c r="I78" s="22"/>
      <c r="J78" s="22"/>
      <c r="K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1"/>
      <c r="H79" s="22"/>
      <c r="I79" s="22"/>
      <c r="J79" s="22"/>
      <c r="K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1"/>
      <c r="H80" s="22"/>
      <c r="I80" s="22"/>
      <c r="J80" s="22"/>
      <c r="K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1"/>
      <c r="H81" s="22"/>
      <c r="I81" s="22"/>
      <c r="J81" s="22"/>
      <c r="K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1"/>
      <c r="H82" s="22"/>
      <c r="I82" s="22"/>
      <c r="J82" s="22"/>
      <c r="K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1"/>
      <c r="H83" s="22"/>
      <c r="I83" s="22"/>
      <c r="J83" s="22"/>
      <c r="K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1"/>
      <c r="H84" s="22"/>
      <c r="I84" s="22"/>
      <c r="J84" s="22"/>
      <c r="K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1"/>
      <c r="H85" s="22"/>
      <c r="I85" s="22"/>
      <c r="J85" s="22"/>
      <c r="K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1"/>
      <c r="H86" s="22"/>
      <c r="I86" s="22"/>
      <c r="J86" s="22"/>
      <c r="K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1"/>
      <c r="H87" s="22"/>
      <c r="I87" s="22"/>
      <c r="J87" s="22"/>
      <c r="K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1"/>
      <c r="H88" s="22"/>
      <c r="I88" s="22"/>
      <c r="J88" s="22"/>
      <c r="K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1"/>
      <c r="H89" s="22"/>
      <c r="I89" s="22"/>
      <c r="J89" s="22"/>
      <c r="K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1"/>
      <c r="H90" s="22"/>
      <c r="I90" s="22"/>
      <c r="J90" s="22"/>
      <c r="K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1"/>
      <c r="H91" s="22"/>
      <c r="I91" s="22"/>
      <c r="J91" s="22"/>
      <c r="K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1"/>
      <c r="H92" s="22"/>
      <c r="I92" s="22"/>
      <c r="J92" s="22"/>
      <c r="K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1"/>
      <c r="H93" s="22"/>
      <c r="I93" s="22"/>
      <c r="J93" s="22"/>
      <c r="K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1"/>
      <c r="H94" s="22"/>
      <c r="I94" s="22"/>
      <c r="J94" s="22"/>
      <c r="K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1"/>
      <c r="H95" s="22"/>
      <c r="I95" s="22"/>
      <c r="J95" s="22"/>
      <c r="K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1"/>
      <c r="H96" s="22"/>
      <c r="I96" s="22"/>
      <c r="J96" s="22"/>
      <c r="K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1"/>
      <c r="H97" s="22"/>
      <c r="I97" s="22"/>
      <c r="J97" s="22"/>
      <c r="K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1"/>
      <c r="H98" s="22"/>
      <c r="I98" s="22"/>
      <c r="J98" s="22"/>
      <c r="K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1"/>
      <c r="H99" s="22"/>
      <c r="I99" s="22"/>
      <c r="J99" s="22"/>
      <c r="K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1"/>
      <c r="H100" s="22"/>
      <c r="I100" s="22"/>
      <c r="J100" s="22"/>
      <c r="K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1"/>
      <c r="H101" s="22"/>
      <c r="I101" s="22"/>
      <c r="J101" s="22"/>
      <c r="K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1"/>
      <c r="H102" s="22"/>
      <c r="I102" s="22"/>
      <c r="J102" s="22"/>
      <c r="K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1"/>
      <c r="H103" s="22"/>
      <c r="I103" s="22"/>
      <c r="J103" s="22"/>
      <c r="K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1"/>
      <c r="H104" s="22"/>
      <c r="I104" s="22"/>
      <c r="J104" s="22"/>
      <c r="K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1"/>
      <c r="H105" s="22"/>
      <c r="I105" s="22"/>
      <c r="J105" s="22"/>
      <c r="K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1"/>
      <c r="H106" s="22"/>
      <c r="I106" s="22"/>
      <c r="J106" s="22"/>
      <c r="K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1"/>
      <c r="H107" s="22"/>
      <c r="I107" s="22"/>
      <c r="J107" s="22"/>
      <c r="K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1"/>
      <c r="H108" s="22"/>
      <c r="I108" s="22"/>
      <c r="J108" s="22"/>
      <c r="K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1"/>
      <c r="H109" s="22"/>
      <c r="I109" s="22"/>
      <c r="J109" s="22"/>
      <c r="K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1"/>
      <c r="H110" s="22"/>
      <c r="I110" s="22"/>
      <c r="J110" s="22"/>
      <c r="K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1"/>
      <c r="H111" s="22"/>
      <c r="I111" s="22"/>
      <c r="J111" s="22"/>
      <c r="K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1"/>
      <c r="H112" s="22"/>
      <c r="I112" s="22"/>
      <c r="J112" s="22"/>
      <c r="K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1"/>
      <c r="H113" s="22"/>
      <c r="I113" s="22"/>
      <c r="J113" s="22"/>
      <c r="K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1"/>
      <c r="H114" s="22"/>
      <c r="I114" s="22"/>
      <c r="J114" s="22"/>
      <c r="K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1"/>
      <c r="H115" s="22"/>
      <c r="I115" s="22"/>
      <c r="J115" s="22"/>
      <c r="K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1"/>
      <c r="H116" s="22"/>
      <c r="I116" s="22"/>
      <c r="J116" s="22"/>
      <c r="K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1"/>
      <c r="H117" s="22"/>
      <c r="I117" s="22"/>
      <c r="J117" s="22"/>
      <c r="K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1"/>
      <c r="H118" s="22"/>
      <c r="I118" s="22"/>
      <c r="J118" s="22"/>
      <c r="K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1"/>
      <c r="H119" s="22"/>
      <c r="I119" s="22"/>
      <c r="J119" s="22"/>
      <c r="K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1"/>
      <c r="H120" s="22"/>
      <c r="I120" s="22"/>
      <c r="J120" s="22"/>
      <c r="K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1"/>
      <c r="H121" s="22"/>
      <c r="I121" s="22"/>
      <c r="J121" s="22"/>
      <c r="K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1"/>
      <c r="H122" s="22"/>
      <c r="I122" s="22"/>
      <c r="J122" s="22"/>
      <c r="K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1"/>
      <c r="H123" s="22"/>
      <c r="I123" s="22"/>
      <c r="J123" s="22"/>
      <c r="K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1"/>
      <c r="H124" s="22"/>
      <c r="I124" s="22"/>
      <c r="J124" s="22"/>
      <c r="K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1"/>
      <c r="H125" s="22"/>
      <c r="I125" s="22"/>
      <c r="J125" s="22"/>
      <c r="K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1"/>
      <c r="H126" s="22"/>
      <c r="I126" s="22"/>
      <c r="J126" s="22"/>
      <c r="K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1"/>
      <c r="H127" s="22"/>
      <c r="I127" s="22"/>
      <c r="J127" s="22"/>
      <c r="K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1"/>
      <c r="H128" s="22"/>
      <c r="I128" s="22"/>
      <c r="J128" s="22"/>
      <c r="K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1"/>
      <c r="H129" s="22"/>
      <c r="I129" s="22"/>
      <c r="J129" s="22"/>
      <c r="K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1"/>
      <c r="H130" s="22"/>
      <c r="I130" s="22"/>
      <c r="J130" s="22"/>
      <c r="K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1"/>
      <c r="H131" s="22"/>
      <c r="I131" s="22"/>
      <c r="J131" s="22"/>
      <c r="K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1"/>
      <c r="H132" s="22"/>
      <c r="I132" s="22"/>
      <c r="J132" s="22"/>
      <c r="K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1"/>
      <c r="H133" s="22"/>
      <c r="I133" s="22"/>
      <c r="J133" s="22"/>
      <c r="K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1"/>
      <c r="H134" s="22"/>
      <c r="I134" s="22"/>
      <c r="J134" s="22"/>
      <c r="K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1"/>
      <c r="H135" s="22"/>
      <c r="I135" s="22"/>
      <c r="J135" s="22"/>
      <c r="K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1"/>
      <c r="H136" s="22"/>
      <c r="I136" s="22"/>
      <c r="J136" s="22"/>
      <c r="K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1"/>
      <c r="H137" s="22"/>
      <c r="I137" s="22"/>
      <c r="J137" s="22"/>
      <c r="K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1"/>
      <c r="H138" s="22"/>
      <c r="I138" s="22"/>
      <c r="J138" s="22"/>
      <c r="K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1"/>
      <c r="H139" s="22"/>
      <c r="I139" s="22"/>
      <c r="J139" s="22"/>
      <c r="K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1"/>
      <c r="H140" s="22"/>
      <c r="I140" s="22"/>
      <c r="J140" s="22"/>
      <c r="K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1"/>
      <c r="H141" s="22"/>
      <c r="I141" s="22"/>
      <c r="J141" s="22"/>
      <c r="K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1"/>
      <c r="H142" s="22"/>
      <c r="I142" s="22"/>
      <c r="J142" s="22"/>
      <c r="K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1"/>
      <c r="H143" s="22"/>
      <c r="I143" s="22"/>
      <c r="J143" s="22"/>
      <c r="K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1"/>
      <c r="H144" s="22"/>
      <c r="I144" s="22"/>
      <c r="J144" s="22"/>
      <c r="K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1"/>
      <c r="H145" s="22"/>
      <c r="I145" s="22"/>
      <c r="J145" s="22"/>
      <c r="K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1"/>
      <c r="H146" s="22"/>
      <c r="I146" s="22"/>
      <c r="J146" s="22"/>
      <c r="K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1"/>
      <c r="H147" s="22"/>
      <c r="I147" s="22"/>
      <c r="J147" s="22"/>
      <c r="K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1"/>
      <c r="H148" s="22"/>
      <c r="I148" s="22"/>
      <c r="J148" s="22"/>
      <c r="K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1"/>
      <c r="H149" s="22"/>
      <c r="I149" s="22"/>
      <c r="J149" s="22"/>
      <c r="K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1"/>
      <c r="H150" s="22"/>
      <c r="I150" s="22"/>
      <c r="J150" s="22"/>
      <c r="K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1"/>
      <c r="H151" s="22"/>
      <c r="I151" s="22"/>
      <c r="J151" s="22"/>
      <c r="K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1"/>
      <c r="H152" s="22"/>
      <c r="I152" s="22"/>
      <c r="J152" s="22"/>
      <c r="K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1"/>
      <c r="H153" s="22"/>
      <c r="I153" s="22"/>
      <c r="J153" s="22"/>
      <c r="K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1"/>
      <c r="H154" s="22"/>
      <c r="I154" s="22"/>
      <c r="J154" s="22"/>
      <c r="K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1"/>
      <c r="H155" s="22"/>
      <c r="I155" s="22"/>
      <c r="J155" s="22"/>
      <c r="K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1"/>
      <c r="H156" s="22"/>
      <c r="I156" s="22"/>
      <c r="J156" s="22"/>
      <c r="K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1"/>
      <c r="H157" s="22"/>
      <c r="I157" s="22"/>
      <c r="J157" s="22"/>
      <c r="K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1"/>
      <c r="H158" s="22"/>
      <c r="I158" s="22"/>
      <c r="J158" s="22"/>
      <c r="K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1"/>
      <c r="H159" s="22"/>
      <c r="I159" s="22"/>
      <c r="J159" s="22"/>
      <c r="K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1"/>
      <c r="H160" s="22"/>
      <c r="I160" s="22"/>
      <c r="J160" s="22"/>
      <c r="K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1"/>
      <c r="H161" s="22"/>
      <c r="I161" s="22"/>
      <c r="J161" s="22"/>
      <c r="K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1"/>
      <c r="H162" s="22"/>
      <c r="I162" s="22"/>
      <c r="J162" s="22"/>
      <c r="K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1"/>
      <c r="H163" s="22"/>
      <c r="I163" s="22"/>
      <c r="J163" s="22"/>
      <c r="K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1"/>
      <c r="H164" s="22"/>
      <c r="I164" s="22"/>
      <c r="J164" s="22"/>
      <c r="K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1"/>
      <c r="H165" s="22"/>
      <c r="I165" s="22"/>
      <c r="J165" s="22"/>
      <c r="K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1"/>
      <c r="H166" s="22"/>
      <c r="I166" s="22"/>
      <c r="J166" s="22"/>
      <c r="K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1"/>
      <c r="H167" s="22"/>
      <c r="I167" s="22"/>
      <c r="J167" s="22"/>
      <c r="K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1"/>
      <c r="H168" s="22"/>
      <c r="I168" s="22"/>
      <c r="J168" s="22"/>
      <c r="K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1"/>
      <c r="H169" s="22"/>
      <c r="I169" s="22"/>
      <c r="J169" s="22"/>
      <c r="K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1"/>
      <c r="H170" s="22"/>
      <c r="I170" s="22"/>
      <c r="J170" s="22"/>
      <c r="K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1"/>
      <c r="H171" s="22"/>
      <c r="I171" s="22"/>
      <c r="J171" s="22"/>
      <c r="K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1"/>
      <c r="H172" s="22"/>
      <c r="I172" s="22"/>
      <c r="J172" s="22"/>
      <c r="K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1"/>
      <c r="H173" s="22"/>
      <c r="I173" s="22"/>
      <c r="J173" s="22"/>
      <c r="K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1"/>
      <c r="H174" s="22"/>
      <c r="I174" s="22"/>
      <c r="J174" s="22"/>
      <c r="K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1"/>
      <c r="H175" s="22"/>
      <c r="I175" s="22"/>
      <c r="J175" s="22"/>
      <c r="K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1"/>
      <c r="H176" s="22"/>
      <c r="I176" s="22"/>
      <c r="J176" s="22"/>
      <c r="K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1"/>
      <c r="H177" s="22"/>
      <c r="I177" s="22"/>
      <c r="J177" s="22"/>
      <c r="K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1"/>
      <c r="H178" s="22"/>
      <c r="I178" s="22"/>
      <c r="J178" s="22"/>
      <c r="K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1"/>
      <c r="H179" s="22"/>
      <c r="I179" s="22"/>
      <c r="J179" s="22"/>
      <c r="K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1"/>
      <c r="H180" s="22"/>
      <c r="I180" s="22"/>
      <c r="J180" s="22"/>
      <c r="K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1"/>
      <c r="H181" s="22"/>
      <c r="I181" s="22"/>
      <c r="J181" s="22"/>
      <c r="K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1"/>
      <c r="H182" s="22"/>
      <c r="I182" s="22"/>
      <c r="J182" s="22"/>
      <c r="K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1"/>
      <c r="H183" s="22"/>
      <c r="I183" s="22"/>
      <c r="J183" s="22"/>
      <c r="K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1"/>
      <c r="H184" s="22"/>
      <c r="I184" s="22"/>
      <c r="J184" s="22"/>
      <c r="K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1"/>
      <c r="H185" s="22"/>
      <c r="I185" s="22"/>
      <c r="J185" s="22"/>
      <c r="K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1"/>
      <c r="H186" s="22"/>
      <c r="I186" s="22"/>
      <c r="J186" s="22"/>
      <c r="K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1"/>
      <c r="H187" s="22"/>
      <c r="I187" s="22"/>
      <c r="J187" s="22"/>
      <c r="K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1"/>
      <c r="H188" s="22"/>
      <c r="I188" s="22"/>
      <c r="J188" s="22"/>
      <c r="K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1"/>
      <c r="H189" s="22"/>
      <c r="I189" s="22"/>
      <c r="J189" s="22"/>
      <c r="K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1"/>
      <c r="H190" s="22"/>
      <c r="I190" s="22"/>
      <c r="J190" s="22"/>
      <c r="K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1"/>
      <c r="H191" s="22"/>
      <c r="I191" s="22"/>
      <c r="J191" s="22"/>
      <c r="K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1"/>
      <c r="H192" s="22"/>
      <c r="I192" s="22"/>
      <c r="J192" s="22"/>
      <c r="K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1"/>
      <c r="H193" s="22"/>
      <c r="I193" s="22"/>
      <c r="J193" s="22"/>
      <c r="K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1"/>
      <c r="H194" s="22"/>
      <c r="I194" s="22"/>
      <c r="J194" s="22"/>
      <c r="K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1"/>
      <c r="H195" s="22"/>
      <c r="I195" s="22"/>
      <c r="J195" s="22"/>
      <c r="K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1"/>
      <c r="H196" s="22"/>
      <c r="I196" s="22"/>
      <c r="J196" s="22"/>
      <c r="K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1"/>
      <c r="H197" s="22"/>
      <c r="I197" s="22"/>
      <c r="J197" s="22"/>
      <c r="K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1"/>
      <c r="H198" s="22"/>
      <c r="I198" s="22"/>
      <c r="J198" s="22"/>
      <c r="K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1"/>
      <c r="H199" s="22"/>
      <c r="I199" s="22"/>
      <c r="J199" s="22"/>
      <c r="K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1"/>
      <c r="H200" s="22"/>
      <c r="I200" s="22"/>
      <c r="J200" s="22"/>
      <c r="K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1"/>
      <c r="H201" s="22"/>
      <c r="I201" s="22"/>
      <c r="J201" s="22"/>
      <c r="K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1"/>
      <c r="H202" s="22"/>
      <c r="I202" s="22"/>
      <c r="J202" s="22"/>
      <c r="K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1"/>
      <c r="H203" s="22"/>
      <c r="I203" s="22"/>
      <c r="J203" s="22"/>
      <c r="K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1"/>
      <c r="H204" s="22"/>
      <c r="I204" s="22"/>
      <c r="J204" s="22"/>
      <c r="K204" s="22"/>
    </row>
  </sheetData>
  <autoFilter ref="A4:K204"/>
  <dataValidations count="1">
    <dataValidation allowBlank="true" errorStyle="stop" operator="between" showDropDown="false" showErrorMessage="false" showInputMessage="false" sqref="B5:B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5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52"/>
    <col collapsed="false" customWidth="true" hidden="false" outlineLevel="0" max="3" min="3" style="0" width="16"/>
    <col collapsed="false" customWidth="true" hidden="false" outlineLevel="0" max="4" min="4" style="0" width="22"/>
    <col collapsed="false" customWidth="true" hidden="false" outlineLevel="0" max="5" min="5" style="0" width="14"/>
    <col collapsed="false" customWidth="true" hidden="false" outlineLevel="0" max="6" min="6" style="0" width="34"/>
    <col collapsed="false" customWidth="true" hidden="false" outlineLevel="0" max="7" min="7" style="0" width="10"/>
    <col collapsed="false" customWidth="true" hidden="false" outlineLevel="0" max="8" min="8" style="0" width="34"/>
    <col collapsed="false" customWidth="true" hidden="false" outlineLevel="0" max="9" min="9" style="0" width="12"/>
    <col collapsed="false" customWidth="true" hidden="false" outlineLevel="0" max="10" min="10" style="0" width="30"/>
    <col collapsed="false" customWidth="true" hidden="false" outlineLevel="0" max="12" min="12" style="0" width="30"/>
  </cols>
  <sheetData>
    <row r="1" customFormat="false" ht="19.7" hidden="false" customHeight="false" outlineLevel="0" collapsed="false">
      <c r="A1" s="1" t="s">
        <v>706</v>
      </c>
    </row>
    <row r="2" customFormat="false" ht="15" hidden="false" customHeight="false" outlineLevel="0" collapsed="false">
      <c r="A2" s="2" t="s">
        <v>707</v>
      </c>
    </row>
    <row r="4" customFormat="false" ht="31.5" hidden="false" customHeight="true" outlineLevel="0" collapsed="false">
      <c r="A4" s="9" t="s">
        <v>708</v>
      </c>
      <c r="B4" s="9" t="s">
        <v>709</v>
      </c>
      <c r="C4" s="9" t="s">
        <v>710</v>
      </c>
      <c r="D4" s="9" t="s">
        <v>711</v>
      </c>
      <c r="E4" s="9" t="s">
        <v>712</v>
      </c>
      <c r="F4" s="9" t="s">
        <v>713</v>
      </c>
      <c r="G4" s="9" t="s">
        <v>714</v>
      </c>
      <c r="H4" s="9" t="s">
        <v>715</v>
      </c>
      <c r="I4" s="9" t="s">
        <v>716</v>
      </c>
      <c r="J4" s="9" t="s">
        <v>137</v>
      </c>
      <c r="L4" s="6" t="s">
        <v>717</v>
      </c>
    </row>
    <row r="5" customFormat="false" ht="15" hidden="false" customHeight="false" outlineLevel="0" collapsed="false">
      <c r="A5" s="38" t="n">
        <v>46296</v>
      </c>
      <c r="B5" s="22" t="s">
        <v>718</v>
      </c>
      <c r="C5" s="22" t="s">
        <v>719</v>
      </c>
      <c r="D5" s="22" t="s">
        <v>720</v>
      </c>
      <c r="E5" s="22"/>
      <c r="F5" s="22"/>
      <c r="G5" s="22"/>
      <c r="H5" s="22"/>
      <c r="I5" s="22"/>
      <c r="J5" s="22"/>
      <c r="L5" s="37" t="str">
        <f aca="false">IFERROR(COUNTIF(E5:E504,"Y")/COUNTA(E5:E504),"")</f>
        <v/>
      </c>
    </row>
    <row r="6" customFormat="false" ht="15" hidden="false" customHeight="false" outlineLevel="0" collapsed="false">
      <c r="A6" s="38" t="n">
        <v>46296</v>
      </c>
      <c r="B6" s="22" t="s">
        <v>721</v>
      </c>
      <c r="C6" s="22" t="s">
        <v>384</v>
      </c>
      <c r="D6" s="22" t="s">
        <v>722</v>
      </c>
      <c r="E6" s="22"/>
      <c r="F6" s="22"/>
      <c r="G6" s="22"/>
      <c r="H6" s="22"/>
      <c r="I6" s="22"/>
      <c r="J6" s="22"/>
    </row>
    <row r="7" customFormat="false" ht="15" hidden="false" customHeight="false" outlineLevel="0" collapsed="false">
      <c r="A7" s="38" t="n">
        <v>46296</v>
      </c>
      <c r="B7" s="22" t="s">
        <v>723</v>
      </c>
      <c r="C7" s="22" t="s">
        <v>249</v>
      </c>
      <c r="D7" s="22" t="s">
        <v>724</v>
      </c>
      <c r="E7" s="22"/>
      <c r="F7" s="22"/>
      <c r="G7" s="22"/>
      <c r="H7" s="22"/>
      <c r="I7" s="22"/>
      <c r="J7" s="22"/>
    </row>
    <row r="8" customFormat="false" ht="23.85" hidden="false" customHeight="false" outlineLevel="0" collapsed="false">
      <c r="A8" s="38" t="n">
        <v>46296</v>
      </c>
      <c r="B8" s="22" t="s">
        <v>725</v>
      </c>
      <c r="C8" s="22" t="s">
        <v>719</v>
      </c>
      <c r="D8" s="22" t="s">
        <v>726</v>
      </c>
      <c r="E8" s="22"/>
      <c r="F8" s="22"/>
      <c r="G8" s="22"/>
      <c r="H8" s="22"/>
      <c r="I8" s="22"/>
      <c r="J8" s="22"/>
    </row>
    <row r="9" customFormat="false" ht="15" hidden="false" customHeight="false" outlineLevel="0" collapsed="false">
      <c r="A9" s="38"/>
      <c r="B9" s="22"/>
      <c r="C9" s="22"/>
      <c r="D9" s="22"/>
      <c r="E9" s="22"/>
      <c r="F9" s="22"/>
      <c r="G9" s="22"/>
      <c r="H9" s="22"/>
      <c r="I9" s="22"/>
      <c r="J9" s="22"/>
    </row>
    <row r="10" customFormat="false" ht="15" hidden="false" customHeight="false" outlineLevel="0" collapsed="false">
      <c r="A10" s="38"/>
      <c r="B10" s="22"/>
      <c r="C10" s="22"/>
      <c r="D10" s="22"/>
      <c r="E10" s="22"/>
      <c r="F10" s="22"/>
      <c r="G10" s="22"/>
      <c r="H10" s="22"/>
      <c r="I10" s="22"/>
      <c r="J10" s="22"/>
    </row>
    <row r="11" customFormat="false" ht="15" hidden="false" customHeight="false" outlineLevel="0" collapsed="false">
      <c r="A11" s="38"/>
      <c r="B11" s="22"/>
      <c r="C11" s="22"/>
      <c r="D11" s="22"/>
      <c r="E11" s="22"/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38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38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38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38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38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38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38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38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38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38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38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38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38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38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38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38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38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38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38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38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38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38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38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38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38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38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38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38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38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38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38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38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38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38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38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38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38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38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38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38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38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38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38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38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38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38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38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38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38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38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38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38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38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38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38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38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38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38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38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38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38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38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38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38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38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38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38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38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38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38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38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38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38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38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38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38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38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38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38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38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38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38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38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38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38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38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38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38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38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38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38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38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38"/>
      <c r="B104" s="22"/>
      <c r="C104" s="22"/>
      <c r="D104" s="22"/>
      <c r="E104" s="22"/>
      <c r="F104" s="22"/>
      <c r="G104" s="22"/>
      <c r="H104" s="22"/>
      <c r="I104" s="22"/>
      <c r="J104" s="22"/>
    </row>
    <row r="105" customFormat="false" ht="15" hidden="false" customHeight="false" outlineLevel="0" collapsed="false">
      <c r="A105" s="38"/>
      <c r="B105" s="22"/>
      <c r="C105" s="22"/>
      <c r="D105" s="22"/>
      <c r="E105" s="22"/>
      <c r="F105" s="22"/>
      <c r="G105" s="22"/>
      <c r="H105" s="22"/>
      <c r="I105" s="22"/>
      <c r="J105" s="22"/>
    </row>
    <row r="106" customFormat="false" ht="15" hidden="false" customHeight="false" outlineLevel="0" collapsed="false">
      <c r="A106" s="38"/>
      <c r="B106" s="22"/>
      <c r="C106" s="22"/>
      <c r="D106" s="22"/>
      <c r="E106" s="22"/>
      <c r="F106" s="22"/>
      <c r="G106" s="22"/>
      <c r="H106" s="22"/>
      <c r="I106" s="22"/>
      <c r="J106" s="22"/>
    </row>
    <row r="107" customFormat="false" ht="15" hidden="false" customHeight="false" outlineLevel="0" collapsed="false">
      <c r="A107" s="38"/>
      <c r="B107" s="22"/>
      <c r="C107" s="22"/>
      <c r="D107" s="22"/>
      <c r="E107" s="22"/>
      <c r="F107" s="22"/>
      <c r="G107" s="22"/>
      <c r="H107" s="22"/>
      <c r="I107" s="22"/>
      <c r="J107" s="22"/>
    </row>
    <row r="108" customFormat="false" ht="15" hidden="false" customHeight="false" outlineLevel="0" collapsed="false">
      <c r="A108" s="38"/>
      <c r="B108" s="22"/>
      <c r="C108" s="22"/>
      <c r="D108" s="22"/>
      <c r="E108" s="22"/>
      <c r="F108" s="22"/>
      <c r="G108" s="22"/>
      <c r="H108" s="22"/>
      <c r="I108" s="22"/>
      <c r="J108" s="22"/>
    </row>
    <row r="109" customFormat="false" ht="15" hidden="false" customHeight="false" outlineLevel="0" collapsed="false">
      <c r="A109" s="38"/>
      <c r="B109" s="22"/>
      <c r="C109" s="22"/>
      <c r="D109" s="22"/>
      <c r="E109" s="22"/>
      <c r="F109" s="22"/>
      <c r="G109" s="22"/>
      <c r="H109" s="22"/>
      <c r="I109" s="22"/>
      <c r="J109" s="22"/>
    </row>
    <row r="110" customFormat="false" ht="15" hidden="false" customHeight="false" outlineLevel="0" collapsed="false">
      <c r="A110" s="38"/>
      <c r="B110" s="22"/>
      <c r="C110" s="22"/>
      <c r="D110" s="22"/>
      <c r="E110" s="22"/>
      <c r="F110" s="22"/>
      <c r="G110" s="22"/>
      <c r="H110" s="22"/>
      <c r="I110" s="22"/>
      <c r="J110" s="22"/>
    </row>
    <row r="111" customFormat="false" ht="15" hidden="false" customHeight="false" outlineLevel="0" collapsed="false">
      <c r="A111" s="38"/>
      <c r="B111" s="22"/>
      <c r="C111" s="22"/>
      <c r="D111" s="22"/>
      <c r="E111" s="22"/>
      <c r="F111" s="22"/>
      <c r="G111" s="22"/>
      <c r="H111" s="22"/>
      <c r="I111" s="22"/>
      <c r="J111" s="22"/>
    </row>
    <row r="112" customFormat="false" ht="15" hidden="false" customHeight="false" outlineLevel="0" collapsed="false">
      <c r="A112" s="38"/>
      <c r="B112" s="22"/>
      <c r="C112" s="22"/>
      <c r="D112" s="22"/>
      <c r="E112" s="22"/>
      <c r="F112" s="22"/>
      <c r="G112" s="22"/>
      <c r="H112" s="22"/>
      <c r="I112" s="22"/>
      <c r="J112" s="22"/>
    </row>
    <row r="113" customFormat="false" ht="15" hidden="false" customHeight="false" outlineLevel="0" collapsed="false">
      <c r="A113" s="38"/>
      <c r="B113" s="22"/>
      <c r="C113" s="22"/>
      <c r="D113" s="22"/>
      <c r="E113" s="22"/>
      <c r="F113" s="22"/>
      <c r="G113" s="22"/>
      <c r="H113" s="22"/>
      <c r="I113" s="22"/>
      <c r="J113" s="22"/>
    </row>
    <row r="114" customFormat="false" ht="15" hidden="false" customHeight="false" outlineLevel="0" collapsed="false">
      <c r="A114" s="38"/>
      <c r="B114" s="22"/>
      <c r="C114" s="22"/>
      <c r="D114" s="22"/>
      <c r="E114" s="22"/>
      <c r="F114" s="22"/>
      <c r="G114" s="22"/>
      <c r="H114" s="22"/>
      <c r="I114" s="22"/>
      <c r="J114" s="22"/>
    </row>
    <row r="115" customFormat="false" ht="15" hidden="false" customHeight="false" outlineLevel="0" collapsed="false">
      <c r="A115" s="38"/>
      <c r="B115" s="22"/>
      <c r="C115" s="22"/>
      <c r="D115" s="22"/>
      <c r="E115" s="22"/>
      <c r="F115" s="22"/>
      <c r="G115" s="22"/>
      <c r="H115" s="22"/>
      <c r="I115" s="22"/>
      <c r="J115" s="22"/>
    </row>
    <row r="116" customFormat="false" ht="15" hidden="false" customHeight="false" outlineLevel="0" collapsed="false">
      <c r="A116" s="38"/>
      <c r="B116" s="22"/>
      <c r="C116" s="22"/>
      <c r="D116" s="22"/>
      <c r="E116" s="22"/>
      <c r="F116" s="22"/>
      <c r="G116" s="22"/>
      <c r="H116" s="22"/>
      <c r="I116" s="22"/>
      <c r="J116" s="22"/>
    </row>
    <row r="117" customFormat="false" ht="15" hidden="false" customHeight="false" outlineLevel="0" collapsed="false">
      <c r="A117" s="38"/>
      <c r="B117" s="22"/>
      <c r="C117" s="22"/>
      <c r="D117" s="22"/>
      <c r="E117" s="22"/>
      <c r="F117" s="22"/>
      <c r="G117" s="22"/>
      <c r="H117" s="22"/>
      <c r="I117" s="22"/>
      <c r="J117" s="22"/>
    </row>
    <row r="118" customFormat="false" ht="15" hidden="false" customHeight="false" outlineLevel="0" collapsed="false">
      <c r="A118" s="38"/>
      <c r="B118" s="22"/>
      <c r="C118" s="22"/>
      <c r="D118" s="22"/>
      <c r="E118" s="22"/>
      <c r="F118" s="22"/>
      <c r="G118" s="22"/>
      <c r="H118" s="22"/>
      <c r="I118" s="22"/>
      <c r="J118" s="22"/>
    </row>
    <row r="119" customFormat="false" ht="15" hidden="false" customHeight="false" outlineLevel="0" collapsed="false">
      <c r="A119" s="38"/>
      <c r="B119" s="22"/>
      <c r="C119" s="22"/>
      <c r="D119" s="22"/>
      <c r="E119" s="22"/>
      <c r="F119" s="22"/>
      <c r="G119" s="22"/>
      <c r="H119" s="22"/>
      <c r="I119" s="22"/>
      <c r="J119" s="22"/>
    </row>
    <row r="120" customFormat="false" ht="15" hidden="false" customHeight="false" outlineLevel="0" collapsed="false">
      <c r="A120" s="38"/>
      <c r="B120" s="22"/>
      <c r="C120" s="22"/>
      <c r="D120" s="22"/>
      <c r="E120" s="22"/>
      <c r="F120" s="22"/>
      <c r="G120" s="22"/>
      <c r="H120" s="22"/>
      <c r="I120" s="22"/>
      <c r="J120" s="22"/>
    </row>
    <row r="121" customFormat="false" ht="15" hidden="false" customHeight="false" outlineLevel="0" collapsed="false">
      <c r="A121" s="38"/>
      <c r="B121" s="22"/>
      <c r="C121" s="22"/>
      <c r="D121" s="22"/>
      <c r="E121" s="22"/>
      <c r="F121" s="22"/>
      <c r="G121" s="22"/>
      <c r="H121" s="22"/>
      <c r="I121" s="22"/>
      <c r="J121" s="22"/>
    </row>
    <row r="122" customFormat="false" ht="15" hidden="false" customHeight="false" outlineLevel="0" collapsed="false">
      <c r="A122" s="38"/>
      <c r="B122" s="22"/>
      <c r="C122" s="22"/>
      <c r="D122" s="22"/>
      <c r="E122" s="22"/>
      <c r="F122" s="22"/>
      <c r="G122" s="22"/>
      <c r="H122" s="22"/>
      <c r="I122" s="22"/>
      <c r="J122" s="22"/>
    </row>
    <row r="123" customFormat="false" ht="15" hidden="false" customHeight="false" outlineLevel="0" collapsed="false">
      <c r="A123" s="38"/>
      <c r="B123" s="22"/>
      <c r="C123" s="22"/>
      <c r="D123" s="22"/>
      <c r="E123" s="22"/>
      <c r="F123" s="22"/>
      <c r="G123" s="22"/>
      <c r="H123" s="22"/>
      <c r="I123" s="22"/>
      <c r="J123" s="22"/>
    </row>
    <row r="124" customFormat="false" ht="15" hidden="false" customHeight="false" outlineLevel="0" collapsed="false">
      <c r="A124" s="38"/>
      <c r="B124" s="22"/>
      <c r="C124" s="22"/>
      <c r="D124" s="22"/>
      <c r="E124" s="22"/>
      <c r="F124" s="22"/>
      <c r="G124" s="22"/>
      <c r="H124" s="22"/>
      <c r="I124" s="22"/>
      <c r="J124" s="22"/>
    </row>
    <row r="125" customFormat="false" ht="15" hidden="false" customHeight="false" outlineLevel="0" collapsed="false">
      <c r="A125" s="38"/>
      <c r="B125" s="22"/>
      <c r="C125" s="22"/>
      <c r="D125" s="22"/>
      <c r="E125" s="22"/>
      <c r="F125" s="22"/>
      <c r="G125" s="22"/>
      <c r="H125" s="22"/>
      <c r="I125" s="22"/>
      <c r="J125" s="22"/>
    </row>
    <row r="126" customFormat="false" ht="15" hidden="false" customHeight="false" outlineLevel="0" collapsed="false">
      <c r="A126" s="38"/>
      <c r="B126" s="22"/>
      <c r="C126" s="22"/>
      <c r="D126" s="22"/>
      <c r="E126" s="22"/>
      <c r="F126" s="22"/>
      <c r="G126" s="22"/>
      <c r="H126" s="22"/>
      <c r="I126" s="22"/>
      <c r="J126" s="22"/>
    </row>
    <row r="127" customFormat="false" ht="15" hidden="false" customHeight="false" outlineLevel="0" collapsed="false">
      <c r="A127" s="38"/>
      <c r="B127" s="22"/>
      <c r="C127" s="22"/>
      <c r="D127" s="22"/>
      <c r="E127" s="22"/>
      <c r="F127" s="22"/>
      <c r="G127" s="22"/>
      <c r="H127" s="22"/>
      <c r="I127" s="22"/>
      <c r="J127" s="22"/>
    </row>
    <row r="128" customFormat="false" ht="15" hidden="false" customHeight="false" outlineLevel="0" collapsed="false">
      <c r="A128" s="38"/>
      <c r="B128" s="22"/>
      <c r="C128" s="22"/>
      <c r="D128" s="22"/>
      <c r="E128" s="22"/>
      <c r="F128" s="22"/>
      <c r="G128" s="22"/>
      <c r="H128" s="22"/>
      <c r="I128" s="22"/>
      <c r="J128" s="22"/>
    </row>
    <row r="129" customFormat="false" ht="15" hidden="false" customHeight="false" outlineLevel="0" collapsed="false">
      <c r="A129" s="38"/>
      <c r="B129" s="22"/>
      <c r="C129" s="22"/>
      <c r="D129" s="22"/>
      <c r="E129" s="22"/>
      <c r="F129" s="22"/>
      <c r="G129" s="22"/>
      <c r="H129" s="22"/>
      <c r="I129" s="22"/>
      <c r="J129" s="22"/>
    </row>
    <row r="130" customFormat="false" ht="15" hidden="false" customHeight="false" outlineLevel="0" collapsed="false">
      <c r="A130" s="38"/>
      <c r="B130" s="22"/>
      <c r="C130" s="22"/>
      <c r="D130" s="22"/>
      <c r="E130" s="22"/>
      <c r="F130" s="22"/>
      <c r="G130" s="22"/>
      <c r="H130" s="22"/>
      <c r="I130" s="22"/>
      <c r="J130" s="22"/>
    </row>
    <row r="131" customFormat="false" ht="15" hidden="false" customHeight="false" outlineLevel="0" collapsed="false">
      <c r="A131" s="38"/>
      <c r="B131" s="22"/>
      <c r="C131" s="22"/>
      <c r="D131" s="22"/>
      <c r="E131" s="22"/>
      <c r="F131" s="22"/>
      <c r="G131" s="22"/>
      <c r="H131" s="22"/>
      <c r="I131" s="22"/>
      <c r="J131" s="22"/>
    </row>
    <row r="132" customFormat="false" ht="15" hidden="false" customHeight="false" outlineLevel="0" collapsed="false">
      <c r="A132" s="38"/>
      <c r="B132" s="22"/>
      <c r="C132" s="22"/>
      <c r="D132" s="22"/>
      <c r="E132" s="22"/>
      <c r="F132" s="22"/>
      <c r="G132" s="22"/>
      <c r="H132" s="22"/>
      <c r="I132" s="22"/>
      <c r="J132" s="22"/>
    </row>
    <row r="133" customFormat="false" ht="15" hidden="false" customHeight="false" outlineLevel="0" collapsed="false">
      <c r="A133" s="38"/>
      <c r="B133" s="22"/>
      <c r="C133" s="22"/>
      <c r="D133" s="22"/>
      <c r="E133" s="22"/>
      <c r="F133" s="22"/>
      <c r="G133" s="22"/>
      <c r="H133" s="22"/>
      <c r="I133" s="22"/>
      <c r="J133" s="22"/>
    </row>
    <row r="134" customFormat="false" ht="15" hidden="false" customHeight="false" outlineLevel="0" collapsed="false">
      <c r="A134" s="38"/>
      <c r="B134" s="22"/>
      <c r="C134" s="22"/>
      <c r="D134" s="22"/>
      <c r="E134" s="22"/>
      <c r="F134" s="22"/>
      <c r="G134" s="22"/>
      <c r="H134" s="22"/>
      <c r="I134" s="22"/>
      <c r="J134" s="22"/>
    </row>
    <row r="135" customFormat="false" ht="15" hidden="false" customHeight="false" outlineLevel="0" collapsed="false">
      <c r="A135" s="38"/>
      <c r="B135" s="22"/>
      <c r="C135" s="22"/>
      <c r="D135" s="22"/>
      <c r="E135" s="22"/>
      <c r="F135" s="22"/>
      <c r="G135" s="22"/>
      <c r="H135" s="22"/>
      <c r="I135" s="22"/>
      <c r="J135" s="22"/>
    </row>
    <row r="136" customFormat="false" ht="15" hidden="false" customHeight="false" outlineLevel="0" collapsed="false">
      <c r="A136" s="38"/>
      <c r="B136" s="22"/>
      <c r="C136" s="22"/>
      <c r="D136" s="22"/>
      <c r="E136" s="22"/>
      <c r="F136" s="22"/>
      <c r="G136" s="22"/>
      <c r="H136" s="22"/>
      <c r="I136" s="22"/>
      <c r="J136" s="22"/>
    </row>
    <row r="137" customFormat="false" ht="15" hidden="false" customHeight="false" outlineLevel="0" collapsed="false">
      <c r="A137" s="38"/>
      <c r="B137" s="22"/>
      <c r="C137" s="22"/>
      <c r="D137" s="22"/>
      <c r="E137" s="22"/>
      <c r="F137" s="22"/>
      <c r="G137" s="22"/>
      <c r="H137" s="22"/>
      <c r="I137" s="22"/>
      <c r="J137" s="22"/>
    </row>
    <row r="138" customFormat="false" ht="15" hidden="false" customHeight="false" outlineLevel="0" collapsed="false">
      <c r="A138" s="38"/>
      <c r="B138" s="22"/>
      <c r="C138" s="22"/>
      <c r="D138" s="22"/>
      <c r="E138" s="22"/>
      <c r="F138" s="22"/>
      <c r="G138" s="22"/>
      <c r="H138" s="22"/>
      <c r="I138" s="22"/>
      <c r="J138" s="22"/>
    </row>
    <row r="139" customFormat="false" ht="15" hidden="false" customHeight="false" outlineLevel="0" collapsed="false">
      <c r="A139" s="38"/>
      <c r="B139" s="22"/>
      <c r="C139" s="22"/>
      <c r="D139" s="22"/>
      <c r="E139" s="22"/>
      <c r="F139" s="22"/>
      <c r="G139" s="22"/>
      <c r="H139" s="22"/>
      <c r="I139" s="22"/>
      <c r="J139" s="22"/>
    </row>
    <row r="140" customFormat="false" ht="15" hidden="false" customHeight="false" outlineLevel="0" collapsed="false">
      <c r="A140" s="38"/>
      <c r="B140" s="22"/>
      <c r="C140" s="22"/>
      <c r="D140" s="22"/>
      <c r="E140" s="22"/>
      <c r="F140" s="22"/>
      <c r="G140" s="22"/>
      <c r="H140" s="22"/>
      <c r="I140" s="22"/>
      <c r="J140" s="22"/>
    </row>
    <row r="141" customFormat="false" ht="15" hidden="false" customHeight="false" outlineLevel="0" collapsed="false">
      <c r="A141" s="38"/>
      <c r="B141" s="22"/>
      <c r="C141" s="22"/>
      <c r="D141" s="22"/>
      <c r="E141" s="22"/>
      <c r="F141" s="22"/>
      <c r="G141" s="22"/>
      <c r="H141" s="22"/>
      <c r="I141" s="22"/>
      <c r="J141" s="22"/>
    </row>
    <row r="142" customFormat="false" ht="15" hidden="false" customHeight="false" outlineLevel="0" collapsed="false">
      <c r="A142" s="38"/>
      <c r="B142" s="22"/>
      <c r="C142" s="22"/>
      <c r="D142" s="22"/>
      <c r="E142" s="22"/>
      <c r="F142" s="22"/>
      <c r="G142" s="22"/>
      <c r="H142" s="22"/>
      <c r="I142" s="22"/>
      <c r="J142" s="22"/>
    </row>
    <row r="143" customFormat="false" ht="15" hidden="false" customHeight="false" outlineLevel="0" collapsed="false">
      <c r="A143" s="38"/>
      <c r="B143" s="22"/>
      <c r="C143" s="22"/>
      <c r="D143" s="22"/>
      <c r="E143" s="22"/>
      <c r="F143" s="22"/>
      <c r="G143" s="22"/>
      <c r="H143" s="22"/>
      <c r="I143" s="22"/>
      <c r="J143" s="22"/>
    </row>
    <row r="144" customFormat="false" ht="15" hidden="false" customHeight="false" outlineLevel="0" collapsed="false">
      <c r="A144" s="38"/>
      <c r="B144" s="22"/>
      <c r="C144" s="22"/>
      <c r="D144" s="22"/>
      <c r="E144" s="22"/>
      <c r="F144" s="22"/>
      <c r="G144" s="22"/>
      <c r="H144" s="22"/>
      <c r="I144" s="22"/>
      <c r="J144" s="22"/>
    </row>
    <row r="145" customFormat="false" ht="15" hidden="false" customHeight="false" outlineLevel="0" collapsed="false">
      <c r="A145" s="38"/>
      <c r="B145" s="22"/>
      <c r="C145" s="22"/>
      <c r="D145" s="22"/>
      <c r="E145" s="22"/>
      <c r="F145" s="22"/>
      <c r="G145" s="22"/>
      <c r="H145" s="22"/>
      <c r="I145" s="22"/>
      <c r="J145" s="22"/>
    </row>
    <row r="146" customFormat="false" ht="15" hidden="false" customHeight="false" outlineLevel="0" collapsed="false">
      <c r="A146" s="38"/>
      <c r="B146" s="22"/>
      <c r="C146" s="22"/>
      <c r="D146" s="22"/>
      <c r="E146" s="22"/>
      <c r="F146" s="22"/>
      <c r="G146" s="22"/>
      <c r="H146" s="22"/>
      <c r="I146" s="22"/>
      <c r="J146" s="22"/>
    </row>
    <row r="147" customFormat="false" ht="15" hidden="false" customHeight="false" outlineLevel="0" collapsed="false">
      <c r="A147" s="38"/>
      <c r="B147" s="22"/>
      <c r="C147" s="22"/>
      <c r="D147" s="22"/>
      <c r="E147" s="22"/>
      <c r="F147" s="22"/>
      <c r="G147" s="22"/>
      <c r="H147" s="22"/>
      <c r="I147" s="22"/>
      <c r="J147" s="22"/>
    </row>
    <row r="148" customFormat="false" ht="15" hidden="false" customHeight="false" outlineLevel="0" collapsed="false">
      <c r="A148" s="38"/>
      <c r="B148" s="22"/>
      <c r="C148" s="22"/>
      <c r="D148" s="22"/>
      <c r="E148" s="22"/>
      <c r="F148" s="22"/>
      <c r="G148" s="22"/>
      <c r="H148" s="22"/>
      <c r="I148" s="22"/>
      <c r="J148" s="22"/>
    </row>
    <row r="149" customFormat="false" ht="15" hidden="false" customHeight="false" outlineLevel="0" collapsed="false">
      <c r="A149" s="38"/>
      <c r="B149" s="22"/>
      <c r="C149" s="22"/>
      <c r="D149" s="22"/>
      <c r="E149" s="22"/>
      <c r="F149" s="22"/>
      <c r="G149" s="22"/>
      <c r="H149" s="22"/>
      <c r="I149" s="22"/>
      <c r="J149" s="22"/>
    </row>
    <row r="150" customFormat="false" ht="15" hidden="false" customHeight="false" outlineLevel="0" collapsed="false">
      <c r="A150" s="38"/>
      <c r="B150" s="22"/>
      <c r="C150" s="22"/>
      <c r="D150" s="22"/>
      <c r="E150" s="22"/>
      <c r="F150" s="22"/>
      <c r="G150" s="22"/>
      <c r="H150" s="22"/>
      <c r="I150" s="22"/>
      <c r="J150" s="22"/>
    </row>
    <row r="151" customFormat="false" ht="15" hidden="false" customHeight="false" outlineLevel="0" collapsed="false">
      <c r="A151" s="38"/>
      <c r="B151" s="22"/>
      <c r="C151" s="22"/>
      <c r="D151" s="22"/>
      <c r="E151" s="22"/>
      <c r="F151" s="22"/>
      <c r="G151" s="22"/>
      <c r="H151" s="22"/>
      <c r="I151" s="22"/>
      <c r="J151" s="22"/>
    </row>
    <row r="152" customFormat="false" ht="15" hidden="false" customHeight="false" outlineLevel="0" collapsed="false">
      <c r="A152" s="38"/>
      <c r="B152" s="22"/>
      <c r="C152" s="22"/>
      <c r="D152" s="22"/>
      <c r="E152" s="22"/>
      <c r="F152" s="22"/>
      <c r="G152" s="22"/>
      <c r="H152" s="22"/>
      <c r="I152" s="22"/>
      <c r="J152" s="22"/>
    </row>
    <row r="153" customFormat="false" ht="15" hidden="false" customHeight="false" outlineLevel="0" collapsed="false">
      <c r="A153" s="38"/>
      <c r="B153" s="22"/>
      <c r="C153" s="22"/>
      <c r="D153" s="22"/>
      <c r="E153" s="22"/>
      <c r="F153" s="22"/>
      <c r="G153" s="22"/>
      <c r="H153" s="22"/>
      <c r="I153" s="22"/>
      <c r="J153" s="22"/>
    </row>
    <row r="154" customFormat="false" ht="15" hidden="false" customHeight="false" outlineLevel="0" collapsed="false">
      <c r="A154" s="38"/>
      <c r="B154" s="22"/>
      <c r="C154" s="22"/>
      <c r="D154" s="22"/>
      <c r="E154" s="22"/>
      <c r="F154" s="22"/>
      <c r="G154" s="22"/>
      <c r="H154" s="22"/>
      <c r="I154" s="22"/>
      <c r="J154" s="22"/>
    </row>
    <row r="155" customFormat="false" ht="15" hidden="false" customHeight="false" outlineLevel="0" collapsed="false">
      <c r="A155" s="38"/>
      <c r="B155" s="22"/>
      <c r="C155" s="22"/>
      <c r="D155" s="22"/>
      <c r="E155" s="22"/>
      <c r="F155" s="22"/>
      <c r="G155" s="22"/>
      <c r="H155" s="22"/>
      <c r="I155" s="22"/>
      <c r="J155" s="22"/>
    </row>
    <row r="156" customFormat="false" ht="15" hidden="false" customHeight="false" outlineLevel="0" collapsed="false">
      <c r="A156" s="38"/>
      <c r="B156" s="22"/>
      <c r="C156" s="22"/>
      <c r="D156" s="22"/>
      <c r="E156" s="22"/>
      <c r="F156" s="22"/>
      <c r="G156" s="22"/>
      <c r="H156" s="22"/>
      <c r="I156" s="22"/>
      <c r="J156" s="22"/>
    </row>
    <row r="157" customFormat="false" ht="15" hidden="false" customHeight="false" outlineLevel="0" collapsed="false">
      <c r="A157" s="38"/>
      <c r="B157" s="22"/>
      <c r="C157" s="22"/>
      <c r="D157" s="22"/>
      <c r="E157" s="22"/>
      <c r="F157" s="22"/>
      <c r="G157" s="22"/>
      <c r="H157" s="22"/>
      <c r="I157" s="22"/>
      <c r="J157" s="22"/>
    </row>
    <row r="158" customFormat="false" ht="15" hidden="false" customHeight="false" outlineLevel="0" collapsed="false">
      <c r="A158" s="38"/>
      <c r="B158" s="22"/>
      <c r="C158" s="22"/>
      <c r="D158" s="22"/>
      <c r="E158" s="22"/>
      <c r="F158" s="22"/>
      <c r="G158" s="22"/>
      <c r="H158" s="22"/>
      <c r="I158" s="22"/>
      <c r="J158" s="22"/>
    </row>
    <row r="159" customFormat="false" ht="15" hidden="false" customHeight="false" outlineLevel="0" collapsed="false">
      <c r="A159" s="38"/>
      <c r="B159" s="22"/>
      <c r="C159" s="22"/>
      <c r="D159" s="22"/>
      <c r="E159" s="22"/>
      <c r="F159" s="22"/>
      <c r="G159" s="22"/>
      <c r="H159" s="22"/>
      <c r="I159" s="22"/>
      <c r="J159" s="22"/>
    </row>
    <row r="160" customFormat="false" ht="15" hidden="false" customHeight="false" outlineLevel="0" collapsed="false">
      <c r="A160" s="38"/>
      <c r="B160" s="22"/>
      <c r="C160" s="22"/>
      <c r="D160" s="22"/>
      <c r="E160" s="22"/>
      <c r="F160" s="22"/>
      <c r="G160" s="22"/>
      <c r="H160" s="22"/>
      <c r="I160" s="22"/>
      <c r="J160" s="22"/>
    </row>
    <row r="161" customFormat="false" ht="15" hidden="false" customHeight="false" outlineLevel="0" collapsed="false">
      <c r="A161" s="38"/>
      <c r="B161" s="22"/>
      <c r="C161" s="22"/>
      <c r="D161" s="22"/>
      <c r="E161" s="22"/>
      <c r="F161" s="22"/>
      <c r="G161" s="22"/>
      <c r="H161" s="22"/>
      <c r="I161" s="22"/>
      <c r="J161" s="22"/>
    </row>
    <row r="162" customFormat="false" ht="15" hidden="false" customHeight="false" outlineLevel="0" collapsed="false">
      <c r="A162" s="38"/>
      <c r="B162" s="22"/>
      <c r="C162" s="22"/>
      <c r="D162" s="22"/>
      <c r="E162" s="22"/>
      <c r="F162" s="22"/>
      <c r="G162" s="22"/>
      <c r="H162" s="22"/>
      <c r="I162" s="22"/>
      <c r="J162" s="22"/>
    </row>
    <row r="163" customFormat="false" ht="15" hidden="false" customHeight="false" outlineLevel="0" collapsed="false">
      <c r="A163" s="38"/>
      <c r="B163" s="22"/>
      <c r="C163" s="22"/>
      <c r="D163" s="22"/>
      <c r="E163" s="22"/>
      <c r="F163" s="22"/>
      <c r="G163" s="22"/>
      <c r="H163" s="22"/>
      <c r="I163" s="22"/>
      <c r="J163" s="22"/>
    </row>
    <row r="164" customFormat="false" ht="15" hidden="false" customHeight="false" outlineLevel="0" collapsed="false">
      <c r="A164" s="38"/>
      <c r="B164" s="22"/>
      <c r="C164" s="22"/>
      <c r="D164" s="22"/>
      <c r="E164" s="22"/>
      <c r="F164" s="22"/>
      <c r="G164" s="22"/>
      <c r="H164" s="22"/>
      <c r="I164" s="22"/>
      <c r="J164" s="22"/>
    </row>
    <row r="165" customFormat="false" ht="15" hidden="false" customHeight="false" outlineLevel="0" collapsed="false">
      <c r="A165" s="38"/>
      <c r="B165" s="22"/>
      <c r="C165" s="22"/>
      <c r="D165" s="22"/>
      <c r="E165" s="22"/>
      <c r="F165" s="22"/>
      <c r="G165" s="22"/>
      <c r="H165" s="22"/>
      <c r="I165" s="22"/>
      <c r="J165" s="22"/>
    </row>
    <row r="166" customFormat="false" ht="15" hidden="false" customHeight="false" outlineLevel="0" collapsed="false">
      <c r="A166" s="38"/>
      <c r="B166" s="22"/>
      <c r="C166" s="22"/>
      <c r="D166" s="22"/>
      <c r="E166" s="22"/>
      <c r="F166" s="22"/>
      <c r="G166" s="22"/>
      <c r="H166" s="22"/>
      <c r="I166" s="22"/>
      <c r="J166" s="22"/>
    </row>
    <row r="167" customFormat="false" ht="15" hidden="false" customHeight="false" outlineLevel="0" collapsed="false">
      <c r="A167" s="38"/>
      <c r="B167" s="22"/>
      <c r="C167" s="22"/>
      <c r="D167" s="22"/>
      <c r="E167" s="22"/>
      <c r="F167" s="22"/>
      <c r="G167" s="22"/>
      <c r="H167" s="22"/>
      <c r="I167" s="22"/>
      <c r="J167" s="22"/>
    </row>
    <row r="168" customFormat="false" ht="15" hidden="false" customHeight="false" outlineLevel="0" collapsed="false">
      <c r="A168" s="38"/>
      <c r="B168" s="22"/>
      <c r="C168" s="22"/>
      <c r="D168" s="22"/>
      <c r="E168" s="22"/>
      <c r="F168" s="22"/>
      <c r="G168" s="22"/>
      <c r="H168" s="22"/>
      <c r="I168" s="22"/>
      <c r="J168" s="22"/>
    </row>
    <row r="169" customFormat="false" ht="15" hidden="false" customHeight="false" outlineLevel="0" collapsed="false">
      <c r="A169" s="38"/>
      <c r="B169" s="22"/>
      <c r="C169" s="22"/>
      <c r="D169" s="22"/>
      <c r="E169" s="22"/>
      <c r="F169" s="22"/>
      <c r="G169" s="22"/>
      <c r="H169" s="22"/>
      <c r="I169" s="22"/>
      <c r="J169" s="22"/>
    </row>
    <row r="170" customFormat="false" ht="15" hidden="false" customHeight="false" outlineLevel="0" collapsed="false">
      <c r="A170" s="38"/>
      <c r="B170" s="22"/>
      <c r="C170" s="22"/>
      <c r="D170" s="22"/>
      <c r="E170" s="22"/>
      <c r="F170" s="22"/>
      <c r="G170" s="22"/>
      <c r="H170" s="22"/>
      <c r="I170" s="22"/>
      <c r="J170" s="22"/>
    </row>
    <row r="171" customFormat="false" ht="15" hidden="false" customHeight="false" outlineLevel="0" collapsed="false">
      <c r="A171" s="38"/>
      <c r="B171" s="22"/>
      <c r="C171" s="22"/>
      <c r="D171" s="22"/>
      <c r="E171" s="22"/>
      <c r="F171" s="22"/>
      <c r="G171" s="22"/>
      <c r="H171" s="22"/>
      <c r="I171" s="22"/>
      <c r="J171" s="22"/>
    </row>
    <row r="172" customFormat="false" ht="15" hidden="false" customHeight="false" outlineLevel="0" collapsed="false">
      <c r="A172" s="38"/>
      <c r="B172" s="22"/>
      <c r="C172" s="22"/>
      <c r="D172" s="22"/>
      <c r="E172" s="22"/>
      <c r="F172" s="22"/>
      <c r="G172" s="22"/>
      <c r="H172" s="22"/>
      <c r="I172" s="22"/>
      <c r="J172" s="22"/>
    </row>
    <row r="173" customFormat="false" ht="15" hidden="false" customHeight="false" outlineLevel="0" collapsed="false">
      <c r="A173" s="38"/>
      <c r="B173" s="22"/>
      <c r="C173" s="22"/>
      <c r="D173" s="22"/>
      <c r="E173" s="22"/>
      <c r="F173" s="22"/>
      <c r="G173" s="22"/>
      <c r="H173" s="22"/>
      <c r="I173" s="22"/>
      <c r="J173" s="22"/>
    </row>
    <row r="174" customFormat="false" ht="15" hidden="false" customHeight="false" outlineLevel="0" collapsed="false">
      <c r="A174" s="38"/>
      <c r="B174" s="22"/>
      <c r="C174" s="22"/>
      <c r="D174" s="22"/>
      <c r="E174" s="22"/>
      <c r="F174" s="22"/>
      <c r="G174" s="22"/>
      <c r="H174" s="22"/>
      <c r="I174" s="22"/>
      <c r="J174" s="22"/>
    </row>
    <row r="175" customFormat="false" ht="15" hidden="false" customHeight="false" outlineLevel="0" collapsed="false">
      <c r="A175" s="38"/>
      <c r="B175" s="22"/>
      <c r="C175" s="22"/>
      <c r="D175" s="22"/>
      <c r="E175" s="22"/>
      <c r="F175" s="22"/>
      <c r="G175" s="22"/>
      <c r="H175" s="22"/>
      <c r="I175" s="22"/>
      <c r="J175" s="22"/>
    </row>
    <row r="176" customFormat="false" ht="15" hidden="false" customHeight="false" outlineLevel="0" collapsed="false">
      <c r="A176" s="38"/>
      <c r="B176" s="22"/>
      <c r="C176" s="22"/>
      <c r="D176" s="22"/>
      <c r="E176" s="22"/>
      <c r="F176" s="22"/>
      <c r="G176" s="22"/>
      <c r="H176" s="22"/>
      <c r="I176" s="22"/>
      <c r="J176" s="22"/>
    </row>
    <row r="177" customFormat="false" ht="15" hidden="false" customHeight="false" outlineLevel="0" collapsed="false">
      <c r="A177" s="38"/>
      <c r="B177" s="22"/>
      <c r="C177" s="22"/>
      <c r="D177" s="22"/>
      <c r="E177" s="22"/>
      <c r="F177" s="22"/>
      <c r="G177" s="22"/>
      <c r="H177" s="22"/>
      <c r="I177" s="22"/>
      <c r="J177" s="22"/>
    </row>
    <row r="178" customFormat="false" ht="15" hidden="false" customHeight="false" outlineLevel="0" collapsed="false">
      <c r="A178" s="38"/>
      <c r="B178" s="22"/>
      <c r="C178" s="22"/>
      <c r="D178" s="22"/>
      <c r="E178" s="22"/>
      <c r="F178" s="22"/>
      <c r="G178" s="22"/>
      <c r="H178" s="22"/>
      <c r="I178" s="22"/>
      <c r="J178" s="22"/>
    </row>
    <row r="179" customFormat="false" ht="15" hidden="false" customHeight="false" outlineLevel="0" collapsed="false">
      <c r="A179" s="38"/>
      <c r="B179" s="22"/>
      <c r="C179" s="22"/>
      <c r="D179" s="22"/>
      <c r="E179" s="22"/>
      <c r="F179" s="22"/>
      <c r="G179" s="22"/>
      <c r="H179" s="22"/>
      <c r="I179" s="22"/>
      <c r="J179" s="22"/>
    </row>
    <row r="180" customFormat="false" ht="15" hidden="false" customHeight="false" outlineLevel="0" collapsed="false">
      <c r="A180" s="38"/>
      <c r="B180" s="22"/>
      <c r="C180" s="22"/>
      <c r="D180" s="22"/>
      <c r="E180" s="22"/>
      <c r="F180" s="22"/>
      <c r="G180" s="22"/>
      <c r="H180" s="22"/>
      <c r="I180" s="22"/>
      <c r="J180" s="22"/>
    </row>
    <row r="181" customFormat="false" ht="15" hidden="false" customHeight="false" outlineLevel="0" collapsed="false">
      <c r="A181" s="38"/>
      <c r="B181" s="22"/>
      <c r="C181" s="22"/>
      <c r="D181" s="22"/>
      <c r="E181" s="22"/>
      <c r="F181" s="22"/>
      <c r="G181" s="22"/>
      <c r="H181" s="22"/>
      <c r="I181" s="22"/>
      <c r="J181" s="22"/>
    </row>
    <row r="182" customFormat="false" ht="15" hidden="false" customHeight="false" outlineLevel="0" collapsed="false">
      <c r="A182" s="38"/>
      <c r="B182" s="22"/>
      <c r="C182" s="22"/>
      <c r="D182" s="22"/>
      <c r="E182" s="22"/>
      <c r="F182" s="22"/>
      <c r="G182" s="22"/>
      <c r="H182" s="22"/>
      <c r="I182" s="22"/>
      <c r="J182" s="22"/>
    </row>
    <row r="183" customFormat="false" ht="15" hidden="false" customHeight="false" outlineLevel="0" collapsed="false">
      <c r="A183" s="38"/>
      <c r="B183" s="22"/>
      <c r="C183" s="22"/>
      <c r="D183" s="22"/>
      <c r="E183" s="22"/>
      <c r="F183" s="22"/>
      <c r="G183" s="22"/>
      <c r="H183" s="22"/>
      <c r="I183" s="22"/>
      <c r="J183" s="22"/>
    </row>
    <row r="184" customFormat="false" ht="15" hidden="false" customHeight="false" outlineLevel="0" collapsed="false">
      <c r="A184" s="38"/>
      <c r="B184" s="22"/>
      <c r="C184" s="22"/>
      <c r="D184" s="22"/>
      <c r="E184" s="22"/>
      <c r="F184" s="22"/>
      <c r="G184" s="22"/>
      <c r="H184" s="22"/>
      <c r="I184" s="22"/>
      <c r="J184" s="22"/>
    </row>
    <row r="185" customFormat="false" ht="15" hidden="false" customHeight="false" outlineLevel="0" collapsed="false">
      <c r="A185" s="38"/>
      <c r="B185" s="22"/>
      <c r="C185" s="22"/>
      <c r="D185" s="22"/>
      <c r="E185" s="22"/>
      <c r="F185" s="22"/>
      <c r="G185" s="22"/>
      <c r="H185" s="22"/>
      <c r="I185" s="22"/>
      <c r="J185" s="22"/>
    </row>
    <row r="186" customFormat="false" ht="15" hidden="false" customHeight="false" outlineLevel="0" collapsed="false">
      <c r="A186" s="38"/>
      <c r="B186" s="22"/>
      <c r="C186" s="22"/>
      <c r="D186" s="22"/>
      <c r="E186" s="22"/>
      <c r="F186" s="22"/>
      <c r="G186" s="22"/>
      <c r="H186" s="22"/>
      <c r="I186" s="22"/>
      <c r="J186" s="22"/>
    </row>
    <row r="187" customFormat="false" ht="15" hidden="false" customHeight="false" outlineLevel="0" collapsed="false">
      <c r="A187" s="38"/>
      <c r="B187" s="22"/>
      <c r="C187" s="22"/>
      <c r="D187" s="22"/>
      <c r="E187" s="22"/>
      <c r="F187" s="22"/>
      <c r="G187" s="22"/>
      <c r="H187" s="22"/>
      <c r="I187" s="22"/>
      <c r="J187" s="22"/>
    </row>
    <row r="188" customFormat="false" ht="15" hidden="false" customHeight="false" outlineLevel="0" collapsed="false">
      <c r="A188" s="38"/>
      <c r="B188" s="22"/>
      <c r="C188" s="22"/>
      <c r="D188" s="22"/>
      <c r="E188" s="22"/>
      <c r="F188" s="22"/>
      <c r="G188" s="22"/>
      <c r="H188" s="22"/>
      <c r="I188" s="22"/>
      <c r="J188" s="22"/>
    </row>
    <row r="189" customFormat="false" ht="15" hidden="false" customHeight="false" outlineLevel="0" collapsed="false">
      <c r="A189" s="38"/>
      <c r="B189" s="22"/>
      <c r="C189" s="22"/>
      <c r="D189" s="22"/>
      <c r="E189" s="22"/>
      <c r="F189" s="22"/>
      <c r="G189" s="22"/>
      <c r="H189" s="22"/>
      <c r="I189" s="22"/>
      <c r="J189" s="22"/>
    </row>
    <row r="190" customFormat="false" ht="15" hidden="false" customHeight="false" outlineLevel="0" collapsed="false">
      <c r="A190" s="38"/>
      <c r="B190" s="22"/>
      <c r="C190" s="22"/>
      <c r="D190" s="22"/>
      <c r="E190" s="22"/>
      <c r="F190" s="22"/>
      <c r="G190" s="22"/>
      <c r="H190" s="22"/>
      <c r="I190" s="22"/>
      <c r="J190" s="22"/>
    </row>
    <row r="191" customFormat="false" ht="15" hidden="false" customHeight="false" outlineLevel="0" collapsed="false">
      <c r="A191" s="38"/>
      <c r="B191" s="22"/>
      <c r="C191" s="22"/>
      <c r="D191" s="22"/>
      <c r="E191" s="22"/>
      <c r="F191" s="22"/>
      <c r="G191" s="22"/>
      <c r="H191" s="22"/>
      <c r="I191" s="22"/>
      <c r="J191" s="22"/>
    </row>
    <row r="192" customFormat="false" ht="15" hidden="false" customHeight="false" outlineLevel="0" collapsed="false">
      <c r="A192" s="38"/>
      <c r="B192" s="22"/>
      <c r="C192" s="22"/>
      <c r="D192" s="22"/>
      <c r="E192" s="22"/>
      <c r="F192" s="22"/>
      <c r="G192" s="22"/>
      <c r="H192" s="22"/>
      <c r="I192" s="22"/>
      <c r="J192" s="22"/>
    </row>
    <row r="193" customFormat="false" ht="15" hidden="false" customHeight="false" outlineLevel="0" collapsed="false">
      <c r="A193" s="38"/>
      <c r="B193" s="22"/>
      <c r="C193" s="22"/>
      <c r="D193" s="22"/>
      <c r="E193" s="22"/>
      <c r="F193" s="22"/>
      <c r="G193" s="22"/>
      <c r="H193" s="22"/>
      <c r="I193" s="22"/>
      <c r="J193" s="22"/>
    </row>
    <row r="194" customFormat="false" ht="15" hidden="false" customHeight="false" outlineLevel="0" collapsed="false">
      <c r="A194" s="38"/>
      <c r="B194" s="22"/>
      <c r="C194" s="22"/>
      <c r="D194" s="22"/>
      <c r="E194" s="22"/>
      <c r="F194" s="22"/>
      <c r="G194" s="22"/>
      <c r="H194" s="22"/>
      <c r="I194" s="22"/>
      <c r="J194" s="22"/>
    </row>
    <row r="195" customFormat="false" ht="15" hidden="false" customHeight="false" outlineLevel="0" collapsed="false">
      <c r="A195" s="38"/>
      <c r="B195" s="22"/>
      <c r="C195" s="22"/>
      <c r="D195" s="22"/>
      <c r="E195" s="22"/>
      <c r="F195" s="22"/>
      <c r="G195" s="22"/>
      <c r="H195" s="22"/>
      <c r="I195" s="22"/>
      <c r="J195" s="22"/>
    </row>
    <row r="196" customFormat="false" ht="15" hidden="false" customHeight="false" outlineLevel="0" collapsed="false">
      <c r="A196" s="38"/>
      <c r="B196" s="22"/>
      <c r="C196" s="22"/>
      <c r="D196" s="22"/>
      <c r="E196" s="22"/>
      <c r="F196" s="22"/>
      <c r="G196" s="22"/>
      <c r="H196" s="22"/>
      <c r="I196" s="22"/>
      <c r="J196" s="22"/>
    </row>
    <row r="197" customFormat="false" ht="15" hidden="false" customHeight="false" outlineLevel="0" collapsed="false">
      <c r="A197" s="38"/>
      <c r="B197" s="22"/>
      <c r="C197" s="22"/>
      <c r="D197" s="22"/>
      <c r="E197" s="22"/>
      <c r="F197" s="22"/>
      <c r="G197" s="22"/>
      <c r="H197" s="22"/>
      <c r="I197" s="22"/>
      <c r="J197" s="22"/>
    </row>
    <row r="198" customFormat="false" ht="15" hidden="false" customHeight="false" outlineLevel="0" collapsed="false">
      <c r="A198" s="38"/>
      <c r="B198" s="22"/>
      <c r="C198" s="22"/>
      <c r="D198" s="22"/>
      <c r="E198" s="22"/>
      <c r="F198" s="22"/>
      <c r="G198" s="22"/>
      <c r="H198" s="22"/>
      <c r="I198" s="22"/>
      <c r="J198" s="22"/>
    </row>
    <row r="199" customFormat="false" ht="15" hidden="false" customHeight="false" outlineLevel="0" collapsed="false">
      <c r="A199" s="38"/>
      <c r="B199" s="22"/>
      <c r="C199" s="22"/>
      <c r="D199" s="22"/>
      <c r="E199" s="22"/>
      <c r="F199" s="22"/>
      <c r="G199" s="22"/>
      <c r="H199" s="22"/>
      <c r="I199" s="22"/>
      <c r="J199" s="22"/>
    </row>
    <row r="200" customFormat="false" ht="15" hidden="false" customHeight="false" outlineLevel="0" collapsed="false">
      <c r="A200" s="38"/>
      <c r="B200" s="22"/>
      <c r="C200" s="22"/>
      <c r="D200" s="22"/>
      <c r="E200" s="22"/>
      <c r="F200" s="22"/>
      <c r="G200" s="22"/>
      <c r="H200" s="22"/>
      <c r="I200" s="22"/>
      <c r="J200" s="22"/>
    </row>
    <row r="201" customFormat="false" ht="15" hidden="false" customHeight="false" outlineLevel="0" collapsed="false">
      <c r="A201" s="38"/>
      <c r="B201" s="22"/>
      <c r="C201" s="22"/>
      <c r="D201" s="22"/>
      <c r="E201" s="22"/>
      <c r="F201" s="22"/>
      <c r="G201" s="22"/>
      <c r="H201" s="22"/>
      <c r="I201" s="22"/>
      <c r="J201" s="22"/>
    </row>
    <row r="202" customFormat="false" ht="15" hidden="false" customHeight="false" outlineLevel="0" collapsed="false">
      <c r="A202" s="38"/>
      <c r="B202" s="22"/>
      <c r="C202" s="22"/>
      <c r="D202" s="22"/>
      <c r="E202" s="22"/>
      <c r="F202" s="22"/>
      <c r="G202" s="22"/>
      <c r="H202" s="22"/>
      <c r="I202" s="22"/>
      <c r="J202" s="22"/>
    </row>
    <row r="203" customFormat="false" ht="15" hidden="false" customHeight="false" outlineLevel="0" collapsed="false">
      <c r="A203" s="38"/>
      <c r="B203" s="22"/>
      <c r="C203" s="22"/>
      <c r="D203" s="22"/>
      <c r="E203" s="22"/>
      <c r="F203" s="22"/>
      <c r="G203" s="22"/>
      <c r="H203" s="22"/>
      <c r="I203" s="22"/>
      <c r="J203" s="22"/>
    </row>
    <row r="204" customFormat="false" ht="15" hidden="false" customHeight="false" outlineLevel="0" collapsed="false">
      <c r="A204" s="38"/>
      <c r="B204" s="22"/>
      <c r="C204" s="22"/>
      <c r="D204" s="22"/>
      <c r="E204" s="22"/>
      <c r="F204" s="22"/>
      <c r="G204" s="22"/>
      <c r="H204" s="22"/>
      <c r="I204" s="22"/>
      <c r="J204" s="22"/>
    </row>
    <row r="205" customFormat="false" ht="15" hidden="false" customHeight="false" outlineLevel="0" collapsed="false">
      <c r="A205" s="38"/>
      <c r="B205" s="22"/>
      <c r="C205" s="22"/>
      <c r="D205" s="22"/>
      <c r="E205" s="22"/>
      <c r="F205" s="22"/>
      <c r="G205" s="22"/>
      <c r="H205" s="22"/>
      <c r="I205" s="22"/>
      <c r="J205" s="22"/>
    </row>
    <row r="206" customFormat="false" ht="15" hidden="false" customHeight="false" outlineLevel="0" collapsed="false">
      <c r="A206" s="38"/>
      <c r="B206" s="22"/>
      <c r="C206" s="22"/>
      <c r="D206" s="22"/>
      <c r="E206" s="22"/>
      <c r="F206" s="22"/>
      <c r="G206" s="22"/>
      <c r="H206" s="22"/>
      <c r="I206" s="22"/>
      <c r="J206" s="22"/>
    </row>
    <row r="207" customFormat="false" ht="15" hidden="false" customHeight="false" outlineLevel="0" collapsed="false">
      <c r="A207" s="38"/>
      <c r="B207" s="22"/>
      <c r="C207" s="22"/>
      <c r="D207" s="22"/>
      <c r="E207" s="22"/>
      <c r="F207" s="22"/>
      <c r="G207" s="22"/>
      <c r="H207" s="22"/>
      <c r="I207" s="22"/>
      <c r="J207" s="22"/>
    </row>
    <row r="208" customFormat="false" ht="15" hidden="false" customHeight="false" outlineLevel="0" collapsed="false">
      <c r="A208" s="38"/>
      <c r="B208" s="22"/>
      <c r="C208" s="22"/>
      <c r="D208" s="22"/>
      <c r="E208" s="22"/>
      <c r="F208" s="22"/>
      <c r="G208" s="22"/>
      <c r="H208" s="22"/>
      <c r="I208" s="22"/>
      <c r="J208" s="22"/>
    </row>
    <row r="209" customFormat="false" ht="15" hidden="false" customHeight="false" outlineLevel="0" collapsed="false">
      <c r="A209" s="38"/>
      <c r="B209" s="22"/>
      <c r="C209" s="22"/>
      <c r="D209" s="22"/>
      <c r="E209" s="22"/>
      <c r="F209" s="22"/>
      <c r="G209" s="22"/>
      <c r="H209" s="22"/>
      <c r="I209" s="22"/>
      <c r="J209" s="22"/>
    </row>
    <row r="210" customFormat="false" ht="15" hidden="false" customHeight="false" outlineLevel="0" collapsed="false">
      <c r="A210" s="38"/>
      <c r="B210" s="22"/>
      <c r="C210" s="22"/>
      <c r="D210" s="22"/>
      <c r="E210" s="22"/>
      <c r="F210" s="22"/>
      <c r="G210" s="22"/>
      <c r="H210" s="22"/>
      <c r="I210" s="22"/>
      <c r="J210" s="22"/>
    </row>
    <row r="211" customFormat="false" ht="15" hidden="false" customHeight="false" outlineLevel="0" collapsed="false">
      <c r="A211" s="38"/>
      <c r="B211" s="22"/>
      <c r="C211" s="22"/>
      <c r="D211" s="22"/>
      <c r="E211" s="22"/>
      <c r="F211" s="22"/>
      <c r="G211" s="22"/>
      <c r="H211" s="22"/>
      <c r="I211" s="22"/>
      <c r="J211" s="22"/>
    </row>
    <row r="212" customFormat="false" ht="15" hidden="false" customHeight="false" outlineLevel="0" collapsed="false">
      <c r="A212" s="38"/>
      <c r="B212" s="22"/>
      <c r="C212" s="22"/>
      <c r="D212" s="22"/>
      <c r="E212" s="22"/>
      <c r="F212" s="22"/>
      <c r="G212" s="22"/>
      <c r="H212" s="22"/>
      <c r="I212" s="22"/>
      <c r="J212" s="22"/>
    </row>
    <row r="213" customFormat="false" ht="15" hidden="false" customHeight="false" outlineLevel="0" collapsed="false">
      <c r="A213" s="38"/>
      <c r="B213" s="22"/>
      <c r="C213" s="22"/>
      <c r="D213" s="22"/>
      <c r="E213" s="22"/>
      <c r="F213" s="22"/>
      <c r="G213" s="22"/>
      <c r="H213" s="22"/>
      <c r="I213" s="22"/>
      <c r="J213" s="22"/>
    </row>
    <row r="214" customFormat="false" ht="15" hidden="false" customHeight="false" outlineLevel="0" collapsed="false">
      <c r="A214" s="38"/>
      <c r="B214" s="22"/>
      <c r="C214" s="22"/>
      <c r="D214" s="22"/>
      <c r="E214" s="22"/>
      <c r="F214" s="22"/>
      <c r="G214" s="22"/>
      <c r="H214" s="22"/>
      <c r="I214" s="22"/>
      <c r="J214" s="22"/>
    </row>
    <row r="215" customFormat="false" ht="15" hidden="false" customHeight="false" outlineLevel="0" collapsed="false">
      <c r="A215" s="38"/>
      <c r="B215" s="22"/>
      <c r="C215" s="22"/>
      <c r="D215" s="22"/>
      <c r="E215" s="22"/>
      <c r="F215" s="22"/>
      <c r="G215" s="22"/>
      <c r="H215" s="22"/>
      <c r="I215" s="22"/>
      <c r="J215" s="22"/>
    </row>
    <row r="216" customFormat="false" ht="15" hidden="false" customHeight="false" outlineLevel="0" collapsed="false">
      <c r="A216" s="38"/>
      <c r="B216" s="22"/>
      <c r="C216" s="22"/>
      <c r="D216" s="22"/>
      <c r="E216" s="22"/>
      <c r="F216" s="22"/>
      <c r="G216" s="22"/>
      <c r="H216" s="22"/>
      <c r="I216" s="22"/>
      <c r="J216" s="22"/>
    </row>
    <row r="217" customFormat="false" ht="15" hidden="false" customHeight="false" outlineLevel="0" collapsed="false">
      <c r="A217" s="38"/>
      <c r="B217" s="22"/>
      <c r="C217" s="22"/>
      <c r="D217" s="22"/>
      <c r="E217" s="22"/>
      <c r="F217" s="22"/>
      <c r="G217" s="22"/>
      <c r="H217" s="22"/>
      <c r="I217" s="22"/>
      <c r="J217" s="22"/>
    </row>
    <row r="218" customFormat="false" ht="15" hidden="false" customHeight="false" outlineLevel="0" collapsed="false">
      <c r="A218" s="38"/>
      <c r="B218" s="22"/>
      <c r="C218" s="22"/>
      <c r="D218" s="22"/>
      <c r="E218" s="22"/>
      <c r="F218" s="22"/>
      <c r="G218" s="22"/>
      <c r="H218" s="22"/>
      <c r="I218" s="22"/>
      <c r="J218" s="22"/>
    </row>
    <row r="219" customFormat="false" ht="15" hidden="false" customHeight="false" outlineLevel="0" collapsed="false">
      <c r="A219" s="38"/>
      <c r="B219" s="22"/>
      <c r="C219" s="22"/>
      <c r="D219" s="22"/>
      <c r="E219" s="22"/>
      <c r="F219" s="22"/>
      <c r="G219" s="22"/>
      <c r="H219" s="22"/>
      <c r="I219" s="22"/>
      <c r="J219" s="22"/>
    </row>
    <row r="220" customFormat="false" ht="15" hidden="false" customHeight="false" outlineLevel="0" collapsed="false">
      <c r="A220" s="38"/>
      <c r="B220" s="22"/>
      <c r="C220" s="22"/>
      <c r="D220" s="22"/>
      <c r="E220" s="22"/>
      <c r="F220" s="22"/>
      <c r="G220" s="22"/>
      <c r="H220" s="22"/>
      <c r="I220" s="22"/>
      <c r="J220" s="22"/>
    </row>
    <row r="221" customFormat="false" ht="15" hidden="false" customHeight="false" outlineLevel="0" collapsed="false">
      <c r="A221" s="38"/>
      <c r="B221" s="22"/>
      <c r="C221" s="22"/>
      <c r="D221" s="22"/>
      <c r="E221" s="22"/>
      <c r="F221" s="22"/>
      <c r="G221" s="22"/>
      <c r="H221" s="22"/>
      <c r="I221" s="22"/>
      <c r="J221" s="22"/>
    </row>
    <row r="222" customFormat="false" ht="15" hidden="false" customHeight="false" outlineLevel="0" collapsed="false">
      <c r="A222" s="38"/>
      <c r="B222" s="22"/>
      <c r="C222" s="22"/>
      <c r="D222" s="22"/>
      <c r="E222" s="22"/>
      <c r="F222" s="22"/>
      <c r="G222" s="22"/>
      <c r="H222" s="22"/>
      <c r="I222" s="22"/>
      <c r="J222" s="22"/>
    </row>
    <row r="223" customFormat="false" ht="15" hidden="false" customHeight="false" outlineLevel="0" collapsed="false">
      <c r="A223" s="38"/>
      <c r="B223" s="22"/>
      <c r="C223" s="22"/>
      <c r="D223" s="22"/>
      <c r="E223" s="22"/>
      <c r="F223" s="22"/>
      <c r="G223" s="22"/>
      <c r="H223" s="22"/>
      <c r="I223" s="22"/>
      <c r="J223" s="22"/>
    </row>
    <row r="224" customFormat="false" ht="15" hidden="false" customHeight="false" outlineLevel="0" collapsed="false">
      <c r="A224" s="38"/>
      <c r="B224" s="22"/>
      <c r="C224" s="22"/>
      <c r="D224" s="22"/>
      <c r="E224" s="22"/>
      <c r="F224" s="22"/>
      <c r="G224" s="22"/>
      <c r="H224" s="22"/>
      <c r="I224" s="22"/>
      <c r="J224" s="22"/>
    </row>
    <row r="225" customFormat="false" ht="15" hidden="false" customHeight="false" outlineLevel="0" collapsed="false">
      <c r="A225" s="38"/>
      <c r="B225" s="22"/>
      <c r="C225" s="22"/>
      <c r="D225" s="22"/>
      <c r="E225" s="22"/>
      <c r="F225" s="22"/>
      <c r="G225" s="22"/>
      <c r="H225" s="22"/>
      <c r="I225" s="22"/>
      <c r="J225" s="22"/>
    </row>
    <row r="226" customFormat="false" ht="15" hidden="false" customHeight="false" outlineLevel="0" collapsed="false">
      <c r="A226" s="38"/>
      <c r="B226" s="22"/>
      <c r="C226" s="22"/>
      <c r="D226" s="22"/>
      <c r="E226" s="22"/>
      <c r="F226" s="22"/>
      <c r="G226" s="22"/>
      <c r="H226" s="22"/>
      <c r="I226" s="22"/>
      <c r="J226" s="22"/>
    </row>
    <row r="227" customFormat="false" ht="15" hidden="false" customHeight="false" outlineLevel="0" collapsed="false">
      <c r="A227" s="38"/>
      <c r="B227" s="22"/>
      <c r="C227" s="22"/>
      <c r="D227" s="22"/>
      <c r="E227" s="22"/>
      <c r="F227" s="22"/>
      <c r="G227" s="22"/>
      <c r="H227" s="22"/>
      <c r="I227" s="22"/>
      <c r="J227" s="22"/>
    </row>
    <row r="228" customFormat="false" ht="15" hidden="false" customHeight="false" outlineLevel="0" collapsed="false">
      <c r="A228" s="38"/>
      <c r="B228" s="22"/>
      <c r="C228" s="22"/>
      <c r="D228" s="22"/>
      <c r="E228" s="22"/>
      <c r="F228" s="22"/>
      <c r="G228" s="22"/>
      <c r="H228" s="22"/>
      <c r="I228" s="22"/>
      <c r="J228" s="22"/>
    </row>
    <row r="229" customFormat="false" ht="15" hidden="false" customHeight="false" outlineLevel="0" collapsed="false">
      <c r="A229" s="38"/>
      <c r="B229" s="22"/>
      <c r="C229" s="22"/>
      <c r="D229" s="22"/>
      <c r="E229" s="22"/>
      <c r="F229" s="22"/>
      <c r="G229" s="22"/>
      <c r="H229" s="22"/>
      <c r="I229" s="22"/>
      <c r="J229" s="22"/>
    </row>
    <row r="230" customFormat="false" ht="15" hidden="false" customHeight="false" outlineLevel="0" collapsed="false">
      <c r="A230" s="38"/>
      <c r="B230" s="22"/>
      <c r="C230" s="22"/>
      <c r="D230" s="22"/>
      <c r="E230" s="22"/>
      <c r="F230" s="22"/>
      <c r="G230" s="22"/>
      <c r="H230" s="22"/>
      <c r="I230" s="22"/>
      <c r="J230" s="22"/>
    </row>
    <row r="231" customFormat="false" ht="15" hidden="false" customHeight="false" outlineLevel="0" collapsed="false">
      <c r="A231" s="38"/>
      <c r="B231" s="22"/>
      <c r="C231" s="22"/>
      <c r="D231" s="22"/>
      <c r="E231" s="22"/>
      <c r="F231" s="22"/>
      <c r="G231" s="22"/>
      <c r="H231" s="22"/>
      <c r="I231" s="22"/>
      <c r="J231" s="22"/>
    </row>
    <row r="232" customFormat="false" ht="15" hidden="false" customHeight="false" outlineLevel="0" collapsed="false">
      <c r="A232" s="38"/>
      <c r="B232" s="22"/>
      <c r="C232" s="22"/>
      <c r="D232" s="22"/>
      <c r="E232" s="22"/>
      <c r="F232" s="22"/>
      <c r="G232" s="22"/>
      <c r="H232" s="22"/>
      <c r="I232" s="22"/>
      <c r="J232" s="22"/>
    </row>
    <row r="233" customFormat="false" ht="15" hidden="false" customHeight="false" outlineLevel="0" collapsed="false">
      <c r="A233" s="38"/>
      <c r="B233" s="22"/>
      <c r="C233" s="22"/>
      <c r="D233" s="22"/>
      <c r="E233" s="22"/>
      <c r="F233" s="22"/>
      <c r="G233" s="22"/>
      <c r="H233" s="22"/>
      <c r="I233" s="22"/>
      <c r="J233" s="22"/>
    </row>
    <row r="234" customFormat="false" ht="15" hidden="false" customHeight="false" outlineLevel="0" collapsed="false">
      <c r="A234" s="38"/>
      <c r="B234" s="22"/>
      <c r="C234" s="22"/>
      <c r="D234" s="22"/>
      <c r="E234" s="22"/>
      <c r="F234" s="22"/>
      <c r="G234" s="22"/>
      <c r="H234" s="22"/>
      <c r="I234" s="22"/>
      <c r="J234" s="22"/>
    </row>
    <row r="235" customFormat="false" ht="15" hidden="false" customHeight="false" outlineLevel="0" collapsed="false">
      <c r="A235" s="38"/>
      <c r="B235" s="22"/>
      <c r="C235" s="22"/>
      <c r="D235" s="22"/>
      <c r="E235" s="22"/>
      <c r="F235" s="22"/>
      <c r="G235" s="22"/>
      <c r="H235" s="22"/>
      <c r="I235" s="22"/>
      <c r="J235" s="22"/>
    </row>
    <row r="236" customFormat="false" ht="15" hidden="false" customHeight="false" outlineLevel="0" collapsed="false">
      <c r="A236" s="38"/>
      <c r="B236" s="22"/>
      <c r="C236" s="22"/>
      <c r="D236" s="22"/>
      <c r="E236" s="22"/>
      <c r="F236" s="22"/>
      <c r="G236" s="22"/>
      <c r="H236" s="22"/>
      <c r="I236" s="22"/>
      <c r="J236" s="22"/>
    </row>
    <row r="237" customFormat="false" ht="15" hidden="false" customHeight="false" outlineLevel="0" collapsed="false">
      <c r="A237" s="38"/>
      <c r="B237" s="22"/>
      <c r="C237" s="22"/>
      <c r="D237" s="22"/>
      <c r="E237" s="22"/>
      <c r="F237" s="22"/>
      <c r="G237" s="22"/>
      <c r="H237" s="22"/>
      <c r="I237" s="22"/>
      <c r="J237" s="22"/>
    </row>
    <row r="238" customFormat="false" ht="15" hidden="false" customHeight="false" outlineLevel="0" collapsed="false">
      <c r="A238" s="38"/>
      <c r="B238" s="22"/>
      <c r="C238" s="22"/>
      <c r="D238" s="22"/>
      <c r="E238" s="22"/>
      <c r="F238" s="22"/>
      <c r="G238" s="22"/>
      <c r="H238" s="22"/>
      <c r="I238" s="22"/>
      <c r="J238" s="22"/>
    </row>
    <row r="239" customFormat="false" ht="15" hidden="false" customHeight="false" outlineLevel="0" collapsed="false">
      <c r="A239" s="38"/>
      <c r="B239" s="22"/>
      <c r="C239" s="22"/>
      <c r="D239" s="22"/>
      <c r="E239" s="22"/>
      <c r="F239" s="22"/>
      <c r="G239" s="22"/>
      <c r="H239" s="22"/>
      <c r="I239" s="22"/>
      <c r="J239" s="22"/>
    </row>
    <row r="240" customFormat="false" ht="15" hidden="false" customHeight="false" outlineLevel="0" collapsed="false">
      <c r="A240" s="38"/>
      <c r="B240" s="22"/>
      <c r="C240" s="22"/>
      <c r="D240" s="22"/>
      <c r="E240" s="22"/>
      <c r="F240" s="22"/>
      <c r="G240" s="22"/>
      <c r="H240" s="22"/>
      <c r="I240" s="22"/>
      <c r="J240" s="22"/>
    </row>
    <row r="241" customFormat="false" ht="15" hidden="false" customHeight="false" outlineLevel="0" collapsed="false">
      <c r="A241" s="38"/>
      <c r="B241" s="22"/>
      <c r="C241" s="22"/>
      <c r="D241" s="22"/>
      <c r="E241" s="22"/>
      <c r="F241" s="22"/>
      <c r="G241" s="22"/>
      <c r="H241" s="22"/>
      <c r="I241" s="22"/>
      <c r="J241" s="22"/>
    </row>
    <row r="242" customFormat="false" ht="15" hidden="false" customHeight="false" outlineLevel="0" collapsed="false">
      <c r="A242" s="38"/>
      <c r="B242" s="22"/>
      <c r="C242" s="22"/>
      <c r="D242" s="22"/>
      <c r="E242" s="22"/>
      <c r="F242" s="22"/>
      <c r="G242" s="22"/>
      <c r="H242" s="22"/>
      <c r="I242" s="22"/>
      <c r="J242" s="22"/>
    </row>
    <row r="243" customFormat="false" ht="15" hidden="false" customHeight="false" outlineLevel="0" collapsed="false">
      <c r="A243" s="38"/>
      <c r="B243" s="22"/>
      <c r="C243" s="22"/>
      <c r="D243" s="22"/>
      <c r="E243" s="22"/>
      <c r="F243" s="22"/>
      <c r="G243" s="22"/>
      <c r="H243" s="22"/>
      <c r="I243" s="22"/>
      <c r="J243" s="22"/>
    </row>
    <row r="244" customFormat="false" ht="15" hidden="false" customHeight="false" outlineLevel="0" collapsed="false">
      <c r="A244" s="38"/>
      <c r="B244" s="22"/>
      <c r="C244" s="22"/>
      <c r="D244" s="22"/>
      <c r="E244" s="22"/>
      <c r="F244" s="22"/>
      <c r="G244" s="22"/>
      <c r="H244" s="22"/>
      <c r="I244" s="22"/>
      <c r="J244" s="22"/>
    </row>
    <row r="245" customFormat="false" ht="15" hidden="false" customHeight="false" outlineLevel="0" collapsed="false">
      <c r="A245" s="38"/>
      <c r="B245" s="22"/>
      <c r="C245" s="22"/>
      <c r="D245" s="22"/>
      <c r="E245" s="22"/>
      <c r="F245" s="22"/>
      <c r="G245" s="22"/>
      <c r="H245" s="22"/>
      <c r="I245" s="22"/>
      <c r="J245" s="22"/>
    </row>
    <row r="246" customFormat="false" ht="15" hidden="false" customHeight="false" outlineLevel="0" collapsed="false">
      <c r="A246" s="38"/>
      <c r="B246" s="22"/>
      <c r="C246" s="22"/>
      <c r="D246" s="22"/>
      <c r="E246" s="22"/>
      <c r="F246" s="22"/>
      <c r="G246" s="22"/>
      <c r="H246" s="22"/>
      <c r="I246" s="22"/>
      <c r="J246" s="22"/>
    </row>
    <row r="247" customFormat="false" ht="15" hidden="false" customHeight="false" outlineLevel="0" collapsed="false">
      <c r="A247" s="38"/>
      <c r="B247" s="22"/>
      <c r="C247" s="22"/>
      <c r="D247" s="22"/>
      <c r="E247" s="22"/>
      <c r="F247" s="22"/>
      <c r="G247" s="22"/>
      <c r="H247" s="22"/>
      <c r="I247" s="22"/>
      <c r="J247" s="22"/>
    </row>
    <row r="248" customFormat="false" ht="15" hidden="false" customHeight="false" outlineLevel="0" collapsed="false">
      <c r="A248" s="38"/>
      <c r="B248" s="22"/>
      <c r="C248" s="22"/>
      <c r="D248" s="22"/>
      <c r="E248" s="22"/>
      <c r="F248" s="22"/>
      <c r="G248" s="22"/>
      <c r="H248" s="22"/>
      <c r="I248" s="22"/>
      <c r="J248" s="22"/>
    </row>
    <row r="249" customFormat="false" ht="15" hidden="false" customHeight="false" outlineLevel="0" collapsed="false">
      <c r="A249" s="38"/>
      <c r="B249" s="22"/>
      <c r="C249" s="22"/>
      <c r="D249" s="22"/>
      <c r="E249" s="22"/>
      <c r="F249" s="22"/>
      <c r="G249" s="22"/>
      <c r="H249" s="22"/>
      <c r="I249" s="22"/>
      <c r="J249" s="22"/>
    </row>
    <row r="250" customFormat="false" ht="15" hidden="false" customHeight="false" outlineLevel="0" collapsed="false">
      <c r="A250" s="38"/>
      <c r="B250" s="22"/>
      <c r="C250" s="22"/>
      <c r="D250" s="22"/>
      <c r="E250" s="22"/>
      <c r="F250" s="22"/>
      <c r="G250" s="22"/>
      <c r="H250" s="22"/>
      <c r="I250" s="22"/>
      <c r="J250" s="22"/>
    </row>
    <row r="251" customFormat="false" ht="15" hidden="false" customHeight="false" outlineLevel="0" collapsed="false">
      <c r="A251" s="38"/>
      <c r="B251" s="22"/>
      <c r="C251" s="22"/>
      <c r="D251" s="22"/>
      <c r="E251" s="22"/>
      <c r="F251" s="22"/>
      <c r="G251" s="22"/>
      <c r="H251" s="22"/>
      <c r="I251" s="22"/>
      <c r="J251" s="22"/>
    </row>
    <row r="252" customFormat="false" ht="15" hidden="false" customHeight="false" outlineLevel="0" collapsed="false">
      <c r="A252" s="38"/>
      <c r="B252" s="22"/>
      <c r="C252" s="22"/>
      <c r="D252" s="22"/>
      <c r="E252" s="22"/>
      <c r="F252" s="22"/>
      <c r="G252" s="22"/>
      <c r="H252" s="22"/>
      <c r="I252" s="22"/>
      <c r="J252" s="22"/>
    </row>
    <row r="253" customFormat="false" ht="15" hidden="false" customHeight="false" outlineLevel="0" collapsed="false">
      <c r="A253" s="38"/>
      <c r="B253" s="22"/>
      <c r="C253" s="22"/>
      <c r="D253" s="22"/>
      <c r="E253" s="22"/>
      <c r="F253" s="22"/>
      <c r="G253" s="22"/>
      <c r="H253" s="22"/>
      <c r="I253" s="22"/>
      <c r="J253" s="22"/>
    </row>
    <row r="254" customFormat="false" ht="15" hidden="false" customHeight="false" outlineLevel="0" collapsed="false">
      <c r="A254" s="38"/>
      <c r="B254" s="22"/>
      <c r="C254" s="22"/>
      <c r="D254" s="22"/>
      <c r="E254" s="22"/>
      <c r="F254" s="22"/>
      <c r="G254" s="22"/>
      <c r="H254" s="22"/>
      <c r="I254" s="22"/>
      <c r="J254" s="22"/>
    </row>
    <row r="255" customFormat="false" ht="15" hidden="false" customHeight="false" outlineLevel="0" collapsed="false">
      <c r="A255" s="38"/>
      <c r="B255" s="22"/>
      <c r="C255" s="22"/>
      <c r="D255" s="22"/>
      <c r="E255" s="22"/>
      <c r="F255" s="22"/>
      <c r="G255" s="22"/>
      <c r="H255" s="22"/>
      <c r="I255" s="22"/>
      <c r="J255" s="22"/>
    </row>
    <row r="256" customFormat="false" ht="15" hidden="false" customHeight="false" outlineLevel="0" collapsed="false">
      <c r="A256" s="38"/>
      <c r="B256" s="22"/>
      <c r="C256" s="22"/>
      <c r="D256" s="22"/>
      <c r="E256" s="22"/>
      <c r="F256" s="22"/>
      <c r="G256" s="22"/>
      <c r="H256" s="22"/>
      <c r="I256" s="22"/>
      <c r="J256" s="22"/>
    </row>
    <row r="257" customFormat="false" ht="15" hidden="false" customHeight="false" outlineLevel="0" collapsed="false">
      <c r="A257" s="38"/>
      <c r="B257" s="22"/>
      <c r="C257" s="22"/>
      <c r="D257" s="22"/>
      <c r="E257" s="22"/>
      <c r="F257" s="22"/>
      <c r="G257" s="22"/>
      <c r="H257" s="22"/>
      <c r="I257" s="22"/>
      <c r="J257" s="22"/>
    </row>
    <row r="258" customFormat="false" ht="15" hidden="false" customHeight="false" outlineLevel="0" collapsed="false">
      <c r="A258" s="38"/>
      <c r="B258" s="22"/>
      <c r="C258" s="22"/>
      <c r="D258" s="22"/>
      <c r="E258" s="22"/>
      <c r="F258" s="22"/>
      <c r="G258" s="22"/>
      <c r="H258" s="22"/>
      <c r="I258" s="22"/>
      <c r="J258" s="22"/>
    </row>
    <row r="259" customFormat="false" ht="15" hidden="false" customHeight="false" outlineLevel="0" collapsed="false">
      <c r="A259" s="38"/>
      <c r="B259" s="22"/>
      <c r="C259" s="22"/>
      <c r="D259" s="22"/>
      <c r="E259" s="22"/>
      <c r="F259" s="22"/>
      <c r="G259" s="22"/>
      <c r="H259" s="22"/>
      <c r="I259" s="22"/>
      <c r="J259" s="22"/>
    </row>
    <row r="260" customFormat="false" ht="15" hidden="false" customHeight="false" outlineLevel="0" collapsed="false">
      <c r="A260" s="38"/>
      <c r="B260" s="22"/>
      <c r="C260" s="22"/>
      <c r="D260" s="22"/>
      <c r="E260" s="22"/>
      <c r="F260" s="22"/>
      <c r="G260" s="22"/>
      <c r="H260" s="22"/>
      <c r="I260" s="22"/>
      <c r="J260" s="22"/>
    </row>
    <row r="261" customFormat="false" ht="15" hidden="false" customHeight="false" outlineLevel="0" collapsed="false">
      <c r="A261" s="38"/>
      <c r="B261" s="22"/>
      <c r="C261" s="22"/>
      <c r="D261" s="22"/>
      <c r="E261" s="22"/>
      <c r="F261" s="22"/>
      <c r="G261" s="22"/>
      <c r="H261" s="22"/>
      <c r="I261" s="22"/>
      <c r="J261" s="22"/>
    </row>
    <row r="262" customFormat="false" ht="15" hidden="false" customHeight="false" outlineLevel="0" collapsed="false">
      <c r="A262" s="38"/>
      <c r="B262" s="22"/>
      <c r="C262" s="22"/>
      <c r="D262" s="22"/>
      <c r="E262" s="22"/>
      <c r="F262" s="22"/>
      <c r="G262" s="22"/>
      <c r="H262" s="22"/>
      <c r="I262" s="22"/>
      <c r="J262" s="22"/>
    </row>
    <row r="263" customFormat="false" ht="15" hidden="false" customHeight="false" outlineLevel="0" collapsed="false">
      <c r="A263" s="38"/>
      <c r="B263" s="22"/>
      <c r="C263" s="22"/>
      <c r="D263" s="22"/>
      <c r="E263" s="22"/>
      <c r="F263" s="22"/>
      <c r="G263" s="22"/>
      <c r="H263" s="22"/>
      <c r="I263" s="22"/>
      <c r="J263" s="22"/>
    </row>
    <row r="264" customFormat="false" ht="15" hidden="false" customHeight="false" outlineLevel="0" collapsed="false">
      <c r="A264" s="38"/>
      <c r="B264" s="22"/>
      <c r="C264" s="22"/>
      <c r="D264" s="22"/>
      <c r="E264" s="22"/>
      <c r="F264" s="22"/>
      <c r="G264" s="22"/>
      <c r="H264" s="22"/>
      <c r="I264" s="22"/>
      <c r="J264" s="22"/>
    </row>
    <row r="265" customFormat="false" ht="15" hidden="false" customHeight="false" outlineLevel="0" collapsed="false">
      <c r="A265" s="38"/>
      <c r="B265" s="22"/>
      <c r="C265" s="22"/>
      <c r="D265" s="22"/>
      <c r="E265" s="22"/>
      <c r="F265" s="22"/>
      <c r="G265" s="22"/>
      <c r="H265" s="22"/>
      <c r="I265" s="22"/>
      <c r="J265" s="22"/>
    </row>
    <row r="266" customFormat="false" ht="15" hidden="false" customHeight="false" outlineLevel="0" collapsed="false">
      <c r="A266" s="38"/>
      <c r="B266" s="22"/>
      <c r="C266" s="22"/>
      <c r="D266" s="22"/>
      <c r="E266" s="22"/>
      <c r="F266" s="22"/>
      <c r="G266" s="22"/>
      <c r="H266" s="22"/>
      <c r="I266" s="22"/>
      <c r="J266" s="22"/>
    </row>
    <row r="267" customFormat="false" ht="15" hidden="false" customHeight="false" outlineLevel="0" collapsed="false">
      <c r="A267" s="38"/>
      <c r="B267" s="22"/>
      <c r="C267" s="22"/>
      <c r="D267" s="22"/>
      <c r="E267" s="22"/>
      <c r="F267" s="22"/>
      <c r="G267" s="22"/>
      <c r="H267" s="22"/>
      <c r="I267" s="22"/>
      <c r="J267" s="22"/>
    </row>
    <row r="268" customFormat="false" ht="15" hidden="false" customHeight="false" outlineLevel="0" collapsed="false">
      <c r="A268" s="38"/>
      <c r="B268" s="22"/>
      <c r="C268" s="22"/>
      <c r="D268" s="22"/>
      <c r="E268" s="22"/>
      <c r="F268" s="22"/>
      <c r="G268" s="22"/>
      <c r="H268" s="22"/>
      <c r="I268" s="22"/>
      <c r="J268" s="22"/>
    </row>
    <row r="269" customFormat="false" ht="15" hidden="false" customHeight="false" outlineLevel="0" collapsed="false">
      <c r="A269" s="38"/>
      <c r="B269" s="22"/>
      <c r="C269" s="22"/>
      <c r="D269" s="22"/>
      <c r="E269" s="22"/>
      <c r="F269" s="22"/>
      <c r="G269" s="22"/>
      <c r="H269" s="22"/>
      <c r="I269" s="22"/>
      <c r="J269" s="22"/>
    </row>
    <row r="270" customFormat="false" ht="15" hidden="false" customHeight="false" outlineLevel="0" collapsed="false">
      <c r="A270" s="38"/>
      <c r="B270" s="22"/>
      <c r="C270" s="22"/>
      <c r="D270" s="22"/>
      <c r="E270" s="22"/>
      <c r="F270" s="22"/>
      <c r="G270" s="22"/>
      <c r="H270" s="22"/>
      <c r="I270" s="22"/>
      <c r="J270" s="22"/>
    </row>
    <row r="271" customFormat="false" ht="15" hidden="false" customHeight="false" outlineLevel="0" collapsed="false">
      <c r="A271" s="38"/>
      <c r="B271" s="22"/>
      <c r="C271" s="22"/>
      <c r="D271" s="22"/>
      <c r="E271" s="22"/>
      <c r="F271" s="22"/>
      <c r="G271" s="22"/>
      <c r="H271" s="22"/>
      <c r="I271" s="22"/>
      <c r="J271" s="22"/>
    </row>
    <row r="272" customFormat="false" ht="15" hidden="false" customHeight="false" outlineLevel="0" collapsed="false">
      <c r="A272" s="38"/>
      <c r="B272" s="22"/>
      <c r="C272" s="22"/>
      <c r="D272" s="22"/>
      <c r="E272" s="22"/>
      <c r="F272" s="22"/>
      <c r="G272" s="22"/>
      <c r="H272" s="22"/>
      <c r="I272" s="22"/>
      <c r="J272" s="22"/>
    </row>
    <row r="273" customFormat="false" ht="15" hidden="false" customHeight="false" outlineLevel="0" collapsed="false">
      <c r="A273" s="38"/>
      <c r="B273" s="22"/>
      <c r="C273" s="22"/>
      <c r="D273" s="22"/>
      <c r="E273" s="22"/>
      <c r="F273" s="22"/>
      <c r="G273" s="22"/>
      <c r="H273" s="22"/>
      <c r="I273" s="22"/>
      <c r="J273" s="22"/>
    </row>
    <row r="274" customFormat="false" ht="15" hidden="false" customHeight="false" outlineLevel="0" collapsed="false">
      <c r="A274" s="38"/>
      <c r="B274" s="22"/>
      <c r="C274" s="22"/>
      <c r="D274" s="22"/>
      <c r="E274" s="22"/>
      <c r="F274" s="22"/>
      <c r="G274" s="22"/>
      <c r="H274" s="22"/>
      <c r="I274" s="22"/>
      <c r="J274" s="22"/>
    </row>
    <row r="275" customFormat="false" ht="15" hidden="false" customHeight="false" outlineLevel="0" collapsed="false">
      <c r="A275" s="38"/>
      <c r="B275" s="22"/>
      <c r="C275" s="22"/>
      <c r="D275" s="22"/>
      <c r="E275" s="22"/>
      <c r="F275" s="22"/>
      <c r="G275" s="22"/>
      <c r="H275" s="22"/>
      <c r="I275" s="22"/>
      <c r="J275" s="22"/>
    </row>
    <row r="276" customFormat="false" ht="15" hidden="false" customHeight="false" outlineLevel="0" collapsed="false">
      <c r="A276" s="38"/>
      <c r="B276" s="22"/>
      <c r="C276" s="22"/>
      <c r="D276" s="22"/>
      <c r="E276" s="22"/>
      <c r="F276" s="22"/>
      <c r="G276" s="22"/>
      <c r="H276" s="22"/>
      <c r="I276" s="22"/>
      <c r="J276" s="22"/>
    </row>
    <row r="277" customFormat="false" ht="15" hidden="false" customHeight="false" outlineLevel="0" collapsed="false">
      <c r="A277" s="38"/>
      <c r="B277" s="22"/>
      <c r="C277" s="22"/>
      <c r="D277" s="22"/>
      <c r="E277" s="22"/>
      <c r="F277" s="22"/>
      <c r="G277" s="22"/>
      <c r="H277" s="22"/>
      <c r="I277" s="22"/>
      <c r="J277" s="22"/>
    </row>
    <row r="278" customFormat="false" ht="15" hidden="false" customHeight="false" outlineLevel="0" collapsed="false">
      <c r="A278" s="38"/>
      <c r="B278" s="22"/>
      <c r="C278" s="22"/>
      <c r="D278" s="22"/>
      <c r="E278" s="22"/>
      <c r="F278" s="22"/>
      <c r="G278" s="22"/>
      <c r="H278" s="22"/>
      <c r="I278" s="22"/>
      <c r="J278" s="22"/>
    </row>
    <row r="279" customFormat="false" ht="15" hidden="false" customHeight="false" outlineLevel="0" collapsed="false">
      <c r="A279" s="38"/>
      <c r="B279" s="22"/>
      <c r="C279" s="22"/>
      <c r="D279" s="22"/>
      <c r="E279" s="22"/>
      <c r="F279" s="22"/>
      <c r="G279" s="22"/>
      <c r="H279" s="22"/>
      <c r="I279" s="22"/>
      <c r="J279" s="22"/>
    </row>
    <row r="280" customFormat="false" ht="15" hidden="false" customHeight="false" outlineLevel="0" collapsed="false">
      <c r="A280" s="38"/>
      <c r="B280" s="22"/>
      <c r="C280" s="22"/>
      <c r="D280" s="22"/>
      <c r="E280" s="22"/>
      <c r="F280" s="22"/>
      <c r="G280" s="22"/>
      <c r="H280" s="22"/>
      <c r="I280" s="22"/>
      <c r="J280" s="22"/>
    </row>
    <row r="281" customFormat="false" ht="15" hidden="false" customHeight="false" outlineLevel="0" collapsed="false">
      <c r="A281" s="38"/>
      <c r="B281" s="22"/>
      <c r="C281" s="22"/>
      <c r="D281" s="22"/>
      <c r="E281" s="22"/>
      <c r="F281" s="22"/>
      <c r="G281" s="22"/>
      <c r="H281" s="22"/>
      <c r="I281" s="22"/>
      <c r="J281" s="22"/>
    </row>
    <row r="282" customFormat="false" ht="15" hidden="false" customHeight="false" outlineLevel="0" collapsed="false">
      <c r="A282" s="38"/>
      <c r="B282" s="22"/>
      <c r="C282" s="22"/>
      <c r="D282" s="22"/>
      <c r="E282" s="22"/>
      <c r="F282" s="22"/>
      <c r="G282" s="22"/>
      <c r="H282" s="22"/>
      <c r="I282" s="22"/>
      <c r="J282" s="22"/>
    </row>
    <row r="283" customFormat="false" ht="15" hidden="false" customHeight="false" outlineLevel="0" collapsed="false">
      <c r="A283" s="38"/>
      <c r="B283" s="22"/>
      <c r="C283" s="22"/>
      <c r="D283" s="22"/>
      <c r="E283" s="22"/>
      <c r="F283" s="22"/>
      <c r="G283" s="22"/>
      <c r="H283" s="22"/>
      <c r="I283" s="22"/>
      <c r="J283" s="22"/>
    </row>
    <row r="284" customFormat="false" ht="15" hidden="false" customHeight="false" outlineLevel="0" collapsed="false">
      <c r="A284" s="38"/>
      <c r="B284" s="22"/>
      <c r="C284" s="22"/>
      <c r="D284" s="22"/>
      <c r="E284" s="22"/>
      <c r="F284" s="22"/>
      <c r="G284" s="22"/>
      <c r="H284" s="22"/>
      <c r="I284" s="22"/>
      <c r="J284" s="22"/>
    </row>
    <row r="285" customFormat="false" ht="15" hidden="false" customHeight="false" outlineLevel="0" collapsed="false">
      <c r="A285" s="38"/>
      <c r="B285" s="22"/>
      <c r="C285" s="22"/>
      <c r="D285" s="22"/>
      <c r="E285" s="22"/>
      <c r="F285" s="22"/>
      <c r="G285" s="22"/>
      <c r="H285" s="22"/>
      <c r="I285" s="22"/>
      <c r="J285" s="22"/>
    </row>
    <row r="286" customFormat="false" ht="15" hidden="false" customHeight="false" outlineLevel="0" collapsed="false">
      <c r="A286" s="38"/>
      <c r="B286" s="22"/>
      <c r="C286" s="22"/>
      <c r="D286" s="22"/>
      <c r="E286" s="22"/>
      <c r="F286" s="22"/>
      <c r="G286" s="22"/>
      <c r="H286" s="22"/>
      <c r="I286" s="22"/>
      <c r="J286" s="22"/>
    </row>
    <row r="287" customFormat="false" ht="15" hidden="false" customHeight="false" outlineLevel="0" collapsed="false">
      <c r="A287" s="38"/>
      <c r="B287" s="22"/>
      <c r="C287" s="22"/>
      <c r="D287" s="22"/>
      <c r="E287" s="22"/>
      <c r="F287" s="22"/>
      <c r="G287" s="22"/>
      <c r="H287" s="22"/>
      <c r="I287" s="22"/>
      <c r="J287" s="22"/>
    </row>
    <row r="288" customFormat="false" ht="15" hidden="false" customHeight="false" outlineLevel="0" collapsed="false">
      <c r="A288" s="38"/>
      <c r="B288" s="22"/>
      <c r="C288" s="22"/>
      <c r="D288" s="22"/>
      <c r="E288" s="22"/>
      <c r="F288" s="22"/>
      <c r="G288" s="22"/>
      <c r="H288" s="22"/>
      <c r="I288" s="22"/>
      <c r="J288" s="22"/>
    </row>
    <row r="289" customFormat="false" ht="15" hidden="false" customHeight="false" outlineLevel="0" collapsed="false">
      <c r="A289" s="38"/>
      <c r="B289" s="22"/>
      <c r="C289" s="22"/>
      <c r="D289" s="22"/>
      <c r="E289" s="22"/>
      <c r="F289" s="22"/>
      <c r="G289" s="22"/>
      <c r="H289" s="22"/>
      <c r="I289" s="22"/>
      <c r="J289" s="22"/>
    </row>
    <row r="290" customFormat="false" ht="15" hidden="false" customHeight="false" outlineLevel="0" collapsed="false">
      <c r="A290" s="38"/>
      <c r="B290" s="22"/>
      <c r="C290" s="22"/>
      <c r="D290" s="22"/>
      <c r="E290" s="22"/>
      <c r="F290" s="22"/>
      <c r="G290" s="22"/>
      <c r="H290" s="22"/>
      <c r="I290" s="22"/>
      <c r="J290" s="22"/>
    </row>
    <row r="291" customFormat="false" ht="15" hidden="false" customHeight="false" outlineLevel="0" collapsed="false">
      <c r="A291" s="38"/>
      <c r="B291" s="22"/>
      <c r="C291" s="22"/>
      <c r="D291" s="22"/>
      <c r="E291" s="22"/>
      <c r="F291" s="22"/>
      <c r="G291" s="22"/>
      <c r="H291" s="22"/>
      <c r="I291" s="22"/>
      <c r="J291" s="22"/>
    </row>
    <row r="292" customFormat="false" ht="15" hidden="false" customHeight="false" outlineLevel="0" collapsed="false">
      <c r="A292" s="38"/>
      <c r="B292" s="22"/>
      <c r="C292" s="22"/>
      <c r="D292" s="22"/>
      <c r="E292" s="22"/>
      <c r="F292" s="22"/>
      <c r="G292" s="22"/>
      <c r="H292" s="22"/>
      <c r="I292" s="22"/>
      <c r="J292" s="22"/>
    </row>
    <row r="293" customFormat="false" ht="15" hidden="false" customHeight="false" outlineLevel="0" collapsed="false">
      <c r="A293" s="38"/>
      <c r="B293" s="22"/>
      <c r="C293" s="22"/>
      <c r="D293" s="22"/>
      <c r="E293" s="22"/>
      <c r="F293" s="22"/>
      <c r="G293" s="22"/>
      <c r="H293" s="22"/>
      <c r="I293" s="22"/>
      <c r="J293" s="22"/>
    </row>
    <row r="294" customFormat="false" ht="15" hidden="false" customHeight="false" outlineLevel="0" collapsed="false">
      <c r="A294" s="38"/>
      <c r="B294" s="22"/>
      <c r="C294" s="22"/>
      <c r="D294" s="22"/>
      <c r="E294" s="22"/>
      <c r="F294" s="22"/>
      <c r="G294" s="22"/>
      <c r="H294" s="22"/>
      <c r="I294" s="22"/>
      <c r="J294" s="22"/>
    </row>
    <row r="295" customFormat="false" ht="15" hidden="false" customHeight="false" outlineLevel="0" collapsed="false">
      <c r="A295" s="38"/>
      <c r="B295" s="22"/>
      <c r="C295" s="22"/>
      <c r="D295" s="22"/>
      <c r="E295" s="22"/>
      <c r="F295" s="22"/>
      <c r="G295" s="22"/>
      <c r="H295" s="22"/>
      <c r="I295" s="22"/>
      <c r="J295" s="22"/>
    </row>
    <row r="296" customFormat="false" ht="15" hidden="false" customHeight="false" outlineLevel="0" collapsed="false">
      <c r="A296" s="38"/>
      <c r="B296" s="22"/>
      <c r="C296" s="22"/>
      <c r="D296" s="22"/>
      <c r="E296" s="22"/>
      <c r="F296" s="22"/>
      <c r="G296" s="22"/>
      <c r="H296" s="22"/>
      <c r="I296" s="22"/>
      <c r="J296" s="22"/>
    </row>
    <row r="297" customFormat="false" ht="15" hidden="false" customHeight="false" outlineLevel="0" collapsed="false">
      <c r="A297" s="38"/>
      <c r="B297" s="22"/>
      <c r="C297" s="22"/>
      <c r="D297" s="22"/>
      <c r="E297" s="22"/>
      <c r="F297" s="22"/>
      <c r="G297" s="22"/>
      <c r="H297" s="22"/>
      <c r="I297" s="22"/>
      <c r="J297" s="22"/>
    </row>
    <row r="298" customFormat="false" ht="15" hidden="false" customHeight="false" outlineLevel="0" collapsed="false">
      <c r="A298" s="38"/>
      <c r="B298" s="22"/>
      <c r="C298" s="22"/>
      <c r="D298" s="22"/>
      <c r="E298" s="22"/>
      <c r="F298" s="22"/>
      <c r="G298" s="22"/>
      <c r="H298" s="22"/>
      <c r="I298" s="22"/>
      <c r="J298" s="22"/>
    </row>
    <row r="299" customFormat="false" ht="15" hidden="false" customHeight="false" outlineLevel="0" collapsed="false">
      <c r="A299" s="38"/>
      <c r="B299" s="22"/>
      <c r="C299" s="22"/>
      <c r="D299" s="22"/>
      <c r="E299" s="22"/>
      <c r="F299" s="22"/>
      <c r="G299" s="22"/>
      <c r="H299" s="22"/>
      <c r="I299" s="22"/>
      <c r="J299" s="22"/>
    </row>
    <row r="300" customFormat="false" ht="15" hidden="false" customHeight="false" outlineLevel="0" collapsed="false">
      <c r="A300" s="38"/>
      <c r="B300" s="22"/>
      <c r="C300" s="22"/>
      <c r="D300" s="22"/>
      <c r="E300" s="22"/>
      <c r="F300" s="22"/>
      <c r="G300" s="22"/>
      <c r="H300" s="22"/>
      <c r="I300" s="22"/>
      <c r="J300" s="22"/>
    </row>
    <row r="301" customFormat="false" ht="15" hidden="false" customHeight="false" outlineLevel="0" collapsed="false">
      <c r="A301" s="38"/>
      <c r="B301" s="22"/>
      <c r="C301" s="22"/>
      <c r="D301" s="22"/>
      <c r="E301" s="22"/>
      <c r="F301" s="22"/>
      <c r="G301" s="22"/>
      <c r="H301" s="22"/>
      <c r="I301" s="22"/>
      <c r="J301" s="22"/>
    </row>
    <row r="302" customFormat="false" ht="15" hidden="false" customHeight="false" outlineLevel="0" collapsed="false">
      <c r="A302" s="38"/>
      <c r="B302" s="22"/>
      <c r="C302" s="22"/>
      <c r="D302" s="22"/>
      <c r="E302" s="22"/>
      <c r="F302" s="22"/>
      <c r="G302" s="22"/>
      <c r="H302" s="22"/>
      <c r="I302" s="22"/>
      <c r="J302" s="22"/>
    </row>
    <row r="303" customFormat="false" ht="15" hidden="false" customHeight="false" outlineLevel="0" collapsed="false">
      <c r="A303" s="38"/>
      <c r="B303" s="22"/>
      <c r="C303" s="22"/>
      <c r="D303" s="22"/>
      <c r="E303" s="22"/>
      <c r="F303" s="22"/>
      <c r="G303" s="22"/>
      <c r="H303" s="22"/>
      <c r="I303" s="22"/>
      <c r="J303" s="22"/>
    </row>
    <row r="304" customFormat="false" ht="15" hidden="false" customHeight="false" outlineLevel="0" collapsed="false">
      <c r="A304" s="38"/>
      <c r="B304" s="22"/>
      <c r="C304" s="22"/>
      <c r="D304" s="22"/>
      <c r="E304" s="22"/>
      <c r="F304" s="22"/>
      <c r="G304" s="22"/>
      <c r="H304" s="22"/>
      <c r="I304" s="22"/>
      <c r="J304" s="22"/>
    </row>
    <row r="305" customFormat="false" ht="15" hidden="false" customHeight="false" outlineLevel="0" collapsed="false">
      <c r="A305" s="38"/>
      <c r="B305" s="22"/>
      <c r="C305" s="22"/>
      <c r="D305" s="22"/>
      <c r="E305" s="22"/>
      <c r="F305" s="22"/>
      <c r="G305" s="22"/>
      <c r="H305" s="22"/>
      <c r="I305" s="22"/>
      <c r="J305" s="22"/>
    </row>
    <row r="306" customFormat="false" ht="15" hidden="false" customHeight="false" outlineLevel="0" collapsed="false">
      <c r="A306" s="38"/>
      <c r="B306" s="22"/>
      <c r="C306" s="22"/>
      <c r="D306" s="22"/>
      <c r="E306" s="22"/>
      <c r="F306" s="22"/>
      <c r="G306" s="22"/>
      <c r="H306" s="22"/>
      <c r="I306" s="22"/>
      <c r="J306" s="22"/>
    </row>
    <row r="307" customFormat="false" ht="15" hidden="false" customHeight="false" outlineLevel="0" collapsed="false">
      <c r="A307" s="38"/>
      <c r="B307" s="22"/>
      <c r="C307" s="22"/>
      <c r="D307" s="22"/>
      <c r="E307" s="22"/>
      <c r="F307" s="22"/>
      <c r="G307" s="22"/>
      <c r="H307" s="22"/>
      <c r="I307" s="22"/>
      <c r="J307" s="22"/>
    </row>
    <row r="308" customFormat="false" ht="15" hidden="false" customHeight="false" outlineLevel="0" collapsed="false">
      <c r="A308" s="38"/>
      <c r="B308" s="22"/>
      <c r="C308" s="22"/>
      <c r="D308" s="22"/>
      <c r="E308" s="22"/>
      <c r="F308" s="22"/>
      <c r="G308" s="22"/>
      <c r="H308" s="22"/>
      <c r="I308" s="22"/>
      <c r="J308" s="22"/>
    </row>
    <row r="309" customFormat="false" ht="15" hidden="false" customHeight="false" outlineLevel="0" collapsed="false">
      <c r="A309" s="38"/>
      <c r="B309" s="22"/>
      <c r="C309" s="22"/>
      <c r="D309" s="22"/>
      <c r="E309" s="22"/>
      <c r="F309" s="22"/>
      <c r="G309" s="22"/>
      <c r="H309" s="22"/>
      <c r="I309" s="22"/>
      <c r="J309" s="22"/>
    </row>
    <row r="310" customFormat="false" ht="15" hidden="false" customHeight="false" outlineLevel="0" collapsed="false">
      <c r="A310" s="38"/>
      <c r="B310" s="22"/>
      <c r="C310" s="22"/>
      <c r="D310" s="22"/>
      <c r="E310" s="22"/>
      <c r="F310" s="22"/>
      <c r="G310" s="22"/>
      <c r="H310" s="22"/>
      <c r="I310" s="22"/>
      <c r="J310" s="22"/>
    </row>
    <row r="311" customFormat="false" ht="15" hidden="false" customHeight="false" outlineLevel="0" collapsed="false">
      <c r="A311" s="38"/>
      <c r="B311" s="22"/>
      <c r="C311" s="22"/>
      <c r="D311" s="22"/>
      <c r="E311" s="22"/>
      <c r="F311" s="22"/>
      <c r="G311" s="22"/>
      <c r="H311" s="22"/>
      <c r="I311" s="22"/>
      <c r="J311" s="22"/>
    </row>
    <row r="312" customFormat="false" ht="15" hidden="false" customHeight="false" outlineLevel="0" collapsed="false">
      <c r="A312" s="38"/>
      <c r="B312" s="22"/>
      <c r="C312" s="22"/>
      <c r="D312" s="22"/>
      <c r="E312" s="22"/>
      <c r="F312" s="22"/>
      <c r="G312" s="22"/>
      <c r="H312" s="22"/>
      <c r="I312" s="22"/>
      <c r="J312" s="22"/>
    </row>
    <row r="313" customFormat="false" ht="15" hidden="false" customHeight="false" outlineLevel="0" collapsed="false">
      <c r="A313" s="38"/>
      <c r="B313" s="22"/>
      <c r="C313" s="22"/>
      <c r="D313" s="22"/>
      <c r="E313" s="22"/>
      <c r="F313" s="22"/>
      <c r="G313" s="22"/>
      <c r="H313" s="22"/>
      <c r="I313" s="22"/>
      <c r="J313" s="22"/>
    </row>
    <row r="314" customFormat="false" ht="15" hidden="false" customHeight="false" outlineLevel="0" collapsed="false">
      <c r="A314" s="38"/>
      <c r="B314" s="22"/>
      <c r="C314" s="22"/>
      <c r="D314" s="22"/>
      <c r="E314" s="22"/>
      <c r="F314" s="22"/>
      <c r="G314" s="22"/>
      <c r="H314" s="22"/>
      <c r="I314" s="22"/>
      <c r="J314" s="22"/>
    </row>
    <row r="315" customFormat="false" ht="15" hidden="false" customHeight="false" outlineLevel="0" collapsed="false">
      <c r="A315" s="38"/>
      <c r="B315" s="22"/>
      <c r="C315" s="22"/>
      <c r="D315" s="22"/>
      <c r="E315" s="22"/>
      <c r="F315" s="22"/>
      <c r="G315" s="22"/>
      <c r="H315" s="22"/>
      <c r="I315" s="22"/>
      <c r="J315" s="22"/>
    </row>
    <row r="316" customFormat="false" ht="15" hidden="false" customHeight="false" outlineLevel="0" collapsed="false">
      <c r="A316" s="38"/>
      <c r="B316" s="22"/>
      <c r="C316" s="22"/>
      <c r="D316" s="22"/>
      <c r="E316" s="22"/>
      <c r="F316" s="22"/>
      <c r="G316" s="22"/>
      <c r="H316" s="22"/>
      <c r="I316" s="22"/>
      <c r="J316" s="22"/>
    </row>
    <row r="317" customFormat="false" ht="15" hidden="false" customHeight="false" outlineLevel="0" collapsed="false">
      <c r="A317" s="38"/>
      <c r="B317" s="22"/>
      <c r="C317" s="22"/>
      <c r="D317" s="22"/>
      <c r="E317" s="22"/>
      <c r="F317" s="22"/>
      <c r="G317" s="22"/>
      <c r="H317" s="22"/>
      <c r="I317" s="22"/>
      <c r="J317" s="22"/>
    </row>
    <row r="318" customFormat="false" ht="15" hidden="false" customHeight="false" outlineLevel="0" collapsed="false">
      <c r="A318" s="38"/>
      <c r="B318" s="22"/>
      <c r="C318" s="22"/>
      <c r="D318" s="22"/>
      <c r="E318" s="22"/>
      <c r="F318" s="22"/>
      <c r="G318" s="22"/>
      <c r="H318" s="22"/>
      <c r="I318" s="22"/>
      <c r="J318" s="22"/>
    </row>
    <row r="319" customFormat="false" ht="15" hidden="false" customHeight="false" outlineLevel="0" collapsed="false">
      <c r="A319" s="38"/>
      <c r="B319" s="22"/>
      <c r="C319" s="22"/>
      <c r="D319" s="22"/>
      <c r="E319" s="22"/>
      <c r="F319" s="22"/>
      <c r="G319" s="22"/>
      <c r="H319" s="22"/>
      <c r="I319" s="22"/>
      <c r="J319" s="22"/>
    </row>
    <row r="320" customFormat="false" ht="15" hidden="false" customHeight="false" outlineLevel="0" collapsed="false">
      <c r="A320" s="38"/>
      <c r="B320" s="22"/>
      <c r="C320" s="22"/>
      <c r="D320" s="22"/>
      <c r="E320" s="22"/>
      <c r="F320" s="22"/>
      <c r="G320" s="22"/>
      <c r="H320" s="22"/>
      <c r="I320" s="22"/>
      <c r="J320" s="22"/>
    </row>
    <row r="321" customFormat="false" ht="15" hidden="false" customHeight="false" outlineLevel="0" collapsed="false">
      <c r="A321" s="38"/>
      <c r="B321" s="22"/>
      <c r="C321" s="22"/>
      <c r="D321" s="22"/>
      <c r="E321" s="22"/>
      <c r="F321" s="22"/>
      <c r="G321" s="22"/>
      <c r="H321" s="22"/>
      <c r="I321" s="22"/>
      <c r="J321" s="22"/>
    </row>
    <row r="322" customFormat="false" ht="15" hidden="false" customHeight="false" outlineLevel="0" collapsed="false">
      <c r="A322" s="38"/>
      <c r="B322" s="22"/>
      <c r="C322" s="22"/>
      <c r="D322" s="22"/>
      <c r="E322" s="22"/>
      <c r="F322" s="22"/>
      <c r="G322" s="22"/>
      <c r="H322" s="22"/>
      <c r="I322" s="22"/>
      <c r="J322" s="22"/>
    </row>
    <row r="323" customFormat="false" ht="15" hidden="false" customHeight="false" outlineLevel="0" collapsed="false">
      <c r="A323" s="38"/>
      <c r="B323" s="22"/>
      <c r="C323" s="22"/>
      <c r="D323" s="22"/>
      <c r="E323" s="22"/>
      <c r="F323" s="22"/>
      <c r="G323" s="22"/>
      <c r="H323" s="22"/>
      <c r="I323" s="22"/>
      <c r="J323" s="22"/>
    </row>
    <row r="324" customFormat="false" ht="15" hidden="false" customHeight="false" outlineLevel="0" collapsed="false">
      <c r="A324" s="38"/>
      <c r="B324" s="22"/>
      <c r="C324" s="22"/>
      <c r="D324" s="22"/>
      <c r="E324" s="22"/>
      <c r="F324" s="22"/>
      <c r="G324" s="22"/>
      <c r="H324" s="22"/>
      <c r="I324" s="22"/>
      <c r="J324" s="22"/>
    </row>
    <row r="325" customFormat="false" ht="15" hidden="false" customHeight="false" outlineLevel="0" collapsed="false">
      <c r="A325" s="38"/>
      <c r="B325" s="22"/>
      <c r="C325" s="22"/>
      <c r="D325" s="22"/>
      <c r="E325" s="22"/>
      <c r="F325" s="22"/>
      <c r="G325" s="22"/>
      <c r="H325" s="22"/>
      <c r="I325" s="22"/>
      <c r="J325" s="22"/>
    </row>
    <row r="326" customFormat="false" ht="15" hidden="false" customHeight="false" outlineLevel="0" collapsed="false">
      <c r="A326" s="38"/>
      <c r="B326" s="22"/>
      <c r="C326" s="22"/>
      <c r="D326" s="22"/>
      <c r="E326" s="22"/>
      <c r="F326" s="22"/>
      <c r="G326" s="22"/>
      <c r="H326" s="22"/>
      <c r="I326" s="22"/>
      <c r="J326" s="22"/>
    </row>
    <row r="327" customFormat="false" ht="15" hidden="false" customHeight="false" outlineLevel="0" collapsed="false">
      <c r="A327" s="38"/>
      <c r="B327" s="22"/>
      <c r="C327" s="22"/>
      <c r="D327" s="22"/>
      <c r="E327" s="22"/>
      <c r="F327" s="22"/>
      <c r="G327" s="22"/>
      <c r="H327" s="22"/>
      <c r="I327" s="22"/>
      <c r="J327" s="22"/>
    </row>
    <row r="328" customFormat="false" ht="15" hidden="false" customHeight="false" outlineLevel="0" collapsed="false">
      <c r="A328" s="38"/>
      <c r="B328" s="22"/>
      <c r="C328" s="22"/>
      <c r="D328" s="22"/>
      <c r="E328" s="22"/>
      <c r="F328" s="22"/>
      <c r="G328" s="22"/>
      <c r="H328" s="22"/>
      <c r="I328" s="22"/>
      <c r="J328" s="22"/>
    </row>
    <row r="329" customFormat="false" ht="15" hidden="false" customHeight="false" outlineLevel="0" collapsed="false">
      <c r="A329" s="38"/>
      <c r="B329" s="22"/>
      <c r="C329" s="22"/>
      <c r="D329" s="22"/>
      <c r="E329" s="22"/>
      <c r="F329" s="22"/>
      <c r="G329" s="22"/>
      <c r="H329" s="22"/>
      <c r="I329" s="22"/>
      <c r="J329" s="22"/>
    </row>
    <row r="330" customFormat="false" ht="15" hidden="false" customHeight="false" outlineLevel="0" collapsed="false">
      <c r="A330" s="38"/>
      <c r="B330" s="22"/>
      <c r="C330" s="22"/>
      <c r="D330" s="22"/>
      <c r="E330" s="22"/>
      <c r="F330" s="22"/>
      <c r="G330" s="22"/>
      <c r="H330" s="22"/>
      <c r="I330" s="22"/>
      <c r="J330" s="22"/>
    </row>
    <row r="331" customFormat="false" ht="15" hidden="false" customHeight="false" outlineLevel="0" collapsed="false">
      <c r="A331" s="38"/>
      <c r="B331" s="22"/>
      <c r="C331" s="22"/>
      <c r="D331" s="22"/>
      <c r="E331" s="22"/>
      <c r="F331" s="22"/>
      <c r="G331" s="22"/>
      <c r="H331" s="22"/>
      <c r="I331" s="22"/>
      <c r="J331" s="22"/>
    </row>
    <row r="332" customFormat="false" ht="15" hidden="false" customHeight="false" outlineLevel="0" collapsed="false">
      <c r="A332" s="38"/>
      <c r="B332" s="22"/>
      <c r="C332" s="22"/>
      <c r="D332" s="22"/>
      <c r="E332" s="22"/>
      <c r="F332" s="22"/>
      <c r="G332" s="22"/>
      <c r="H332" s="22"/>
      <c r="I332" s="22"/>
      <c r="J332" s="22"/>
    </row>
    <row r="333" customFormat="false" ht="15" hidden="false" customHeight="false" outlineLevel="0" collapsed="false">
      <c r="A333" s="38"/>
      <c r="B333" s="22"/>
      <c r="C333" s="22"/>
      <c r="D333" s="22"/>
      <c r="E333" s="22"/>
      <c r="F333" s="22"/>
      <c r="G333" s="22"/>
      <c r="H333" s="22"/>
      <c r="I333" s="22"/>
      <c r="J333" s="22"/>
    </row>
    <row r="334" customFormat="false" ht="15" hidden="false" customHeight="false" outlineLevel="0" collapsed="false">
      <c r="A334" s="38"/>
      <c r="B334" s="22"/>
      <c r="C334" s="22"/>
      <c r="D334" s="22"/>
      <c r="E334" s="22"/>
      <c r="F334" s="22"/>
      <c r="G334" s="22"/>
      <c r="H334" s="22"/>
      <c r="I334" s="22"/>
      <c r="J334" s="22"/>
    </row>
    <row r="335" customFormat="false" ht="15" hidden="false" customHeight="false" outlineLevel="0" collapsed="false">
      <c r="A335" s="38"/>
      <c r="B335" s="22"/>
      <c r="C335" s="22"/>
      <c r="D335" s="22"/>
      <c r="E335" s="22"/>
      <c r="F335" s="22"/>
      <c r="G335" s="22"/>
      <c r="H335" s="22"/>
      <c r="I335" s="22"/>
      <c r="J335" s="22"/>
    </row>
    <row r="336" customFormat="false" ht="15" hidden="false" customHeight="false" outlineLevel="0" collapsed="false">
      <c r="A336" s="38"/>
      <c r="B336" s="22"/>
      <c r="C336" s="22"/>
      <c r="D336" s="22"/>
      <c r="E336" s="22"/>
      <c r="F336" s="22"/>
      <c r="G336" s="22"/>
      <c r="H336" s="22"/>
      <c r="I336" s="22"/>
      <c r="J336" s="22"/>
    </row>
    <row r="337" customFormat="false" ht="15" hidden="false" customHeight="false" outlineLevel="0" collapsed="false">
      <c r="A337" s="38"/>
      <c r="B337" s="22"/>
      <c r="C337" s="22"/>
      <c r="D337" s="22"/>
      <c r="E337" s="22"/>
      <c r="F337" s="22"/>
      <c r="G337" s="22"/>
      <c r="H337" s="22"/>
      <c r="I337" s="22"/>
      <c r="J337" s="22"/>
    </row>
    <row r="338" customFormat="false" ht="15" hidden="false" customHeight="false" outlineLevel="0" collapsed="false">
      <c r="A338" s="38"/>
      <c r="B338" s="22"/>
      <c r="C338" s="22"/>
      <c r="D338" s="22"/>
      <c r="E338" s="22"/>
      <c r="F338" s="22"/>
      <c r="G338" s="22"/>
      <c r="H338" s="22"/>
      <c r="I338" s="22"/>
      <c r="J338" s="22"/>
    </row>
    <row r="339" customFormat="false" ht="15" hidden="false" customHeight="false" outlineLevel="0" collapsed="false">
      <c r="A339" s="38"/>
      <c r="B339" s="22"/>
      <c r="C339" s="22"/>
      <c r="D339" s="22"/>
      <c r="E339" s="22"/>
      <c r="F339" s="22"/>
      <c r="G339" s="22"/>
      <c r="H339" s="22"/>
      <c r="I339" s="22"/>
      <c r="J339" s="22"/>
    </row>
    <row r="340" customFormat="false" ht="15" hidden="false" customHeight="false" outlineLevel="0" collapsed="false">
      <c r="A340" s="38"/>
      <c r="B340" s="22"/>
      <c r="C340" s="22"/>
      <c r="D340" s="22"/>
      <c r="E340" s="22"/>
      <c r="F340" s="22"/>
      <c r="G340" s="22"/>
      <c r="H340" s="22"/>
      <c r="I340" s="22"/>
      <c r="J340" s="22"/>
    </row>
    <row r="341" customFormat="false" ht="15" hidden="false" customHeight="false" outlineLevel="0" collapsed="false">
      <c r="A341" s="38"/>
      <c r="B341" s="22"/>
      <c r="C341" s="22"/>
      <c r="D341" s="22"/>
      <c r="E341" s="22"/>
      <c r="F341" s="22"/>
      <c r="G341" s="22"/>
      <c r="H341" s="22"/>
      <c r="I341" s="22"/>
      <c r="J341" s="22"/>
    </row>
    <row r="342" customFormat="false" ht="15" hidden="false" customHeight="false" outlineLevel="0" collapsed="false">
      <c r="A342" s="38"/>
      <c r="B342" s="22"/>
      <c r="C342" s="22"/>
      <c r="D342" s="22"/>
      <c r="E342" s="22"/>
      <c r="F342" s="22"/>
      <c r="G342" s="22"/>
      <c r="H342" s="22"/>
      <c r="I342" s="22"/>
      <c r="J342" s="22"/>
    </row>
    <row r="343" customFormat="false" ht="15" hidden="false" customHeight="false" outlineLevel="0" collapsed="false">
      <c r="A343" s="38"/>
      <c r="B343" s="22"/>
      <c r="C343" s="22"/>
      <c r="D343" s="22"/>
      <c r="E343" s="22"/>
      <c r="F343" s="22"/>
      <c r="G343" s="22"/>
      <c r="H343" s="22"/>
      <c r="I343" s="22"/>
      <c r="J343" s="22"/>
    </row>
    <row r="344" customFormat="false" ht="15" hidden="false" customHeight="false" outlineLevel="0" collapsed="false">
      <c r="A344" s="38"/>
      <c r="B344" s="22"/>
      <c r="C344" s="22"/>
      <c r="D344" s="22"/>
      <c r="E344" s="22"/>
      <c r="F344" s="22"/>
      <c r="G344" s="22"/>
      <c r="H344" s="22"/>
      <c r="I344" s="22"/>
      <c r="J344" s="22"/>
    </row>
    <row r="345" customFormat="false" ht="15" hidden="false" customHeight="false" outlineLevel="0" collapsed="false">
      <c r="A345" s="38"/>
      <c r="B345" s="22"/>
      <c r="C345" s="22"/>
      <c r="D345" s="22"/>
      <c r="E345" s="22"/>
      <c r="F345" s="22"/>
      <c r="G345" s="22"/>
      <c r="H345" s="22"/>
      <c r="I345" s="22"/>
      <c r="J345" s="22"/>
    </row>
    <row r="346" customFormat="false" ht="15" hidden="false" customHeight="false" outlineLevel="0" collapsed="false">
      <c r="A346" s="38"/>
      <c r="B346" s="22"/>
      <c r="C346" s="22"/>
      <c r="D346" s="22"/>
      <c r="E346" s="22"/>
      <c r="F346" s="22"/>
      <c r="G346" s="22"/>
      <c r="H346" s="22"/>
      <c r="I346" s="22"/>
      <c r="J346" s="22"/>
    </row>
    <row r="347" customFormat="false" ht="15" hidden="false" customHeight="false" outlineLevel="0" collapsed="false">
      <c r="A347" s="38"/>
      <c r="B347" s="22"/>
      <c r="C347" s="22"/>
      <c r="D347" s="22"/>
      <c r="E347" s="22"/>
      <c r="F347" s="22"/>
      <c r="G347" s="22"/>
      <c r="H347" s="22"/>
      <c r="I347" s="22"/>
      <c r="J347" s="22"/>
    </row>
    <row r="348" customFormat="false" ht="15" hidden="false" customHeight="false" outlineLevel="0" collapsed="false">
      <c r="A348" s="38"/>
      <c r="B348" s="22"/>
      <c r="C348" s="22"/>
      <c r="D348" s="22"/>
      <c r="E348" s="22"/>
      <c r="F348" s="22"/>
      <c r="G348" s="22"/>
      <c r="H348" s="22"/>
      <c r="I348" s="22"/>
      <c r="J348" s="22"/>
    </row>
    <row r="349" customFormat="false" ht="15" hidden="false" customHeight="false" outlineLevel="0" collapsed="false">
      <c r="A349" s="38"/>
      <c r="B349" s="22"/>
      <c r="C349" s="22"/>
      <c r="D349" s="22"/>
      <c r="E349" s="22"/>
      <c r="F349" s="22"/>
      <c r="G349" s="22"/>
      <c r="H349" s="22"/>
      <c r="I349" s="22"/>
      <c r="J349" s="22"/>
    </row>
    <row r="350" customFormat="false" ht="15" hidden="false" customHeight="false" outlineLevel="0" collapsed="false">
      <c r="A350" s="38"/>
      <c r="B350" s="22"/>
      <c r="C350" s="22"/>
      <c r="D350" s="22"/>
      <c r="E350" s="22"/>
      <c r="F350" s="22"/>
      <c r="G350" s="22"/>
      <c r="H350" s="22"/>
      <c r="I350" s="22"/>
      <c r="J350" s="22"/>
    </row>
    <row r="351" customFormat="false" ht="15" hidden="false" customHeight="false" outlineLevel="0" collapsed="false">
      <c r="A351" s="38"/>
      <c r="B351" s="22"/>
      <c r="C351" s="22"/>
      <c r="D351" s="22"/>
      <c r="E351" s="22"/>
      <c r="F351" s="22"/>
      <c r="G351" s="22"/>
      <c r="H351" s="22"/>
      <c r="I351" s="22"/>
      <c r="J351" s="22"/>
    </row>
    <row r="352" customFormat="false" ht="15" hidden="false" customHeight="false" outlineLevel="0" collapsed="false">
      <c r="A352" s="38"/>
      <c r="B352" s="22"/>
      <c r="C352" s="22"/>
      <c r="D352" s="22"/>
      <c r="E352" s="22"/>
      <c r="F352" s="22"/>
      <c r="G352" s="22"/>
      <c r="H352" s="22"/>
      <c r="I352" s="22"/>
      <c r="J352" s="22"/>
    </row>
    <row r="353" customFormat="false" ht="15" hidden="false" customHeight="false" outlineLevel="0" collapsed="false">
      <c r="A353" s="38"/>
      <c r="B353" s="22"/>
      <c r="C353" s="22"/>
      <c r="D353" s="22"/>
      <c r="E353" s="22"/>
      <c r="F353" s="22"/>
      <c r="G353" s="22"/>
      <c r="H353" s="22"/>
      <c r="I353" s="22"/>
      <c r="J353" s="22"/>
    </row>
    <row r="354" customFormat="false" ht="15" hidden="false" customHeight="false" outlineLevel="0" collapsed="false">
      <c r="A354" s="38"/>
      <c r="B354" s="22"/>
      <c r="C354" s="22"/>
      <c r="D354" s="22"/>
      <c r="E354" s="22"/>
      <c r="F354" s="22"/>
      <c r="G354" s="22"/>
      <c r="H354" s="22"/>
      <c r="I354" s="22"/>
      <c r="J354" s="22"/>
    </row>
    <row r="355" customFormat="false" ht="15" hidden="false" customHeight="false" outlineLevel="0" collapsed="false">
      <c r="A355" s="38"/>
      <c r="B355" s="22"/>
      <c r="C355" s="22"/>
      <c r="D355" s="22"/>
      <c r="E355" s="22"/>
      <c r="F355" s="22"/>
      <c r="G355" s="22"/>
      <c r="H355" s="22"/>
      <c r="I355" s="22"/>
      <c r="J355" s="22"/>
    </row>
    <row r="356" customFormat="false" ht="15" hidden="false" customHeight="false" outlineLevel="0" collapsed="false">
      <c r="A356" s="38"/>
      <c r="B356" s="22"/>
      <c r="C356" s="22"/>
      <c r="D356" s="22"/>
      <c r="E356" s="22"/>
      <c r="F356" s="22"/>
      <c r="G356" s="22"/>
      <c r="H356" s="22"/>
      <c r="I356" s="22"/>
      <c r="J356" s="22"/>
    </row>
    <row r="357" customFormat="false" ht="15" hidden="false" customHeight="false" outlineLevel="0" collapsed="false">
      <c r="A357" s="38"/>
      <c r="B357" s="22"/>
      <c r="C357" s="22"/>
      <c r="D357" s="22"/>
      <c r="E357" s="22"/>
      <c r="F357" s="22"/>
      <c r="G357" s="22"/>
      <c r="H357" s="22"/>
      <c r="I357" s="22"/>
      <c r="J357" s="22"/>
    </row>
    <row r="358" customFormat="false" ht="15" hidden="false" customHeight="false" outlineLevel="0" collapsed="false">
      <c r="A358" s="38"/>
      <c r="B358" s="22"/>
      <c r="C358" s="22"/>
      <c r="D358" s="22"/>
      <c r="E358" s="22"/>
      <c r="F358" s="22"/>
      <c r="G358" s="22"/>
      <c r="H358" s="22"/>
      <c r="I358" s="22"/>
      <c r="J358" s="22"/>
    </row>
    <row r="359" customFormat="false" ht="15" hidden="false" customHeight="false" outlineLevel="0" collapsed="false">
      <c r="A359" s="38"/>
      <c r="B359" s="22"/>
      <c r="C359" s="22"/>
      <c r="D359" s="22"/>
      <c r="E359" s="22"/>
      <c r="F359" s="22"/>
      <c r="G359" s="22"/>
      <c r="H359" s="22"/>
      <c r="I359" s="22"/>
      <c r="J359" s="22"/>
    </row>
    <row r="360" customFormat="false" ht="15" hidden="false" customHeight="false" outlineLevel="0" collapsed="false">
      <c r="A360" s="38"/>
      <c r="B360" s="22"/>
      <c r="C360" s="22"/>
      <c r="D360" s="22"/>
      <c r="E360" s="22"/>
      <c r="F360" s="22"/>
      <c r="G360" s="22"/>
      <c r="H360" s="22"/>
      <c r="I360" s="22"/>
      <c r="J360" s="22"/>
    </row>
    <row r="361" customFormat="false" ht="15" hidden="false" customHeight="false" outlineLevel="0" collapsed="false">
      <c r="A361" s="38"/>
      <c r="B361" s="22"/>
      <c r="C361" s="22"/>
      <c r="D361" s="22"/>
      <c r="E361" s="22"/>
      <c r="F361" s="22"/>
      <c r="G361" s="22"/>
      <c r="H361" s="22"/>
      <c r="I361" s="22"/>
      <c r="J361" s="22"/>
    </row>
    <row r="362" customFormat="false" ht="15" hidden="false" customHeight="false" outlineLevel="0" collapsed="false">
      <c r="A362" s="38"/>
      <c r="B362" s="22"/>
      <c r="C362" s="22"/>
      <c r="D362" s="22"/>
      <c r="E362" s="22"/>
      <c r="F362" s="22"/>
      <c r="G362" s="22"/>
      <c r="H362" s="22"/>
      <c r="I362" s="22"/>
      <c r="J362" s="22"/>
    </row>
    <row r="363" customFormat="false" ht="15" hidden="false" customHeight="false" outlineLevel="0" collapsed="false">
      <c r="A363" s="38"/>
      <c r="B363" s="22"/>
      <c r="C363" s="22"/>
      <c r="D363" s="22"/>
      <c r="E363" s="22"/>
      <c r="F363" s="22"/>
      <c r="G363" s="22"/>
      <c r="H363" s="22"/>
      <c r="I363" s="22"/>
      <c r="J363" s="22"/>
    </row>
    <row r="364" customFormat="false" ht="15" hidden="false" customHeight="false" outlineLevel="0" collapsed="false">
      <c r="A364" s="38"/>
      <c r="B364" s="22"/>
      <c r="C364" s="22"/>
      <c r="D364" s="22"/>
      <c r="E364" s="22"/>
      <c r="F364" s="22"/>
      <c r="G364" s="22"/>
      <c r="H364" s="22"/>
      <c r="I364" s="22"/>
      <c r="J364" s="22"/>
    </row>
    <row r="365" customFormat="false" ht="15" hidden="false" customHeight="false" outlineLevel="0" collapsed="false">
      <c r="A365" s="38"/>
      <c r="B365" s="22"/>
      <c r="C365" s="22"/>
      <c r="D365" s="22"/>
      <c r="E365" s="22"/>
      <c r="F365" s="22"/>
      <c r="G365" s="22"/>
      <c r="H365" s="22"/>
      <c r="I365" s="22"/>
      <c r="J365" s="22"/>
    </row>
    <row r="366" customFormat="false" ht="15" hidden="false" customHeight="false" outlineLevel="0" collapsed="false">
      <c r="A366" s="38"/>
      <c r="B366" s="22"/>
      <c r="C366" s="22"/>
      <c r="D366" s="22"/>
      <c r="E366" s="22"/>
      <c r="F366" s="22"/>
      <c r="G366" s="22"/>
      <c r="H366" s="22"/>
      <c r="I366" s="22"/>
      <c r="J366" s="22"/>
    </row>
    <row r="367" customFormat="false" ht="15" hidden="false" customHeight="false" outlineLevel="0" collapsed="false">
      <c r="A367" s="38"/>
      <c r="B367" s="22"/>
      <c r="C367" s="22"/>
      <c r="D367" s="22"/>
      <c r="E367" s="22"/>
      <c r="F367" s="22"/>
      <c r="G367" s="22"/>
      <c r="H367" s="22"/>
      <c r="I367" s="22"/>
      <c r="J367" s="22"/>
    </row>
    <row r="368" customFormat="false" ht="15" hidden="false" customHeight="false" outlineLevel="0" collapsed="false">
      <c r="A368" s="38"/>
      <c r="B368" s="22"/>
      <c r="C368" s="22"/>
      <c r="D368" s="22"/>
      <c r="E368" s="22"/>
      <c r="F368" s="22"/>
      <c r="G368" s="22"/>
      <c r="H368" s="22"/>
      <c r="I368" s="22"/>
      <c r="J368" s="22"/>
    </row>
    <row r="369" customFormat="false" ht="15" hidden="false" customHeight="false" outlineLevel="0" collapsed="false">
      <c r="A369" s="38"/>
      <c r="B369" s="22"/>
      <c r="C369" s="22"/>
      <c r="D369" s="22"/>
      <c r="E369" s="22"/>
      <c r="F369" s="22"/>
      <c r="G369" s="22"/>
      <c r="H369" s="22"/>
      <c r="I369" s="22"/>
      <c r="J369" s="22"/>
    </row>
    <row r="370" customFormat="false" ht="15" hidden="false" customHeight="false" outlineLevel="0" collapsed="false">
      <c r="A370" s="38"/>
      <c r="B370" s="22"/>
      <c r="C370" s="22"/>
      <c r="D370" s="22"/>
      <c r="E370" s="22"/>
      <c r="F370" s="22"/>
      <c r="G370" s="22"/>
      <c r="H370" s="22"/>
      <c r="I370" s="22"/>
      <c r="J370" s="22"/>
    </row>
    <row r="371" customFormat="false" ht="15" hidden="false" customHeight="false" outlineLevel="0" collapsed="false">
      <c r="A371" s="38"/>
      <c r="B371" s="22"/>
      <c r="C371" s="22"/>
      <c r="D371" s="22"/>
      <c r="E371" s="22"/>
      <c r="F371" s="22"/>
      <c r="G371" s="22"/>
      <c r="H371" s="22"/>
      <c r="I371" s="22"/>
      <c r="J371" s="22"/>
    </row>
    <row r="372" customFormat="false" ht="15" hidden="false" customHeight="false" outlineLevel="0" collapsed="false">
      <c r="A372" s="38"/>
      <c r="B372" s="22"/>
      <c r="C372" s="22"/>
      <c r="D372" s="22"/>
      <c r="E372" s="22"/>
      <c r="F372" s="22"/>
      <c r="G372" s="22"/>
      <c r="H372" s="22"/>
      <c r="I372" s="22"/>
      <c r="J372" s="22"/>
    </row>
    <row r="373" customFormat="false" ht="15" hidden="false" customHeight="false" outlineLevel="0" collapsed="false">
      <c r="A373" s="38"/>
      <c r="B373" s="22"/>
      <c r="C373" s="22"/>
      <c r="D373" s="22"/>
      <c r="E373" s="22"/>
      <c r="F373" s="22"/>
      <c r="G373" s="22"/>
      <c r="H373" s="22"/>
      <c r="I373" s="22"/>
      <c r="J373" s="22"/>
    </row>
    <row r="374" customFormat="false" ht="15" hidden="false" customHeight="false" outlineLevel="0" collapsed="false">
      <c r="A374" s="38"/>
      <c r="B374" s="22"/>
      <c r="C374" s="22"/>
      <c r="D374" s="22"/>
      <c r="E374" s="22"/>
      <c r="F374" s="22"/>
      <c r="G374" s="22"/>
      <c r="H374" s="22"/>
      <c r="I374" s="22"/>
      <c r="J374" s="22"/>
    </row>
    <row r="375" customFormat="false" ht="15" hidden="false" customHeight="false" outlineLevel="0" collapsed="false">
      <c r="A375" s="38"/>
      <c r="B375" s="22"/>
      <c r="C375" s="22"/>
      <c r="D375" s="22"/>
      <c r="E375" s="22"/>
      <c r="F375" s="22"/>
      <c r="G375" s="22"/>
      <c r="H375" s="22"/>
      <c r="I375" s="22"/>
      <c r="J375" s="22"/>
    </row>
    <row r="376" customFormat="false" ht="15" hidden="false" customHeight="false" outlineLevel="0" collapsed="false">
      <c r="A376" s="38"/>
      <c r="B376" s="22"/>
      <c r="C376" s="22"/>
      <c r="D376" s="22"/>
      <c r="E376" s="22"/>
      <c r="F376" s="22"/>
      <c r="G376" s="22"/>
      <c r="H376" s="22"/>
      <c r="I376" s="22"/>
      <c r="J376" s="22"/>
    </row>
    <row r="377" customFormat="false" ht="15" hidden="false" customHeight="false" outlineLevel="0" collapsed="false">
      <c r="A377" s="38"/>
      <c r="B377" s="22"/>
      <c r="C377" s="22"/>
      <c r="D377" s="22"/>
      <c r="E377" s="22"/>
      <c r="F377" s="22"/>
      <c r="G377" s="22"/>
      <c r="H377" s="22"/>
      <c r="I377" s="22"/>
      <c r="J377" s="22"/>
    </row>
    <row r="378" customFormat="false" ht="15" hidden="false" customHeight="false" outlineLevel="0" collapsed="false">
      <c r="A378" s="38"/>
      <c r="B378" s="22"/>
      <c r="C378" s="22"/>
      <c r="D378" s="22"/>
      <c r="E378" s="22"/>
      <c r="F378" s="22"/>
      <c r="G378" s="22"/>
      <c r="H378" s="22"/>
      <c r="I378" s="22"/>
      <c r="J378" s="22"/>
    </row>
    <row r="379" customFormat="false" ht="15" hidden="false" customHeight="false" outlineLevel="0" collapsed="false">
      <c r="A379" s="38"/>
      <c r="B379" s="22"/>
      <c r="C379" s="22"/>
      <c r="D379" s="22"/>
      <c r="E379" s="22"/>
      <c r="F379" s="22"/>
      <c r="G379" s="22"/>
      <c r="H379" s="22"/>
      <c r="I379" s="22"/>
      <c r="J379" s="22"/>
    </row>
    <row r="380" customFormat="false" ht="15" hidden="false" customHeight="false" outlineLevel="0" collapsed="false">
      <c r="A380" s="38"/>
      <c r="B380" s="22"/>
      <c r="C380" s="22"/>
      <c r="D380" s="22"/>
      <c r="E380" s="22"/>
      <c r="F380" s="22"/>
      <c r="G380" s="22"/>
      <c r="H380" s="22"/>
      <c r="I380" s="22"/>
      <c r="J380" s="22"/>
    </row>
    <row r="381" customFormat="false" ht="15" hidden="false" customHeight="false" outlineLevel="0" collapsed="false">
      <c r="A381" s="38"/>
      <c r="B381" s="22"/>
      <c r="C381" s="22"/>
      <c r="D381" s="22"/>
      <c r="E381" s="22"/>
      <c r="F381" s="22"/>
      <c r="G381" s="22"/>
      <c r="H381" s="22"/>
      <c r="I381" s="22"/>
      <c r="J381" s="22"/>
    </row>
    <row r="382" customFormat="false" ht="15" hidden="false" customHeight="false" outlineLevel="0" collapsed="false">
      <c r="A382" s="38"/>
      <c r="B382" s="22"/>
      <c r="C382" s="22"/>
      <c r="D382" s="22"/>
      <c r="E382" s="22"/>
      <c r="F382" s="22"/>
      <c r="G382" s="22"/>
      <c r="H382" s="22"/>
      <c r="I382" s="22"/>
      <c r="J382" s="22"/>
    </row>
    <row r="383" customFormat="false" ht="15" hidden="false" customHeight="false" outlineLevel="0" collapsed="false">
      <c r="A383" s="38"/>
      <c r="B383" s="22"/>
      <c r="C383" s="22"/>
      <c r="D383" s="22"/>
      <c r="E383" s="22"/>
      <c r="F383" s="22"/>
      <c r="G383" s="22"/>
      <c r="H383" s="22"/>
      <c r="I383" s="22"/>
      <c r="J383" s="22"/>
    </row>
    <row r="384" customFormat="false" ht="15" hidden="false" customHeight="false" outlineLevel="0" collapsed="false">
      <c r="A384" s="38"/>
      <c r="B384" s="22"/>
      <c r="C384" s="22"/>
      <c r="D384" s="22"/>
      <c r="E384" s="22"/>
      <c r="F384" s="22"/>
      <c r="G384" s="22"/>
      <c r="H384" s="22"/>
      <c r="I384" s="22"/>
      <c r="J384" s="22"/>
    </row>
    <row r="385" customFormat="false" ht="15" hidden="false" customHeight="false" outlineLevel="0" collapsed="false">
      <c r="A385" s="38"/>
      <c r="B385" s="22"/>
      <c r="C385" s="22"/>
      <c r="D385" s="22"/>
      <c r="E385" s="22"/>
      <c r="F385" s="22"/>
      <c r="G385" s="22"/>
      <c r="H385" s="22"/>
      <c r="I385" s="22"/>
      <c r="J385" s="22"/>
    </row>
    <row r="386" customFormat="false" ht="15" hidden="false" customHeight="false" outlineLevel="0" collapsed="false">
      <c r="A386" s="38"/>
      <c r="B386" s="22"/>
      <c r="C386" s="22"/>
      <c r="D386" s="22"/>
      <c r="E386" s="22"/>
      <c r="F386" s="22"/>
      <c r="G386" s="22"/>
      <c r="H386" s="22"/>
      <c r="I386" s="22"/>
      <c r="J386" s="22"/>
    </row>
    <row r="387" customFormat="false" ht="15" hidden="false" customHeight="false" outlineLevel="0" collapsed="false">
      <c r="A387" s="38"/>
      <c r="B387" s="22"/>
      <c r="C387" s="22"/>
      <c r="D387" s="22"/>
      <c r="E387" s="22"/>
      <c r="F387" s="22"/>
      <c r="G387" s="22"/>
      <c r="H387" s="22"/>
      <c r="I387" s="22"/>
      <c r="J387" s="22"/>
    </row>
    <row r="388" customFormat="false" ht="15" hidden="false" customHeight="false" outlineLevel="0" collapsed="false">
      <c r="A388" s="38"/>
      <c r="B388" s="22"/>
      <c r="C388" s="22"/>
      <c r="D388" s="22"/>
      <c r="E388" s="22"/>
      <c r="F388" s="22"/>
      <c r="G388" s="22"/>
      <c r="H388" s="22"/>
      <c r="I388" s="22"/>
      <c r="J388" s="22"/>
    </row>
    <row r="389" customFormat="false" ht="15" hidden="false" customHeight="false" outlineLevel="0" collapsed="false">
      <c r="A389" s="38"/>
      <c r="B389" s="22"/>
      <c r="C389" s="22"/>
      <c r="D389" s="22"/>
      <c r="E389" s="22"/>
      <c r="F389" s="22"/>
      <c r="G389" s="22"/>
      <c r="H389" s="22"/>
      <c r="I389" s="22"/>
      <c r="J389" s="22"/>
    </row>
    <row r="390" customFormat="false" ht="15" hidden="false" customHeight="false" outlineLevel="0" collapsed="false">
      <c r="A390" s="38"/>
      <c r="B390" s="22"/>
      <c r="C390" s="22"/>
      <c r="D390" s="22"/>
      <c r="E390" s="22"/>
      <c r="F390" s="22"/>
      <c r="G390" s="22"/>
      <c r="H390" s="22"/>
      <c r="I390" s="22"/>
      <c r="J390" s="22"/>
    </row>
    <row r="391" customFormat="false" ht="15" hidden="false" customHeight="false" outlineLevel="0" collapsed="false">
      <c r="A391" s="38"/>
      <c r="B391" s="22"/>
      <c r="C391" s="22"/>
      <c r="D391" s="22"/>
      <c r="E391" s="22"/>
      <c r="F391" s="22"/>
      <c r="G391" s="22"/>
      <c r="H391" s="22"/>
      <c r="I391" s="22"/>
      <c r="J391" s="22"/>
    </row>
    <row r="392" customFormat="false" ht="15" hidden="false" customHeight="false" outlineLevel="0" collapsed="false">
      <c r="A392" s="38"/>
      <c r="B392" s="22"/>
      <c r="C392" s="22"/>
      <c r="D392" s="22"/>
      <c r="E392" s="22"/>
      <c r="F392" s="22"/>
      <c r="G392" s="22"/>
      <c r="H392" s="22"/>
      <c r="I392" s="22"/>
      <c r="J392" s="22"/>
    </row>
    <row r="393" customFormat="false" ht="15" hidden="false" customHeight="false" outlineLevel="0" collapsed="false">
      <c r="A393" s="38"/>
      <c r="B393" s="22"/>
      <c r="C393" s="22"/>
      <c r="D393" s="22"/>
      <c r="E393" s="22"/>
      <c r="F393" s="22"/>
      <c r="G393" s="22"/>
      <c r="H393" s="22"/>
      <c r="I393" s="22"/>
      <c r="J393" s="22"/>
    </row>
    <row r="394" customFormat="false" ht="15" hidden="false" customHeight="false" outlineLevel="0" collapsed="false">
      <c r="A394" s="38"/>
      <c r="B394" s="22"/>
      <c r="C394" s="22"/>
      <c r="D394" s="22"/>
      <c r="E394" s="22"/>
      <c r="F394" s="22"/>
      <c r="G394" s="22"/>
      <c r="H394" s="22"/>
      <c r="I394" s="22"/>
      <c r="J394" s="22"/>
    </row>
    <row r="395" customFormat="false" ht="15" hidden="false" customHeight="false" outlineLevel="0" collapsed="false">
      <c r="A395" s="38"/>
      <c r="B395" s="22"/>
      <c r="C395" s="22"/>
      <c r="D395" s="22"/>
      <c r="E395" s="22"/>
      <c r="F395" s="22"/>
      <c r="G395" s="22"/>
      <c r="H395" s="22"/>
      <c r="I395" s="22"/>
      <c r="J395" s="22"/>
    </row>
    <row r="396" customFormat="false" ht="15" hidden="false" customHeight="false" outlineLevel="0" collapsed="false">
      <c r="A396" s="38"/>
      <c r="B396" s="22"/>
      <c r="C396" s="22"/>
      <c r="D396" s="22"/>
      <c r="E396" s="22"/>
      <c r="F396" s="22"/>
      <c r="G396" s="22"/>
      <c r="H396" s="22"/>
      <c r="I396" s="22"/>
      <c r="J396" s="22"/>
    </row>
    <row r="397" customFormat="false" ht="15" hidden="false" customHeight="false" outlineLevel="0" collapsed="false">
      <c r="A397" s="38"/>
      <c r="B397" s="22"/>
      <c r="C397" s="22"/>
      <c r="D397" s="22"/>
      <c r="E397" s="22"/>
      <c r="F397" s="22"/>
      <c r="G397" s="22"/>
      <c r="H397" s="22"/>
      <c r="I397" s="22"/>
      <c r="J397" s="22"/>
    </row>
    <row r="398" customFormat="false" ht="15" hidden="false" customHeight="false" outlineLevel="0" collapsed="false">
      <c r="A398" s="38"/>
      <c r="B398" s="22"/>
      <c r="C398" s="22"/>
      <c r="D398" s="22"/>
      <c r="E398" s="22"/>
      <c r="F398" s="22"/>
      <c r="G398" s="22"/>
      <c r="H398" s="22"/>
      <c r="I398" s="22"/>
      <c r="J398" s="22"/>
    </row>
    <row r="399" customFormat="false" ht="15" hidden="false" customHeight="false" outlineLevel="0" collapsed="false">
      <c r="A399" s="38"/>
      <c r="B399" s="22"/>
      <c r="C399" s="22"/>
      <c r="D399" s="22"/>
      <c r="E399" s="22"/>
      <c r="F399" s="22"/>
      <c r="G399" s="22"/>
      <c r="H399" s="22"/>
      <c r="I399" s="22"/>
      <c r="J399" s="22"/>
    </row>
    <row r="400" customFormat="false" ht="15" hidden="false" customHeight="false" outlineLevel="0" collapsed="false">
      <c r="A400" s="38"/>
      <c r="B400" s="22"/>
      <c r="C400" s="22"/>
      <c r="D400" s="22"/>
      <c r="E400" s="22"/>
      <c r="F400" s="22"/>
      <c r="G400" s="22"/>
      <c r="H400" s="22"/>
      <c r="I400" s="22"/>
      <c r="J400" s="22"/>
    </row>
    <row r="401" customFormat="false" ht="15" hidden="false" customHeight="false" outlineLevel="0" collapsed="false">
      <c r="A401" s="38"/>
      <c r="B401" s="22"/>
      <c r="C401" s="22"/>
      <c r="D401" s="22"/>
      <c r="E401" s="22"/>
      <c r="F401" s="22"/>
      <c r="G401" s="22"/>
      <c r="H401" s="22"/>
      <c r="I401" s="22"/>
      <c r="J401" s="22"/>
    </row>
    <row r="402" customFormat="false" ht="15" hidden="false" customHeight="false" outlineLevel="0" collapsed="false">
      <c r="A402" s="38"/>
      <c r="B402" s="22"/>
      <c r="C402" s="22"/>
      <c r="D402" s="22"/>
      <c r="E402" s="22"/>
      <c r="F402" s="22"/>
      <c r="G402" s="22"/>
      <c r="H402" s="22"/>
      <c r="I402" s="22"/>
      <c r="J402" s="22"/>
    </row>
    <row r="403" customFormat="false" ht="15" hidden="false" customHeight="false" outlineLevel="0" collapsed="false">
      <c r="A403" s="38"/>
      <c r="B403" s="22"/>
      <c r="C403" s="22"/>
      <c r="D403" s="22"/>
      <c r="E403" s="22"/>
      <c r="F403" s="22"/>
      <c r="G403" s="22"/>
      <c r="H403" s="22"/>
      <c r="I403" s="22"/>
      <c r="J403" s="22"/>
    </row>
    <row r="404" customFormat="false" ht="15" hidden="false" customHeight="false" outlineLevel="0" collapsed="false">
      <c r="A404" s="38"/>
      <c r="B404" s="22"/>
      <c r="C404" s="22"/>
      <c r="D404" s="22"/>
      <c r="E404" s="22"/>
      <c r="F404" s="22"/>
      <c r="G404" s="22"/>
      <c r="H404" s="22"/>
      <c r="I404" s="22"/>
      <c r="J404" s="22"/>
    </row>
    <row r="405" customFormat="false" ht="15" hidden="false" customHeight="false" outlineLevel="0" collapsed="false">
      <c r="A405" s="38"/>
      <c r="B405" s="22"/>
      <c r="C405" s="22"/>
      <c r="D405" s="22"/>
      <c r="E405" s="22"/>
      <c r="F405" s="22"/>
      <c r="G405" s="22"/>
      <c r="H405" s="22"/>
      <c r="I405" s="22"/>
      <c r="J405" s="22"/>
    </row>
    <row r="406" customFormat="false" ht="15" hidden="false" customHeight="false" outlineLevel="0" collapsed="false">
      <c r="A406" s="38"/>
      <c r="B406" s="22"/>
      <c r="C406" s="22"/>
      <c r="D406" s="22"/>
      <c r="E406" s="22"/>
      <c r="F406" s="22"/>
      <c r="G406" s="22"/>
      <c r="H406" s="22"/>
      <c r="I406" s="22"/>
      <c r="J406" s="22"/>
    </row>
    <row r="407" customFormat="false" ht="15" hidden="false" customHeight="false" outlineLevel="0" collapsed="false">
      <c r="A407" s="38"/>
      <c r="B407" s="22"/>
      <c r="C407" s="22"/>
      <c r="D407" s="22"/>
      <c r="E407" s="22"/>
      <c r="F407" s="22"/>
      <c r="G407" s="22"/>
      <c r="H407" s="22"/>
      <c r="I407" s="22"/>
      <c r="J407" s="22"/>
    </row>
    <row r="408" customFormat="false" ht="15" hidden="false" customHeight="false" outlineLevel="0" collapsed="false">
      <c r="A408" s="38"/>
      <c r="B408" s="22"/>
      <c r="C408" s="22"/>
      <c r="D408" s="22"/>
      <c r="E408" s="22"/>
      <c r="F408" s="22"/>
      <c r="G408" s="22"/>
      <c r="H408" s="22"/>
      <c r="I408" s="22"/>
      <c r="J408" s="22"/>
    </row>
    <row r="409" customFormat="false" ht="15" hidden="false" customHeight="false" outlineLevel="0" collapsed="false">
      <c r="A409" s="38"/>
      <c r="B409" s="22"/>
      <c r="C409" s="22"/>
      <c r="D409" s="22"/>
      <c r="E409" s="22"/>
      <c r="F409" s="22"/>
      <c r="G409" s="22"/>
      <c r="H409" s="22"/>
      <c r="I409" s="22"/>
      <c r="J409" s="22"/>
    </row>
    <row r="410" customFormat="false" ht="15" hidden="false" customHeight="false" outlineLevel="0" collapsed="false">
      <c r="A410" s="38"/>
      <c r="B410" s="22"/>
      <c r="C410" s="22"/>
      <c r="D410" s="22"/>
      <c r="E410" s="22"/>
      <c r="F410" s="22"/>
      <c r="G410" s="22"/>
      <c r="H410" s="22"/>
      <c r="I410" s="22"/>
      <c r="J410" s="22"/>
    </row>
    <row r="411" customFormat="false" ht="15" hidden="false" customHeight="false" outlineLevel="0" collapsed="false">
      <c r="A411" s="38"/>
      <c r="B411" s="22"/>
      <c r="C411" s="22"/>
      <c r="D411" s="22"/>
      <c r="E411" s="22"/>
      <c r="F411" s="22"/>
      <c r="G411" s="22"/>
      <c r="H411" s="22"/>
      <c r="I411" s="22"/>
      <c r="J411" s="22"/>
    </row>
    <row r="412" customFormat="false" ht="15" hidden="false" customHeight="false" outlineLevel="0" collapsed="false">
      <c r="A412" s="38"/>
      <c r="B412" s="22"/>
      <c r="C412" s="22"/>
      <c r="D412" s="22"/>
      <c r="E412" s="22"/>
      <c r="F412" s="22"/>
      <c r="G412" s="22"/>
      <c r="H412" s="22"/>
      <c r="I412" s="22"/>
      <c r="J412" s="22"/>
    </row>
    <row r="413" customFormat="false" ht="15" hidden="false" customHeight="false" outlineLevel="0" collapsed="false">
      <c r="A413" s="38"/>
      <c r="B413" s="22"/>
      <c r="C413" s="22"/>
      <c r="D413" s="22"/>
      <c r="E413" s="22"/>
      <c r="F413" s="22"/>
      <c r="G413" s="22"/>
      <c r="H413" s="22"/>
      <c r="I413" s="22"/>
      <c r="J413" s="22"/>
    </row>
    <row r="414" customFormat="false" ht="15" hidden="false" customHeight="false" outlineLevel="0" collapsed="false">
      <c r="A414" s="38"/>
      <c r="B414" s="22"/>
      <c r="C414" s="22"/>
      <c r="D414" s="22"/>
      <c r="E414" s="22"/>
      <c r="F414" s="22"/>
      <c r="G414" s="22"/>
      <c r="H414" s="22"/>
      <c r="I414" s="22"/>
      <c r="J414" s="22"/>
    </row>
    <row r="415" customFormat="false" ht="15" hidden="false" customHeight="false" outlineLevel="0" collapsed="false">
      <c r="A415" s="38"/>
      <c r="B415" s="22"/>
      <c r="C415" s="22"/>
      <c r="D415" s="22"/>
      <c r="E415" s="22"/>
      <c r="F415" s="22"/>
      <c r="G415" s="22"/>
      <c r="H415" s="22"/>
      <c r="I415" s="22"/>
      <c r="J415" s="22"/>
    </row>
    <row r="416" customFormat="false" ht="15" hidden="false" customHeight="false" outlineLevel="0" collapsed="false">
      <c r="A416" s="38"/>
      <c r="B416" s="22"/>
      <c r="C416" s="22"/>
      <c r="D416" s="22"/>
      <c r="E416" s="22"/>
      <c r="F416" s="22"/>
      <c r="G416" s="22"/>
      <c r="H416" s="22"/>
      <c r="I416" s="22"/>
      <c r="J416" s="22"/>
    </row>
    <row r="417" customFormat="false" ht="15" hidden="false" customHeight="false" outlineLevel="0" collapsed="false">
      <c r="A417" s="38"/>
      <c r="B417" s="22"/>
      <c r="C417" s="22"/>
      <c r="D417" s="22"/>
      <c r="E417" s="22"/>
      <c r="F417" s="22"/>
      <c r="G417" s="22"/>
      <c r="H417" s="22"/>
      <c r="I417" s="22"/>
      <c r="J417" s="22"/>
    </row>
    <row r="418" customFormat="false" ht="15" hidden="false" customHeight="false" outlineLevel="0" collapsed="false">
      <c r="A418" s="38"/>
      <c r="B418" s="22"/>
      <c r="C418" s="22"/>
      <c r="D418" s="22"/>
      <c r="E418" s="22"/>
      <c r="F418" s="22"/>
      <c r="G418" s="22"/>
      <c r="H418" s="22"/>
      <c r="I418" s="22"/>
      <c r="J418" s="22"/>
    </row>
    <row r="419" customFormat="false" ht="15" hidden="false" customHeight="false" outlineLevel="0" collapsed="false">
      <c r="A419" s="38"/>
      <c r="B419" s="22"/>
      <c r="C419" s="22"/>
      <c r="D419" s="22"/>
      <c r="E419" s="22"/>
      <c r="F419" s="22"/>
      <c r="G419" s="22"/>
      <c r="H419" s="22"/>
      <c r="I419" s="22"/>
      <c r="J419" s="22"/>
    </row>
    <row r="420" customFormat="false" ht="15" hidden="false" customHeight="false" outlineLevel="0" collapsed="false">
      <c r="A420" s="38"/>
      <c r="B420" s="22"/>
      <c r="C420" s="22"/>
      <c r="D420" s="22"/>
      <c r="E420" s="22"/>
      <c r="F420" s="22"/>
      <c r="G420" s="22"/>
      <c r="H420" s="22"/>
      <c r="I420" s="22"/>
      <c r="J420" s="22"/>
    </row>
    <row r="421" customFormat="false" ht="15" hidden="false" customHeight="false" outlineLevel="0" collapsed="false">
      <c r="A421" s="38"/>
      <c r="B421" s="22"/>
      <c r="C421" s="22"/>
      <c r="D421" s="22"/>
      <c r="E421" s="22"/>
      <c r="F421" s="22"/>
      <c r="G421" s="22"/>
      <c r="H421" s="22"/>
      <c r="I421" s="22"/>
      <c r="J421" s="22"/>
    </row>
    <row r="422" customFormat="false" ht="15" hidden="false" customHeight="false" outlineLevel="0" collapsed="false">
      <c r="A422" s="38"/>
      <c r="B422" s="22"/>
      <c r="C422" s="22"/>
      <c r="D422" s="22"/>
      <c r="E422" s="22"/>
      <c r="F422" s="22"/>
      <c r="G422" s="22"/>
      <c r="H422" s="22"/>
      <c r="I422" s="22"/>
      <c r="J422" s="22"/>
    </row>
    <row r="423" customFormat="false" ht="15" hidden="false" customHeight="false" outlineLevel="0" collapsed="false">
      <c r="A423" s="38"/>
      <c r="B423" s="22"/>
      <c r="C423" s="22"/>
      <c r="D423" s="22"/>
      <c r="E423" s="22"/>
      <c r="F423" s="22"/>
      <c r="G423" s="22"/>
      <c r="H423" s="22"/>
      <c r="I423" s="22"/>
      <c r="J423" s="22"/>
    </row>
    <row r="424" customFormat="false" ht="15" hidden="false" customHeight="false" outlineLevel="0" collapsed="false">
      <c r="A424" s="38"/>
      <c r="B424" s="22"/>
      <c r="C424" s="22"/>
      <c r="D424" s="22"/>
      <c r="E424" s="22"/>
      <c r="F424" s="22"/>
      <c r="G424" s="22"/>
      <c r="H424" s="22"/>
      <c r="I424" s="22"/>
      <c r="J424" s="22"/>
    </row>
    <row r="425" customFormat="false" ht="15" hidden="false" customHeight="false" outlineLevel="0" collapsed="false">
      <c r="A425" s="38"/>
      <c r="B425" s="22"/>
      <c r="C425" s="22"/>
      <c r="D425" s="22"/>
      <c r="E425" s="22"/>
      <c r="F425" s="22"/>
      <c r="G425" s="22"/>
      <c r="H425" s="22"/>
      <c r="I425" s="22"/>
      <c r="J425" s="22"/>
    </row>
    <row r="426" customFormat="false" ht="15" hidden="false" customHeight="false" outlineLevel="0" collapsed="false">
      <c r="A426" s="38"/>
      <c r="B426" s="22"/>
      <c r="C426" s="22"/>
      <c r="D426" s="22"/>
      <c r="E426" s="22"/>
      <c r="F426" s="22"/>
      <c r="G426" s="22"/>
      <c r="H426" s="22"/>
      <c r="I426" s="22"/>
      <c r="J426" s="22"/>
    </row>
    <row r="427" customFormat="false" ht="15" hidden="false" customHeight="false" outlineLevel="0" collapsed="false">
      <c r="A427" s="38"/>
      <c r="B427" s="22"/>
      <c r="C427" s="22"/>
      <c r="D427" s="22"/>
      <c r="E427" s="22"/>
      <c r="F427" s="22"/>
      <c r="G427" s="22"/>
      <c r="H427" s="22"/>
      <c r="I427" s="22"/>
      <c r="J427" s="22"/>
    </row>
    <row r="428" customFormat="false" ht="15" hidden="false" customHeight="false" outlineLevel="0" collapsed="false">
      <c r="A428" s="38"/>
      <c r="B428" s="22"/>
      <c r="C428" s="22"/>
      <c r="D428" s="22"/>
      <c r="E428" s="22"/>
      <c r="F428" s="22"/>
      <c r="G428" s="22"/>
      <c r="H428" s="22"/>
      <c r="I428" s="22"/>
      <c r="J428" s="22"/>
    </row>
    <row r="429" customFormat="false" ht="15" hidden="false" customHeight="false" outlineLevel="0" collapsed="false">
      <c r="A429" s="38"/>
      <c r="B429" s="22"/>
      <c r="C429" s="22"/>
      <c r="D429" s="22"/>
      <c r="E429" s="22"/>
      <c r="F429" s="22"/>
      <c r="G429" s="22"/>
      <c r="H429" s="22"/>
      <c r="I429" s="22"/>
      <c r="J429" s="22"/>
    </row>
    <row r="430" customFormat="false" ht="15" hidden="false" customHeight="false" outlineLevel="0" collapsed="false">
      <c r="A430" s="38"/>
      <c r="B430" s="22"/>
      <c r="C430" s="22"/>
      <c r="D430" s="22"/>
      <c r="E430" s="22"/>
      <c r="F430" s="22"/>
      <c r="G430" s="22"/>
      <c r="H430" s="22"/>
      <c r="I430" s="22"/>
      <c r="J430" s="22"/>
    </row>
    <row r="431" customFormat="false" ht="15" hidden="false" customHeight="false" outlineLevel="0" collapsed="false">
      <c r="A431" s="38"/>
      <c r="B431" s="22"/>
      <c r="C431" s="22"/>
      <c r="D431" s="22"/>
      <c r="E431" s="22"/>
      <c r="F431" s="22"/>
      <c r="G431" s="22"/>
      <c r="H431" s="22"/>
      <c r="I431" s="22"/>
      <c r="J431" s="22"/>
    </row>
    <row r="432" customFormat="false" ht="15" hidden="false" customHeight="false" outlineLevel="0" collapsed="false">
      <c r="A432" s="38"/>
      <c r="B432" s="22"/>
      <c r="C432" s="22"/>
      <c r="D432" s="22"/>
      <c r="E432" s="22"/>
      <c r="F432" s="22"/>
      <c r="G432" s="22"/>
      <c r="H432" s="22"/>
      <c r="I432" s="22"/>
      <c r="J432" s="22"/>
    </row>
    <row r="433" customFormat="false" ht="15" hidden="false" customHeight="false" outlineLevel="0" collapsed="false">
      <c r="A433" s="38"/>
      <c r="B433" s="22"/>
      <c r="C433" s="22"/>
      <c r="D433" s="22"/>
      <c r="E433" s="22"/>
      <c r="F433" s="22"/>
      <c r="G433" s="22"/>
      <c r="H433" s="22"/>
      <c r="I433" s="22"/>
      <c r="J433" s="22"/>
    </row>
    <row r="434" customFormat="false" ht="15" hidden="false" customHeight="false" outlineLevel="0" collapsed="false">
      <c r="A434" s="38"/>
      <c r="B434" s="22"/>
      <c r="C434" s="22"/>
      <c r="D434" s="22"/>
      <c r="E434" s="22"/>
      <c r="F434" s="22"/>
      <c r="G434" s="22"/>
      <c r="H434" s="22"/>
      <c r="I434" s="22"/>
      <c r="J434" s="22"/>
    </row>
    <row r="435" customFormat="false" ht="15" hidden="false" customHeight="false" outlineLevel="0" collapsed="false">
      <c r="A435" s="38"/>
      <c r="B435" s="22"/>
      <c r="C435" s="22"/>
      <c r="D435" s="22"/>
      <c r="E435" s="22"/>
      <c r="F435" s="22"/>
      <c r="G435" s="22"/>
      <c r="H435" s="22"/>
      <c r="I435" s="22"/>
      <c r="J435" s="22"/>
    </row>
    <row r="436" customFormat="false" ht="15" hidden="false" customHeight="false" outlineLevel="0" collapsed="false">
      <c r="A436" s="38"/>
      <c r="B436" s="22"/>
      <c r="C436" s="22"/>
      <c r="D436" s="22"/>
      <c r="E436" s="22"/>
      <c r="F436" s="22"/>
      <c r="G436" s="22"/>
      <c r="H436" s="22"/>
      <c r="I436" s="22"/>
      <c r="J436" s="22"/>
    </row>
    <row r="437" customFormat="false" ht="15" hidden="false" customHeight="false" outlineLevel="0" collapsed="false">
      <c r="A437" s="38"/>
      <c r="B437" s="22"/>
      <c r="C437" s="22"/>
      <c r="D437" s="22"/>
      <c r="E437" s="22"/>
      <c r="F437" s="22"/>
      <c r="G437" s="22"/>
      <c r="H437" s="22"/>
      <c r="I437" s="22"/>
      <c r="J437" s="22"/>
    </row>
    <row r="438" customFormat="false" ht="15" hidden="false" customHeight="false" outlineLevel="0" collapsed="false">
      <c r="A438" s="38"/>
      <c r="B438" s="22"/>
      <c r="C438" s="22"/>
      <c r="D438" s="22"/>
      <c r="E438" s="22"/>
      <c r="F438" s="22"/>
      <c r="G438" s="22"/>
      <c r="H438" s="22"/>
      <c r="I438" s="22"/>
      <c r="J438" s="22"/>
    </row>
    <row r="439" customFormat="false" ht="15" hidden="false" customHeight="false" outlineLevel="0" collapsed="false">
      <c r="A439" s="38"/>
      <c r="B439" s="22"/>
      <c r="C439" s="22"/>
      <c r="D439" s="22"/>
      <c r="E439" s="22"/>
      <c r="F439" s="22"/>
      <c r="G439" s="22"/>
      <c r="H439" s="22"/>
      <c r="I439" s="22"/>
      <c r="J439" s="22"/>
    </row>
    <row r="440" customFormat="false" ht="15" hidden="false" customHeight="false" outlineLevel="0" collapsed="false">
      <c r="A440" s="38"/>
      <c r="B440" s="22"/>
      <c r="C440" s="22"/>
      <c r="D440" s="22"/>
      <c r="E440" s="22"/>
      <c r="F440" s="22"/>
      <c r="G440" s="22"/>
      <c r="H440" s="22"/>
      <c r="I440" s="22"/>
      <c r="J440" s="22"/>
    </row>
    <row r="441" customFormat="false" ht="15" hidden="false" customHeight="false" outlineLevel="0" collapsed="false">
      <c r="A441" s="38"/>
      <c r="B441" s="22"/>
      <c r="C441" s="22"/>
      <c r="D441" s="22"/>
      <c r="E441" s="22"/>
      <c r="F441" s="22"/>
      <c r="G441" s="22"/>
      <c r="H441" s="22"/>
      <c r="I441" s="22"/>
      <c r="J441" s="22"/>
    </row>
    <row r="442" customFormat="false" ht="15" hidden="false" customHeight="false" outlineLevel="0" collapsed="false">
      <c r="A442" s="38"/>
      <c r="B442" s="22"/>
      <c r="C442" s="22"/>
      <c r="D442" s="22"/>
      <c r="E442" s="22"/>
      <c r="F442" s="22"/>
      <c r="G442" s="22"/>
      <c r="H442" s="22"/>
      <c r="I442" s="22"/>
      <c r="J442" s="22"/>
    </row>
    <row r="443" customFormat="false" ht="15" hidden="false" customHeight="false" outlineLevel="0" collapsed="false">
      <c r="A443" s="38"/>
      <c r="B443" s="22"/>
      <c r="C443" s="22"/>
      <c r="D443" s="22"/>
      <c r="E443" s="22"/>
      <c r="F443" s="22"/>
      <c r="G443" s="22"/>
      <c r="H443" s="22"/>
      <c r="I443" s="22"/>
      <c r="J443" s="22"/>
    </row>
    <row r="444" customFormat="false" ht="15" hidden="false" customHeight="false" outlineLevel="0" collapsed="false">
      <c r="A444" s="38"/>
      <c r="B444" s="22"/>
      <c r="C444" s="22"/>
      <c r="D444" s="22"/>
      <c r="E444" s="22"/>
      <c r="F444" s="22"/>
      <c r="G444" s="22"/>
      <c r="H444" s="22"/>
      <c r="I444" s="22"/>
      <c r="J444" s="22"/>
    </row>
    <row r="445" customFormat="false" ht="15" hidden="false" customHeight="false" outlineLevel="0" collapsed="false">
      <c r="A445" s="38"/>
      <c r="B445" s="22"/>
      <c r="C445" s="22"/>
      <c r="D445" s="22"/>
      <c r="E445" s="22"/>
      <c r="F445" s="22"/>
      <c r="G445" s="22"/>
      <c r="H445" s="22"/>
      <c r="I445" s="22"/>
      <c r="J445" s="22"/>
    </row>
    <row r="446" customFormat="false" ht="15" hidden="false" customHeight="false" outlineLevel="0" collapsed="false">
      <c r="A446" s="38"/>
      <c r="B446" s="22"/>
      <c r="C446" s="22"/>
      <c r="D446" s="22"/>
      <c r="E446" s="22"/>
      <c r="F446" s="22"/>
      <c r="G446" s="22"/>
      <c r="H446" s="22"/>
      <c r="I446" s="22"/>
      <c r="J446" s="22"/>
    </row>
    <row r="447" customFormat="false" ht="15" hidden="false" customHeight="false" outlineLevel="0" collapsed="false">
      <c r="A447" s="38"/>
      <c r="B447" s="22"/>
      <c r="C447" s="22"/>
      <c r="D447" s="22"/>
      <c r="E447" s="22"/>
      <c r="F447" s="22"/>
      <c r="G447" s="22"/>
      <c r="H447" s="22"/>
      <c r="I447" s="22"/>
      <c r="J447" s="22"/>
    </row>
    <row r="448" customFormat="false" ht="15" hidden="false" customHeight="false" outlineLevel="0" collapsed="false">
      <c r="A448" s="38"/>
      <c r="B448" s="22"/>
      <c r="C448" s="22"/>
      <c r="D448" s="22"/>
      <c r="E448" s="22"/>
      <c r="F448" s="22"/>
      <c r="G448" s="22"/>
      <c r="H448" s="22"/>
      <c r="I448" s="22"/>
      <c r="J448" s="22"/>
    </row>
    <row r="449" customFormat="false" ht="15" hidden="false" customHeight="false" outlineLevel="0" collapsed="false">
      <c r="A449" s="38"/>
      <c r="B449" s="22"/>
      <c r="C449" s="22"/>
      <c r="D449" s="22"/>
      <c r="E449" s="22"/>
      <c r="F449" s="22"/>
      <c r="G449" s="22"/>
      <c r="H449" s="22"/>
      <c r="I449" s="22"/>
      <c r="J449" s="22"/>
    </row>
    <row r="450" customFormat="false" ht="15" hidden="false" customHeight="false" outlineLevel="0" collapsed="false">
      <c r="A450" s="38"/>
      <c r="B450" s="22"/>
      <c r="C450" s="22"/>
      <c r="D450" s="22"/>
      <c r="E450" s="22"/>
      <c r="F450" s="22"/>
      <c r="G450" s="22"/>
      <c r="H450" s="22"/>
      <c r="I450" s="22"/>
      <c r="J450" s="22"/>
    </row>
    <row r="451" customFormat="false" ht="15" hidden="false" customHeight="false" outlineLevel="0" collapsed="false">
      <c r="A451" s="38"/>
      <c r="B451" s="22"/>
      <c r="C451" s="22"/>
      <c r="D451" s="22"/>
      <c r="E451" s="22"/>
      <c r="F451" s="22"/>
      <c r="G451" s="22"/>
      <c r="H451" s="22"/>
      <c r="I451" s="22"/>
      <c r="J451" s="22"/>
    </row>
    <row r="452" customFormat="false" ht="15" hidden="false" customHeight="false" outlineLevel="0" collapsed="false">
      <c r="A452" s="38"/>
      <c r="B452" s="22"/>
      <c r="C452" s="22"/>
      <c r="D452" s="22"/>
      <c r="E452" s="22"/>
      <c r="F452" s="22"/>
      <c r="G452" s="22"/>
      <c r="H452" s="22"/>
      <c r="I452" s="22"/>
      <c r="J452" s="22"/>
    </row>
    <row r="453" customFormat="false" ht="15" hidden="false" customHeight="false" outlineLevel="0" collapsed="false">
      <c r="A453" s="38"/>
      <c r="B453" s="22"/>
      <c r="C453" s="22"/>
      <c r="D453" s="22"/>
      <c r="E453" s="22"/>
      <c r="F453" s="22"/>
      <c r="G453" s="22"/>
      <c r="H453" s="22"/>
      <c r="I453" s="22"/>
      <c r="J453" s="22"/>
    </row>
    <row r="454" customFormat="false" ht="15" hidden="false" customHeight="false" outlineLevel="0" collapsed="false">
      <c r="A454" s="38"/>
      <c r="B454" s="22"/>
      <c r="C454" s="22"/>
      <c r="D454" s="22"/>
      <c r="E454" s="22"/>
      <c r="F454" s="22"/>
      <c r="G454" s="22"/>
      <c r="H454" s="22"/>
      <c r="I454" s="22"/>
      <c r="J454" s="22"/>
    </row>
    <row r="455" customFormat="false" ht="15" hidden="false" customHeight="false" outlineLevel="0" collapsed="false">
      <c r="A455" s="38"/>
      <c r="B455" s="22"/>
      <c r="C455" s="22"/>
      <c r="D455" s="22"/>
      <c r="E455" s="22"/>
      <c r="F455" s="22"/>
      <c r="G455" s="22"/>
      <c r="H455" s="22"/>
      <c r="I455" s="22"/>
      <c r="J455" s="22"/>
    </row>
    <row r="456" customFormat="false" ht="15" hidden="false" customHeight="false" outlineLevel="0" collapsed="false">
      <c r="A456" s="38"/>
      <c r="B456" s="22"/>
      <c r="C456" s="22"/>
      <c r="D456" s="22"/>
      <c r="E456" s="22"/>
      <c r="F456" s="22"/>
      <c r="G456" s="22"/>
      <c r="H456" s="22"/>
      <c r="I456" s="22"/>
      <c r="J456" s="22"/>
    </row>
    <row r="457" customFormat="false" ht="15" hidden="false" customHeight="false" outlineLevel="0" collapsed="false">
      <c r="A457" s="38"/>
      <c r="B457" s="22"/>
      <c r="C457" s="22"/>
      <c r="D457" s="22"/>
      <c r="E457" s="22"/>
      <c r="F457" s="22"/>
      <c r="G457" s="22"/>
      <c r="H457" s="22"/>
      <c r="I457" s="22"/>
      <c r="J457" s="22"/>
    </row>
    <row r="458" customFormat="false" ht="15" hidden="false" customHeight="false" outlineLevel="0" collapsed="false">
      <c r="A458" s="38"/>
      <c r="B458" s="22"/>
      <c r="C458" s="22"/>
      <c r="D458" s="22"/>
      <c r="E458" s="22"/>
      <c r="F458" s="22"/>
      <c r="G458" s="22"/>
      <c r="H458" s="22"/>
      <c r="I458" s="22"/>
      <c r="J458" s="22"/>
    </row>
    <row r="459" customFormat="false" ht="15" hidden="false" customHeight="false" outlineLevel="0" collapsed="false">
      <c r="A459" s="38"/>
      <c r="B459" s="22"/>
      <c r="C459" s="22"/>
      <c r="D459" s="22"/>
      <c r="E459" s="22"/>
      <c r="F459" s="22"/>
      <c r="G459" s="22"/>
      <c r="H459" s="22"/>
      <c r="I459" s="22"/>
      <c r="J459" s="22"/>
    </row>
    <row r="460" customFormat="false" ht="15" hidden="false" customHeight="false" outlineLevel="0" collapsed="false">
      <c r="A460" s="38"/>
      <c r="B460" s="22"/>
      <c r="C460" s="22"/>
      <c r="D460" s="22"/>
      <c r="E460" s="22"/>
      <c r="F460" s="22"/>
      <c r="G460" s="22"/>
      <c r="H460" s="22"/>
      <c r="I460" s="22"/>
      <c r="J460" s="22"/>
    </row>
    <row r="461" customFormat="false" ht="15" hidden="false" customHeight="false" outlineLevel="0" collapsed="false">
      <c r="A461" s="38"/>
      <c r="B461" s="22"/>
      <c r="C461" s="22"/>
      <c r="D461" s="22"/>
      <c r="E461" s="22"/>
      <c r="F461" s="22"/>
      <c r="G461" s="22"/>
      <c r="H461" s="22"/>
      <c r="I461" s="22"/>
      <c r="J461" s="22"/>
    </row>
    <row r="462" customFormat="false" ht="15" hidden="false" customHeight="false" outlineLevel="0" collapsed="false">
      <c r="A462" s="38"/>
      <c r="B462" s="22"/>
      <c r="C462" s="22"/>
      <c r="D462" s="22"/>
      <c r="E462" s="22"/>
      <c r="F462" s="22"/>
      <c r="G462" s="22"/>
      <c r="H462" s="22"/>
      <c r="I462" s="22"/>
      <c r="J462" s="22"/>
    </row>
    <row r="463" customFormat="false" ht="15" hidden="false" customHeight="false" outlineLevel="0" collapsed="false">
      <c r="A463" s="38"/>
      <c r="B463" s="22"/>
      <c r="C463" s="22"/>
      <c r="D463" s="22"/>
      <c r="E463" s="22"/>
      <c r="F463" s="22"/>
      <c r="G463" s="22"/>
      <c r="H463" s="22"/>
      <c r="I463" s="22"/>
      <c r="J463" s="22"/>
    </row>
    <row r="464" customFormat="false" ht="15" hidden="false" customHeight="false" outlineLevel="0" collapsed="false">
      <c r="A464" s="38"/>
      <c r="B464" s="22"/>
      <c r="C464" s="22"/>
      <c r="D464" s="22"/>
      <c r="E464" s="22"/>
      <c r="F464" s="22"/>
      <c r="G464" s="22"/>
      <c r="H464" s="22"/>
      <c r="I464" s="22"/>
      <c r="J464" s="22"/>
    </row>
    <row r="465" customFormat="false" ht="15" hidden="false" customHeight="false" outlineLevel="0" collapsed="false">
      <c r="A465" s="38"/>
      <c r="B465" s="22"/>
      <c r="C465" s="22"/>
      <c r="D465" s="22"/>
      <c r="E465" s="22"/>
      <c r="F465" s="22"/>
      <c r="G465" s="22"/>
      <c r="H465" s="22"/>
      <c r="I465" s="22"/>
      <c r="J465" s="22"/>
    </row>
    <row r="466" customFormat="false" ht="15" hidden="false" customHeight="false" outlineLevel="0" collapsed="false">
      <c r="A466" s="38"/>
      <c r="B466" s="22"/>
      <c r="C466" s="22"/>
      <c r="D466" s="22"/>
      <c r="E466" s="22"/>
      <c r="F466" s="22"/>
      <c r="G466" s="22"/>
      <c r="H466" s="22"/>
      <c r="I466" s="22"/>
      <c r="J466" s="22"/>
    </row>
    <row r="467" customFormat="false" ht="15" hidden="false" customHeight="false" outlineLevel="0" collapsed="false">
      <c r="A467" s="38"/>
      <c r="B467" s="22"/>
      <c r="C467" s="22"/>
      <c r="D467" s="22"/>
      <c r="E467" s="22"/>
      <c r="F467" s="22"/>
      <c r="G467" s="22"/>
      <c r="H467" s="22"/>
      <c r="I467" s="22"/>
      <c r="J467" s="22"/>
    </row>
    <row r="468" customFormat="false" ht="15" hidden="false" customHeight="false" outlineLevel="0" collapsed="false">
      <c r="A468" s="38"/>
      <c r="B468" s="22"/>
      <c r="C468" s="22"/>
      <c r="D468" s="22"/>
      <c r="E468" s="22"/>
      <c r="F468" s="22"/>
      <c r="G468" s="22"/>
      <c r="H468" s="22"/>
      <c r="I468" s="22"/>
      <c r="J468" s="22"/>
    </row>
    <row r="469" customFormat="false" ht="15" hidden="false" customHeight="false" outlineLevel="0" collapsed="false">
      <c r="A469" s="38"/>
      <c r="B469" s="22"/>
      <c r="C469" s="22"/>
      <c r="D469" s="22"/>
      <c r="E469" s="22"/>
      <c r="F469" s="22"/>
      <c r="G469" s="22"/>
      <c r="H469" s="22"/>
      <c r="I469" s="22"/>
      <c r="J469" s="22"/>
    </row>
    <row r="470" customFormat="false" ht="15" hidden="false" customHeight="false" outlineLevel="0" collapsed="false">
      <c r="A470" s="38"/>
      <c r="B470" s="22"/>
      <c r="C470" s="22"/>
      <c r="D470" s="22"/>
      <c r="E470" s="22"/>
      <c r="F470" s="22"/>
      <c r="G470" s="22"/>
      <c r="H470" s="22"/>
      <c r="I470" s="22"/>
      <c r="J470" s="22"/>
    </row>
    <row r="471" customFormat="false" ht="15" hidden="false" customHeight="false" outlineLevel="0" collapsed="false">
      <c r="A471" s="38"/>
      <c r="B471" s="22"/>
      <c r="C471" s="22"/>
      <c r="D471" s="22"/>
      <c r="E471" s="22"/>
      <c r="F471" s="22"/>
      <c r="G471" s="22"/>
      <c r="H471" s="22"/>
      <c r="I471" s="22"/>
      <c r="J471" s="22"/>
    </row>
    <row r="472" customFormat="false" ht="15" hidden="false" customHeight="false" outlineLevel="0" collapsed="false">
      <c r="A472" s="38"/>
      <c r="B472" s="22"/>
      <c r="C472" s="22"/>
      <c r="D472" s="22"/>
      <c r="E472" s="22"/>
      <c r="F472" s="22"/>
      <c r="G472" s="22"/>
      <c r="H472" s="22"/>
      <c r="I472" s="22"/>
      <c r="J472" s="22"/>
    </row>
    <row r="473" customFormat="false" ht="15" hidden="false" customHeight="false" outlineLevel="0" collapsed="false">
      <c r="A473" s="38"/>
      <c r="B473" s="22"/>
      <c r="C473" s="22"/>
      <c r="D473" s="22"/>
      <c r="E473" s="22"/>
      <c r="F473" s="22"/>
      <c r="G473" s="22"/>
      <c r="H473" s="22"/>
      <c r="I473" s="22"/>
      <c r="J473" s="22"/>
    </row>
    <row r="474" customFormat="false" ht="15" hidden="false" customHeight="false" outlineLevel="0" collapsed="false">
      <c r="A474" s="38"/>
      <c r="B474" s="22"/>
      <c r="C474" s="22"/>
      <c r="D474" s="22"/>
      <c r="E474" s="22"/>
      <c r="F474" s="22"/>
      <c r="G474" s="22"/>
      <c r="H474" s="22"/>
      <c r="I474" s="22"/>
      <c r="J474" s="22"/>
    </row>
    <row r="475" customFormat="false" ht="15" hidden="false" customHeight="false" outlineLevel="0" collapsed="false">
      <c r="A475" s="38"/>
      <c r="B475" s="22"/>
      <c r="C475" s="22"/>
      <c r="D475" s="22"/>
      <c r="E475" s="22"/>
      <c r="F475" s="22"/>
      <c r="G475" s="22"/>
      <c r="H475" s="22"/>
      <c r="I475" s="22"/>
      <c r="J475" s="22"/>
    </row>
    <row r="476" customFormat="false" ht="15" hidden="false" customHeight="false" outlineLevel="0" collapsed="false">
      <c r="A476" s="38"/>
      <c r="B476" s="22"/>
      <c r="C476" s="22"/>
      <c r="D476" s="22"/>
      <c r="E476" s="22"/>
      <c r="F476" s="22"/>
      <c r="G476" s="22"/>
      <c r="H476" s="22"/>
      <c r="I476" s="22"/>
      <c r="J476" s="22"/>
    </row>
    <row r="477" customFormat="false" ht="15" hidden="false" customHeight="false" outlineLevel="0" collapsed="false">
      <c r="A477" s="38"/>
      <c r="B477" s="22"/>
      <c r="C477" s="22"/>
      <c r="D477" s="22"/>
      <c r="E477" s="22"/>
      <c r="F477" s="22"/>
      <c r="G477" s="22"/>
      <c r="H477" s="22"/>
      <c r="I477" s="22"/>
      <c r="J477" s="22"/>
    </row>
    <row r="478" customFormat="false" ht="15" hidden="false" customHeight="false" outlineLevel="0" collapsed="false">
      <c r="A478" s="38"/>
      <c r="B478" s="22"/>
      <c r="C478" s="22"/>
      <c r="D478" s="22"/>
      <c r="E478" s="22"/>
      <c r="F478" s="22"/>
      <c r="G478" s="22"/>
      <c r="H478" s="22"/>
      <c r="I478" s="22"/>
      <c r="J478" s="22"/>
    </row>
    <row r="479" customFormat="false" ht="15" hidden="false" customHeight="false" outlineLevel="0" collapsed="false">
      <c r="A479" s="38"/>
      <c r="B479" s="22"/>
      <c r="C479" s="22"/>
      <c r="D479" s="22"/>
      <c r="E479" s="22"/>
      <c r="F479" s="22"/>
      <c r="G479" s="22"/>
      <c r="H479" s="22"/>
      <c r="I479" s="22"/>
      <c r="J479" s="22"/>
    </row>
    <row r="480" customFormat="false" ht="15" hidden="false" customHeight="false" outlineLevel="0" collapsed="false">
      <c r="A480" s="38"/>
      <c r="B480" s="22"/>
      <c r="C480" s="22"/>
      <c r="D480" s="22"/>
      <c r="E480" s="22"/>
      <c r="F480" s="22"/>
      <c r="G480" s="22"/>
      <c r="H480" s="22"/>
      <c r="I480" s="22"/>
      <c r="J480" s="22"/>
    </row>
    <row r="481" customFormat="false" ht="15" hidden="false" customHeight="false" outlineLevel="0" collapsed="false">
      <c r="A481" s="38"/>
      <c r="B481" s="22"/>
      <c r="C481" s="22"/>
      <c r="D481" s="22"/>
      <c r="E481" s="22"/>
      <c r="F481" s="22"/>
      <c r="G481" s="22"/>
      <c r="H481" s="22"/>
      <c r="I481" s="22"/>
      <c r="J481" s="22"/>
    </row>
    <row r="482" customFormat="false" ht="15" hidden="false" customHeight="false" outlineLevel="0" collapsed="false">
      <c r="A482" s="38"/>
      <c r="B482" s="22"/>
      <c r="C482" s="22"/>
      <c r="D482" s="22"/>
      <c r="E482" s="22"/>
      <c r="F482" s="22"/>
      <c r="G482" s="22"/>
      <c r="H482" s="22"/>
      <c r="I482" s="22"/>
      <c r="J482" s="22"/>
    </row>
    <row r="483" customFormat="false" ht="15" hidden="false" customHeight="false" outlineLevel="0" collapsed="false">
      <c r="A483" s="38"/>
      <c r="B483" s="22"/>
      <c r="C483" s="22"/>
      <c r="D483" s="22"/>
      <c r="E483" s="22"/>
      <c r="F483" s="22"/>
      <c r="G483" s="22"/>
      <c r="H483" s="22"/>
      <c r="I483" s="22"/>
      <c r="J483" s="22"/>
    </row>
    <row r="484" customFormat="false" ht="15" hidden="false" customHeight="false" outlineLevel="0" collapsed="false">
      <c r="A484" s="38"/>
      <c r="B484" s="22"/>
      <c r="C484" s="22"/>
      <c r="D484" s="22"/>
      <c r="E484" s="22"/>
      <c r="F484" s="22"/>
      <c r="G484" s="22"/>
      <c r="H484" s="22"/>
      <c r="I484" s="22"/>
      <c r="J484" s="22"/>
    </row>
    <row r="485" customFormat="false" ht="15" hidden="false" customHeight="false" outlineLevel="0" collapsed="false">
      <c r="A485" s="38"/>
      <c r="B485" s="22"/>
      <c r="C485" s="22"/>
      <c r="D485" s="22"/>
      <c r="E485" s="22"/>
      <c r="F485" s="22"/>
      <c r="G485" s="22"/>
      <c r="H485" s="22"/>
      <c r="I485" s="22"/>
      <c r="J485" s="22"/>
    </row>
    <row r="486" customFormat="false" ht="15" hidden="false" customHeight="false" outlineLevel="0" collapsed="false">
      <c r="A486" s="38"/>
      <c r="B486" s="22"/>
      <c r="C486" s="22"/>
      <c r="D486" s="22"/>
      <c r="E486" s="22"/>
      <c r="F486" s="22"/>
      <c r="G486" s="22"/>
      <c r="H486" s="22"/>
      <c r="I486" s="22"/>
      <c r="J486" s="22"/>
    </row>
    <row r="487" customFormat="false" ht="15" hidden="false" customHeight="false" outlineLevel="0" collapsed="false">
      <c r="A487" s="38"/>
      <c r="B487" s="22"/>
      <c r="C487" s="22"/>
      <c r="D487" s="22"/>
      <c r="E487" s="22"/>
      <c r="F487" s="22"/>
      <c r="G487" s="22"/>
      <c r="H487" s="22"/>
      <c r="I487" s="22"/>
      <c r="J487" s="22"/>
    </row>
    <row r="488" customFormat="false" ht="15" hidden="false" customHeight="false" outlineLevel="0" collapsed="false">
      <c r="A488" s="38"/>
      <c r="B488" s="22"/>
      <c r="C488" s="22"/>
      <c r="D488" s="22"/>
      <c r="E488" s="22"/>
      <c r="F488" s="22"/>
      <c r="G488" s="22"/>
      <c r="H488" s="22"/>
      <c r="I488" s="22"/>
      <c r="J488" s="22"/>
    </row>
    <row r="489" customFormat="false" ht="15" hidden="false" customHeight="false" outlineLevel="0" collapsed="false">
      <c r="A489" s="38"/>
      <c r="B489" s="22"/>
      <c r="C489" s="22"/>
      <c r="D489" s="22"/>
      <c r="E489" s="22"/>
      <c r="F489" s="22"/>
      <c r="G489" s="22"/>
      <c r="H489" s="22"/>
      <c r="I489" s="22"/>
      <c r="J489" s="22"/>
    </row>
    <row r="490" customFormat="false" ht="15" hidden="false" customHeight="false" outlineLevel="0" collapsed="false">
      <c r="A490" s="38"/>
      <c r="B490" s="22"/>
      <c r="C490" s="22"/>
      <c r="D490" s="22"/>
      <c r="E490" s="22"/>
      <c r="F490" s="22"/>
      <c r="G490" s="22"/>
      <c r="H490" s="22"/>
      <c r="I490" s="22"/>
      <c r="J490" s="22"/>
    </row>
    <row r="491" customFormat="false" ht="15" hidden="false" customHeight="false" outlineLevel="0" collapsed="false">
      <c r="A491" s="38"/>
      <c r="B491" s="22"/>
      <c r="C491" s="22"/>
      <c r="D491" s="22"/>
      <c r="E491" s="22"/>
      <c r="F491" s="22"/>
      <c r="G491" s="22"/>
      <c r="H491" s="22"/>
      <c r="I491" s="22"/>
      <c r="J491" s="22"/>
    </row>
    <row r="492" customFormat="false" ht="15" hidden="false" customHeight="false" outlineLevel="0" collapsed="false">
      <c r="A492" s="38"/>
      <c r="B492" s="22"/>
      <c r="C492" s="22"/>
      <c r="D492" s="22"/>
      <c r="E492" s="22"/>
      <c r="F492" s="22"/>
      <c r="G492" s="22"/>
      <c r="H492" s="22"/>
      <c r="I492" s="22"/>
      <c r="J492" s="22"/>
    </row>
    <row r="493" customFormat="false" ht="15" hidden="false" customHeight="false" outlineLevel="0" collapsed="false">
      <c r="A493" s="38"/>
      <c r="B493" s="22"/>
      <c r="C493" s="22"/>
      <c r="D493" s="22"/>
      <c r="E493" s="22"/>
      <c r="F493" s="22"/>
      <c r="G493" s="22"/>
      <c r="H493" s="22"/>
      <c r="I493" s="22"/>
      <c r="J493" s="22"/>
    </row>
    <row r="494" customFormat="false" ht="15" hidden="false" customHeight="false" outlineLevel="0" collapsed="false">
      <c r="A494" s="38"/>
      <c r="B494" s="22"/>
      <c r="C494" s="22"/>
      <c r="D494" s="22"/>
      <c r="E494" s="22"/>
      <c r="F494" s="22"/>
      <c r="G494" s="22"/>
      <c r="H494" s="22"/>
      <c r="I494" s="22"/>
      <c r="J494" s="22"/>
    </row>
    <row r="495" customFormat="false" ht="15" hidden="false" customHeight="false" outlineLevel="0" collapsed="false">
      <c r="A495" s="38"/>
      <c r="B495" s="22"/>
      <c r="C495" s="22"/>
      <c r="D495" s="22"/>
      <c r="E495" s="22"/>
      <c r="F495" s="22"/>
      <c r="G495" s="22"/>
      <c r="H495" s="22"/>
      <c r="I495" s="22"/>
      <c r="J495" s="22"/>
    </row>
    <row r="496" customFormat="false" ht="15" hidden="false" customHeight="false" outlineLevel="0" collapsed="false">
      <c r="A496" s="38"/>
      <c r="B496" s="22"/>
      <c r="C496" s="22"/>
      <c r="D496" s="22"/>
      <c r="E496" s="22"/>
      <c r="F496" s="22"/>
      <c r="G496" s="22"/>
      <c r="H496" s="22"/>
      <c r="I496" s="22"/>
      <c r="J496" s="22"/>
    </row>
    <row r="497" customFormat="false" ht="15" hidden="false" customHeight="false" outlineLevel="0" collapsed="false">
      <c r="A497" s="38"/>
      <c r="B497" s="22"/>
      <c r="C497" s="22"/>
      <c r="D497" s="22"/>
      <c r="E497" s="22"/>
      <c r="F497" s="22"/>
      <c r="G497" s="22"/>
      <c r="H497" s="22"/>
      <c r="I497" s="22"/>
      <c r="J497" s="22"/>
    </row>
    <row r="498" customFormat="false" ht="15" hidden="false" customHeight="false" outlineLevel="0" collapsed="false">
      <c r="A498" s="38"/>
      <c r="B498" s="22"/>
      <c r="C498" s="22"/>
      <c r="D498" s="22"/>
      <c r="E498" s="22"/>
      <c r="F498" s="22"/>
      <c r="G498" s="22"/>
      <c r="H498" s="22"/>
      <c r="I498" s="22"/>
      <c r="J498" s="22"/>
    </row>
    <row r="499" customFormat="false" ht="15" hidden="false" customHeight="false" outlineLevel="0" collapsed="false">
      <c r="A499" s="38"/>
      <c r="B499" s="22"/>
      <c r="C499" s="22"/>
      <c r="D499" s="22"/>
      <c r="E499" s="22"/>
      <c r="F499" s="22"/>
      <c r="G499" s="22"/>
      <c r="H499" s="22"/>
      <c r="I499" s="22"/>
      <c r="J499" s="22"/>
    </row>
    <row r="500" customFormat="false" ht="15" hidden="false" customHeight="false" outlineLevel="0" collapsed="false">
      <c r="A500" s="38"/>
      <c r="B500" s="22"/>
      <c r="C500" s="22"/>
      <c r="D500" s="22"/>
      <c r="E500" s="22"/>
      <c r="F500" s="22"/>
      <c r="G500" s="22"/>
      <c r="H500" s="22"/>
      <c r="I500" s="22"/>
      <c r="J500" s="22"/>
    </row>
    <row r="501" customFormat="false" ht="15" hidden="false" customHeight="false" outlineLevel="0" collapsed="false">
      <c r="A501" s="38"/>
      <c r="B501" s="22"/>
      <c r="C501" s="22"/>
      <c r="D501" s="22"/>
      <c r="E501" s="22"/>
      <c r="F501" s="22"/>
      <c r="G501" s="22"/>
      <c r="H501" s="22"/>
      <c r="I501" s="22"/>
      <c r="J501" s="22"/>
    </row>
    <row r="502" customFormat="false" ht="15" hidden="false" customHeight="false" outlineLevel="0" collapsed="false">
      <c r="A502" s="38"/>
      <c r="B502" s="22"/>
      <c r="C502" s="22"/>
      <c r="D502" s="22"/>
      <c r="E502" s="22"/>
      <c r="F502" s="22"/>
      <c r="G502" s="22"/>
      <c r="H502" s="22"/>
      <c r="I502" s="22"/>
      <c r="J502" s="22"/>
    </row>
    <row r="503" customFormat="false" ht="15" hidden="false" customHeight="false" outlineLevel="0" collapsed="false">
      <c r="A503" s="38"/>
      <c r="B503" s="22"/>
      <c r="C503" s="22"/>
      <c r="D503" s="22"/>
      <c r="E503" s="22"/>
      <c r="F503" s="22"/>
      <c r="G503" s="22"/>
      <c r="H503" s="22"/>
      <c r="I503" s="22"/>
      <c r="J503" s="22"/>
    </row>
    <row r="504" customFormat="false" ht="15" hidden="false" customHeight="false" outlineLevel="0" collapsed="false">
      <c r="A504" s="38"/>
      <c r="B504" s="22"/>
      <c r="C504" s="22"/>
      <c r="D504" s="22"/>
      <c r="E504" s="22"/>
      <c r="F504" s="22"/>
      <c r="G504" s="22"/>
      <c r="H504" s="22"/>
      <c r="I504" s="22"/>
      <c r="J504" s="22"/>
    </row>
  </sheetData>
  <autoFilter ref="A4:J504"/>
  <dataValidations count="2">
    <dataValidation allowBlank="true" errorStyle="stop" operator="between" showDropDown="false" showErrorMessage="false" showInputMessage="false" sqref="D5:D504" type="list">
      <formula1>"Google AI Overviews,ChatGPT Search,Microsoft Copilot,Perplexity,Gemini,Other"</formula1>
      <formula2>0</formula2>
    </dataValidation>
    <dataValidation allowBlank="true" errorStyle="stop" operator="between" showDropDown="false" showErrorMessage="false" showInputMessage="false" sqref="E5:E504 I5:I504" type="list">
      <formula1>"Y,N"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2"/>
    <col collapsed="false" customWidth="true" hidden="false" outlineLevel="0" max="3" min="3" style="0" width="12"/>
    <col collapsed="false" customWidth="true" hidden="false" outlineLevel="0" max="4" min="4" style="0" width="40"/>
    <col collapsed="false" customWidth="true" hidden="false" outlineLevel="0" max="5" min="5" style="0" width="44"/>
    <col collapsed="false" customWidth="true" hidden="false" outlineLevel="0" max="6" min="6" style="0" width="22"/>
    <col collapsed="false" customWidth="true" hidden="false" outlineLevel="0" max="8" min="7" style="0" width="9"/>
    <col collapsed="false" customWidth="true" hidden="false" outlineLevel="0" max="9" min="9" style="0" width="16"/>
    <col collapsed="false" customWidth="true" hidden="false" outlineLevel="0" max="10" min="10" style="0" width="10"/>
  </cols>
  <sheetData>
    <row r="1" customFormat="false" ht="19.7" hidden="false" customHeight="false" outlineLevel="0" collapsed="false">
      <c r="A1" s="1" t="s">
        <v>52</v>
      </c>
    </row>
    <row r="2" customFormat="false" ht="15" hidden="false" customHeight="false" outlineLevel="0" collapsed="false">
      <c r="A2" s="2" t="s">
        <v>727</v>
      </c>
    </row>
    <row r="4" customFormat="false" ht="31.5" hidden="false" customHeight="true" outlineLevel="0" collapsed="false">
      <c r="A4" s="9" t="s">
        <v>728</v>
      </c>
      <c r="B4" s="9" t="s">
        <v>729</v>
      </c>
      <c r="C4" s="9" t="s">
        <v>730</v>
      </c>
      <c r="D4" s="9" t="s">
        <v>731</v>
      </c>
      <c r="E4" s="9" t="s">
        <v>732</v>
      </c>
      <c r="F4" s="9" t="s">
        <v>733</v>
      </c>
      <c r="G4" s="9" t="s">
        <v>734</v>
      </c>
      <c r="H4" s="9" t="s">
        <v>735</v>
      </c>
      <c r="I4" s="9" t="s">
        <v>34</v>
      </c>
      <c r="J4" s="9" t="s">
        <v>546</v>
      </c>
    </row>
    <row r="5" customFormat="false" ht="23.85" hidden="false" customHeight="false" outlineLevel="0" collapsed="false">
      <c r="A5" s="22" t="s">
        <v>736</v>
      </c>
      <c r="B5" s="22" t="s">
        <v>737</v>
      </c>
      <c r="C5" s="22" t="s">
        <v>738</v>
      </c>
      <c r="D5" s="22" t="s">
        <v>739</v>
      </c>
      <c r="E5" s="22" t="s">
        <v>740</v>
      </c>
      <c r="F5" s="22"/>
      <c r="G5" s="22"/>
      <c r="H5" s="22"/>
      <c r="I5" s="22"/>
      <c r="J5" s="22"/>
    </row>
    <row r="6" customFormat="false" ht="15" hidden="false" customHeight="false" outlineLevel="0" collapsed="false">
      <c r="A6" s="22" t="s">
        <v>736</v>
      </c>
      <c r="B6" s="22" t="s">
        <v>741</v>
      </c>
      <c r="C6" s="22" t="s">
        <v>738</v>
      </c>
      <c r="D6" s="22" t="s">
        <v>742</v>
      </c>
      <c r="E6" s="22" t="s">
        <v>743</v>
      </c>
      <c r="F6" s="22"/>
      <c r="G6" s="22"/>
      <c r="H6" s="22"/>
      <c r="I6" s="22"/>
      <c r="J6" s="22"/>
    </row>
    <row r="7" customFormat="false" ht="15" hidden="false" customHeight="false" outlineLevel="0" collapsed="false">
      <c r="A7" s="22" t="s">
        <v>235</v>
      </c>
      <c r="B7" s="22" t="s">
        <v>744</v>
      </c>
      <c r="C7" s="22" t="s">
        <v>738</v>
      </c>
      <c r="D7" s="22" t="s">
        <v>745</v>
      </c>
      <c r="E7" s="22" t="s">
        <v>746</v>
      </c>
      <c r="F7" s="22"/>
      <c r="G7" s="22"/>
      <c r="H7" s="22"/>
      <c r="I7" s="22"/>
      <c r="J7" s="22"/>
    </row>
    <row r="8" customFormat="false" ht="15" hidden="false" customHeight="false" outlineLevel="0" collapsed="false">
      <c r="A8" s="22" t="s">
        <v>235</v>
      </c>
      <c r="B8" s="22" t="s">
        <v>747</v>
      </c>
      <c r="C8" s="22" t="s">
        <v>738</v>
      </c>
      <c r="D8" s="22" t="s">
        <v>748</v>
      </c>
      <c r="E8" s="22" t="s">
        <v>749</v>
      </c>
      <c r="F8" s="22"/>
      <c r="G8" s="22"/>
      <c r="H8" s="22"/>
      <c r="I8" s="22"/>
      <c r="J8" s="22"/>
    </row>
    <row r="9" customFormat="false" ht="23.85" hidden="false" customHeight="false" outlineLevel="0" collapsed="false">
      <c r="A9" s="22" t="s">
        <v>235</v>
      </c>
      <c r="B9" s="22" t="s">
        <v>235</v>
      </c>
      <c r="C9" s="22" t="s">
        <v>612</v>
      </c>
      <c r="D9" s="22" t="s">
        <v>750</v>
      </c>
      <c r="E9" s="22" t="s">
        <v>751</v>
      </c>
      <c r="F9" s="22"/>
      <c r="G9" s="22"/>
      <c r="H9" s="22"/>
      <c r="I9" s="22"/>
      <c r="J9" s="22"/>
    </row>
    <row r="10" customFormat="false" ht="15" hidden="false" customHeight="false" outlineLevel="0" collapsed="false">
      <c r="A10" s="22" t="s">
        <v>752</v>
      </c>
      <c r="B10" s="22" t="s">
        <v>753</v>
      </c>
      <c r="C10" s="22" t="s">
        <v>612</v>
      </c>
      <c r="D10" s="22" t="s">
        <v>754</v>
      </c>
      <c r="E10" s="22" t="s">
        <v>755</v>
      </c>
      <c r="F10" s="22"/>
      <c r="G10" s="22"/>
      <c r="H10" s="22"/>
      <c r="I10" s="22"/>
      <c r="J10" s="22"/>
    </row>
    <row r="11" customFormat="false" ht="15" hidden="false" customHeight="false" outlineLevel="0" collapsed="false">
      <c r="A11" s="22" t="s">
        <v>756</v>
      </c>
      <c r="B11" s="22" t="s">
        <v>757</v>
      </c>
      <c r="C11" s="22" t="s">
        <v>612</v>
      </c>
      <c r="D11" s="22" t="s">
        <v>758</v>
      </c>
      <c r="E11" s="22" t="s">
        <v>759</v>
      </c>
      <c r="F11" s="22"/>
      <c r="G11" s="22"/>
      <c r="H11" s="22"/>
      <c r="I11" s="22"/>
      <c r="J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2"/>
      <c r="I13" s="22"/>
      <c r="J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</row>
  </sheetData>
  <autoFilter ref="A4:J104"/>
  <dataValidations count="1">
    <dataValidation allowBlank="true" errorStyle="stop" operator="between" showDropDown="false" showErrorMessage="false" showInputMessage="false" sqref="I5:I104" type="list">
      <formula1>Lists!$A$2:$A$10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20"/>
    <col collapsed="false" customWidth="true" hidden="false" outlineLevel="0" max="3" min="3" style="0" width="18"/>
    <col collapsed="false" customWidth="true" hidden="false" outlineLevel="0" max="4" min="4" style="0" width="12"/>
    <col collapsed="false" customWidth="true" hidden="false" outlineLevel="0" max="5" min="5" style="0" width="30"/>
    <col collapsed="false" customWidth="true" hidden="false" outlineLevel="0" max="6" min="6" style="0" width="34"/>
    <col collapsed="false" customWidth="true" hidden="false" outlineLevel="0" max="7" min="7" style="0" width="24"/>
    <col collapsed="false" customWidth="true" hidden="false" outlineLevel="0" max="8" min="8" style="0" width="13"/>
    <col collapsed="false" customWidth="true" hidden="false" outlineLevel="0" max="9" min="9" style="0" width="16"/>
    <col collapsed="false" customWidth="true" hidden="false" outlineLevel="0" max="10" min="10" style="0" width="34"/>
    <col collapsed="false" customWidth="true" hidden="false" outlineLevel="0" max="11" min="11" style="0" width="13"/>
    <col collapsed="false" customWidth="true" hidden="false" outlineLevel="0" max="12" min="12" style="0" width="10"/>
  </cols>
  <sheetData>
    <row r="1" customFormat="false" ht="19.7" hidden="false" customHeight="false" outlineLevel="0" collapsed="false">
      <c r="A1" s="1" t="s">
        <v>67</v>
      </c>
    </row>
    <row r="2" customFormat="false" ht="15" hidden="false" customHeight="false" outlineLevel="0" collapsed="false">
      <c r="A2" s="2" t="s">
        <v>760</v>
      </c>
    </row>
    <row r="4" customFormat="false" ht="31.5" hidden="false" customHeight="true" outlineLevel="0" collapsed="false">
      <c r="A4" s="9" t="s">
        <v>761</v>
      </c>
      <c r="B4" s="9" t="s">
        <v>617</v>
      </c>
      <c r="C4" s="9" t="s">
        <v>112</v>
      </c>
      <c r="D4" s="9" t="s">
        <v>762</v>
      </c>
      <c r="E4" s="9" t="s">
        <v>537</v>
      </c>
      <c r="F4" s="9" t="s">
        <v>763</v>
      </c>
      <c r="G4" s="9" t="s">
        <v>764</v>
      </c>
      <c r="H4" s="9" t="s">
        <v>765</v>
      </c>
      <c r="I4" s="9" t="s">
        <v>34</v>
      </c>
      <c r="J4" s="9" t="s">
        <v>766</v>
      </c>
      <c r="K4" s="9" t="s">
        <v>767</v>
      </c>
      <c r="L4" s="9" t="s">
        <v>546</v>
      </c>
    </row>
    <row r="5" customFormat="false" ht="15" hidden="false" customHeight="false" outlineLevel="0" collapsed="false">
      <c r="A5" s="22"/>
      <c r="B5" s="22"/>
      <c r="C5" s="22"/>
      <c r="D5" s="22"/>
      <c r="E5" s="22"/>
      <c r="F5" s="22"/>
      <c r="G5" s="22"/>
      <c r="H5" s="21"/>
      <c r="I5" s="22"/>
      <c r="J5" s="22"/>
      <c r="K5" s="21"/>
      <c r="L5" s="22"/>
    </row>
    <row r="6" customFormat="false" ht="15" hidden="false" customHeight="false" outlineLevel="0" collapsed="false">
      <c r="A6" s="22"/>
      <c r="B6" s="22"/>
      <c r="C6" s="22"/>
      <c r="D6" s="22"/>
      <c r="E6" s="22"/>
      <c r="F6" s="22"/>
      <c r="G6" s="22"/>
      <c r="H6" s="21"/>
      <c r="I6" s="22"/>
      <c r="J6" s="22"/>
      <c r="K6" s="21"/>
      <c r="L6" s="22"/>
    </row>
    <row r="7" customFormat="false" ht="15" hidden="false" customHeight="false" outlineLevel="0" collapsed="false">
      <c r="A7" s="22"/>
      <c r="B7" s="22"/>
      <c r="C7" s="22"/>
      <c r="D7" s="22"/>
      <c r="E7" s="22"/>
      <c r="F7" s="22"/>
      <c r="G7" s="22"/>
      <c r="H7" s="21"/>
      <c r="I7" s="22"/>
      <c r="J7" s="22"/>
      <c r="K7" s="21"/>
      <c r="L7" s="22"/>
    </row>
    <row r="8" customFormat="false" ht="15" hidden="false" customHeight="false" outlineLevel="0" collapsed="false">
      <c r="A8" s="22"/>
      <c r="B8" s="22"/>
      <c r="C8" s="22"/>
      <c r="D8" s="22"/>
      <c r="E8" s="22"/>
      <c r="F8" s="22"/>
      <c r="G8" s="22"/>
      <c r="H8" s="21"/>
      <c r="I8" s="22"/>
      <c r="J8" s="22"/>
      <c r="K8" s="21"/>
      <c r="L8" s="22"/>
    </row>
    <row r="9" customFormat="false" ht="15" hidden="false" customHeight="false" outlineLevel="0" collapsed="false">
      <c r="A9" s="22"/>
      <c r="B9" s="22"/>
      <c r="C9" s="22"/>
      <c r="D9" s="22"/>
      <c r="E9" s="22"/>
      <c r="F9" s="22"/>
      <c r="G9" s="22"/>
      <c r="H9" s="21"/>
      <c r="I9" s="22"/>
      <c r="J9" s="22"/>
      <c r="K9" s="21"/>
      <c r="L9" s="22"/>
    </row>
    <row r="10" customFormat="false" ht="15" hidden="false" customHeight="false" outlineLevel="0" collapsed="false">
      <c r="A10" s="22"/>
      <c r="B10" s="22"/>
      <c r="C10" s="22"/>
      <c r="D10" s="22"/>
      <c r="E10" s="22"/>
      <c r="F10" s="22"/>
      <c r="G10" s="22"/>
      <c r="H10" s="21"/>
      <c r="I10" s="22"/>
      <c r="J10" s="22"/>
      <c r="K10" s="21"/>
      <c r="L10" s="22"/>
    </row>
    <row r="11" customFormat="false" ht="15" hidden="false" customHeight="false" outlineLevel="0" collapsed="false">
      <c r="A11" s="22"/>
      <c r="B11" s="22"/>
      <c r="C11" s="22"/>
      <c r="D11" s="22"/>
      <c r="E11" s="22"/>
      <c r="F11" s="22"/>
      <c r="G11" s="22"/>
      <c r="H11" s="21"/>
      <c r="I11" s="22"/>
      <c r="J11" s="22"/>
      <c r="K11" s="21"/>
      <c r="L11" s="22"/>
    </row>
    <row r="12" customFormat="false" ht="15" hidden="false" customHeight="false" outlineLevel="0" collapsed="false">
      <c r="A12" s="22"/>
      <c r="B12" s="22"/>
      <c r="C12" s="22"/>
      <c r="D12" s="22"/>
      <c r="E12" s="22"/>
      <c r="F12" s="22"/>
      <c r="G12" s="22"/>
      <c r="H12" s="21"/>
      <c r="I12" s="22"/>
      <c r="J12" s="22"/>
      <c r="K12" s="21"/>
      <c r="L12" s="22"/>
    </row>
    <row r="13" customFormat="false" ht="15" hidden="false" customHeight="false" outlineLevel="0" collapsed="false">
      <c r="A13" s="22"/>
      <c r="B13" s="22"/>
      <c r="C13" s="22"/>
      <c r="D13" s="22"/>
      <c r="E13" s="22"/>
      <c r="F13" s="22"/>
      <c r="G13" s="22"/>
      <c r="H13" s="21"/>
      <c r="I13" s="22"/>
      <c r="J13" s="22"/>
      <c r="K13" s="21"/>
      <c r="L13" s="22"/>
    </row>
    <row r="14" customFormat="false" ht="15" hidden="false" customHeight="false" outlineLevel="0" collapsed="false">
      <c r="A14" s="22"/>
      <c r="B14" s="22"/>
      <c r="C14" s="22"/>
      <c r="D14" s="22"/>
      <c r="E14" s="22"/>
      <c r="F14" s="22"/>
      <c r="G14" s="22"/>
      <c r="H14" s="21"/>
      <c r="I14" s="22"/>
      <c r="J14" s="22"/>
      <c r="K14" s="21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1"/>
      <c r="I15" s="22"/>
      <c r="J15" s="22"/>
      <c r="K15" s="21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1"/>
      <c r="I16" s="22"/>
      <c r="J16" s="22"/>
      <c r="K16" s="21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1"/>
      <c r="I17" s="22"/>
      <c r="J17" s="22"/>
      <c r="K17" s="21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1"/>
      <c r="I18" s="22"/>
      <c r="J18" s="22"/>
      <c r="K18" s="21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1"/>
      <c r="I19" s="22"/>
      <c r="J19" s="22"/>
      <c r="K19" s="21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1"/>
      <c r="I20" s="22"/>
      <c r="J20" s="22"/>
      <c r="K20" s="21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1"/>
      <c r="I21" s="22"/>
      <c r="J21" s="22"/>
      <c r="K21" s="21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1"/>
      <c r="I22" s="22"/>
      <c r="J22" s="22"/>
      <c r="K22" s="21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1"/>
      <c r="I23" s="22"/>
      <c r="J23" s="22"/>
      <c r="K23" s="21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1"/>
      <c r="I24" s="22"/>
      <c r="J24" s="22"/>
      <c r="K24" s="21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1"/>
      <c r="I25" s="22"/>
      <c r="J25" s="22"/>
      <c r="K25" s="21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1"/>
      <c r="I26" s="22"/>
      <c r="J26" s="22"/>
      <c r="K26" s="21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1"/>
      <c r="I27" s="22"/>
      <c r="J27" s="22"/>
      <c r="K27" s="21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1"/>
      <c r="I28" s="22"/>
      <c r="J28" s="22"/>
      <c r="K28" s="21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1"/>
      <c r="I29" s="22"/>
      <c r="J29" s="22"/>
      <c r="K29" s="21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1"/>
      <c r="I30" s="22"/>
      <c r="J30" s="22"/>
      <c r="K30" s="21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1"/>
      <c r="I31" s="22"/>
      <c r="J31" s="22"/>
      <c r="K31" s="21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1"/>
      <c r="I32" s="22"/>
      <c r="J32" s="22"/>
      <c r="K32" s="21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1"/>
      <c r="I33" s="22"/>
      <c r="J33" s="22"/>
      <c r="K33" s="21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1"/>
      <c r="I34" s="22"/>
      <c r="J34" s="22"/>
      <c r="K34" s="21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1"/>
      <c r="I35" s="22"/>
      <c r="J35" s="22"/>
      <c r="K35" s="21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1"/>
      <c r="I36" s="22"/>
      <c r="J36" s="22"/>
      <c r="K36" s="21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1"/>
      <c r="I37" s="22"/>
      <c r="J37" s="22"/>
      <c r="K37" s="21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1"/>
      <c r="I38" s="22"/>
      <c r="J38" s="22"/>
      <c r="K38" s="21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1"/>
      <c r="I39" s="22"/>
      <c r="J39" s="22"/>
      <c r="K39" s="21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1"/>
      <c r="I40" s="22"/>
      <c r="J40" s="22"/>
      <c r="K40" s="21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1"/>
      <c r="I41" s="22"/>
      <c r="J41" s="22"/>
      <c r="K41" s="21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1"/>
      <c r="I42" s="22"/>
      <c r="J42" s="22"/>
      <c r="K42" s="21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1"/>
      <c r="I43" s="22"/>
      <c r="J43" s="22"/>
      <c r="K43" s="21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1"/>
      <c r="I44" s="22"/>
      <c r="J44" s="22"/>
      <c r="K44" s="21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1"/>
      <c r="I45" s="22"/>
      <c r="J45" s="22"/>
      <c r="K45" s="21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1"/>
      <c r="I46" s="22"/>
      <c r="J46" s="22"/>
      <c r="K46" s="21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1"/>
      <c r="I47" s="22"/>
      <c r="J47" s="22"/>
      <c r="K47" s="21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1"/>
      <c r="I48" s="22"/>
      <c r="J48" s="22"/>
      <c r="K48" s="21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1"/>
      <c r="I49" s="22"/>
      <c r="J49" s="22"/>
      <c r="K49" s="21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1"/>
      <c r="I50" s="22"/>
      <c r="J50" s="22"/>
      <c r="K50" s="21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1"/>
      <c r="I51" s="22"/>
      <c r="J51" s="22"/>
      <c r="K51" s="21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1"/>
      <c r="I52" s="22"/>
      <c r="J52" s="22"/>
      <c r="K52" s="21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1"/>
      <c r="I53" s="22"/>
      <c r="J53" s="22"/>
      <c r="K53" s="21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1"/>
      <c r="I54" s="22"/>
      <c r="J54" s="22"/>
      <c r="K54" s="21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1"/>
      <c r="I55" s="22"/>
      <c r="J55" s="22"/>
      <c r="K55" s="21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1"/>
      <c r="I56" s="22"/>
      <c r="J56" s="22"/>
      <c r="K56" s="21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1"/>
      <c r="I57" s="22"/>
      <c r="J57" s="22"/>
      <c r="K57" s="21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1"/>
      <c r="I58" s="22"/>
      <c r="J58" s="22"/>
      <c r="K58" s="21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1"/>
      <c r="I59" s="22"/>
      <c r="J59" s="22"/>
      <c r="K59" s="21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1"/>
      <c r="I60" s="22"/>
      <c r="J60" s="22"/>
      <c r="K60" s="21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1"/>
      <c r="I61" s="22"/>
      <c r="J61" s="22"/>
      <c r="K61" s="21"/>
      <c r="L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1"/>
      <c r="I62" s="22"/>
      <c r="J62" s="22"/>
      <c r="K62" s="21"/>
      <c r="L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1"/>
      <c r="I63" s="22"/>
      <c r="J63" s="22"/>
      <c r="K63" s="21"/>
      <c r="L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1"/>
      <c r="I64" s="22"/>
      <c r="J64" s="22"/>
      <c r="K64" s="21"/>
      <c r="L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1"/>
      <c r="I65" s="22"/>
      <c r="J65" s="22"/>
      <c r="K65" s="21"/>
      <c r="L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1"/>
      <c r="I66" s="22"/>
      <c r="J66" s="22"/>
      <c r="K66" s="21"/>
      <c r="L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1"/>
      <c r="I67" s="22"/>
      <c r="J67" s="22"/>
      <c r="K67" s="21"/>
      <c r="L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1"/>
      <c r="I68" s="22"/>
      <c r="J68" s="22"/>
      <c r="K68" s="21"/>
      <c r="L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1"/>
      <c r="I69" s="22"/>
      <c r="J69" s="22"/>
      <c r="K69" s="21"/>
      <c r="L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1"/>
      <c r="I70" s="22"/>
      <c r="J70" s="22"/>
      <c r="K70" s="21"/>
      <c r="L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1"/>
      <c r="I71" s="22"/>
      <c r="J71" s="22"/>
      <c r="K71" s="21"/>
      <c r="L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1"/>
      <c r="I72" s="22"/>
      <c r="J72" s="22"/>
      <c r="K72" s="21"/>
      <c r="L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1"/>
      <c r="I73" s="22"/>
      <c r="J73" s="22"/>
      <c r="K73" s="21"/>
      <c r="L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1"/>
      <c r="I74" s="22"/>
      <c r="J74" s="22"/>
      <c r="K74" s="21"/>
      <c r="L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1"/>
      <c r="I75" s="22"/>
      <c r="J75" s="22"/>
      <c r="K75" s="21"/>
      <c r="L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1"/>
      <c r="I76" s="22"/>
      <c r="J76" s="22"/>
      <c r="K76" s="21"/>
      <c r="L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1"/>
      <c r="I77" s="22"/>
      <c r="J77" s="22"/>
      <c r="K77" s="21"/>
      <c r="L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1"/>
      <c r="I78" s="22"/>
      <c r="J78" s="22"/>
      <c r="K78" s="21"/>
      <c r="L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1"/>
      <c r="I79" s="22"/>
      <c r="J79" s="22"/>
      <c r="K79" s="21"/>
      <c r="L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1"/>
      <c r="I80" s="22"/>
      <c r="J80" s="22"/>
      <c r="K80" s="21"/>
      <c r="L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1"/>
      <c r="I81" s="22"/>
      <c r="J81" s="22"/>
      <c r="K81" s="21"/>
      <c r="L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1"/>
      <c r="I82" s="22"/>
      <c r="J82" s="22"/>
      <c r="K82" s="21"/>
      <c r="L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1"/>
      <c r="I83" s="22"/>
      <c r="J83" s="22"/>
      <c r="K83" s="21"/>
      <c r="L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1"/>
      <c r="I84" s="22"/>
      <c r="J84" s="22"/>
      <c r="K84" s="21"/>
      <c r="L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1"/>
      <c r="I85" s="22"/>
      <c r="J85" s="22"/>
      <c r="K85" s="21"/>
      <c r="L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1"/>
      <c r="I86" s="22"/>
      <c r="J86" s="22"/>
      <c r="K86" s="21"/>
      <c r="L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1"/>
      <c r="I87" s="22"/>
      <c r="J87" s="22"/>
      <c r="K87" s="21"/>
      <c r="L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1"/>
      <c r="I88" s="22"/>
      <c r="J88" s="22"/>
      <c r="K88" s="21"/>
      <c r="L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1"/>
      <c r="I89" s="22"/>
      <c r="J89" s="22"/>
      <c r="K89" s="21"/>
      <c r="L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1"/>
      <c r="I90" s="22"/>
      <c r="J90" s="22"/>
      <c r="K90" s="21"/>
      <c r="L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1"/>
      <c r="I91" s="22"/>
      <c r="J91" s="22"/>
      <c r="K91" s="21"/>
      <c r="L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1"/>
      <c r="I92" s="22"/>
      <c r="J92" s="22"/>
      <c r="K92" s="21"/>
      <c r="L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1"/>
      <c r="I93" s="22"/>
      <c r="J93" s="22"/>
      <c r="K93" s="21"/>
      <c r="L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1"/>
      <c r="I94" s="22"/>
      <c r="J94" s="22"/>
      <c r="K94" s="21"/>
      <c r="L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1"/>
      <c r="I95" s="22"/>
      <c r="J95" s="22"/>
      <c r="K95" s="21"/>
      <c r="L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1"/>
      <c r="I96" s="22"/>
      <c r="J96" s="22"/>
      <c r="K96" s="21"/>
      <c r="L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1"/>
      <c r="I97" s="22"/>
      <c r="J97" s="22"/>
      <c r="K97" s="21"/>
      <c r="L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1"/>
      <c r="I98" s="22"/>
      <c r="J98" s="22"/>
      <c r="K98" s="21"/>
      <c r="L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1"/>
      <c r="I99" s="22"/>
      <c r="J99" s="22"/>
      <c r="K99" s="21"/>
      <c r="L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1"/>
      <c r="I100" s="22"/>
      <c r="J100" s="22"/>
      <c r="K100" s="21"/>
      <c r="L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1"/>
      <c r="I101" s="22"/>
      <c r="J101" s="22"/>
      <c r="K101" s="21"/>
      <c r="L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1"/>
      <c r="I102" s="22"/>
      <c r="J102" s="22"/>
      <c r="K102" s="21"/>
      <c r="L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1"/>
      <c r="I103" s="22"/>
      <c r="J103" s="22"/>
      <c r="K103" s="21"/>
      <c r="L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1"/>
      <c r="I104" s="22"/>
      <c r="J104" s="22"/>
      <c r="K104" s="21"/>
      <c r="L104" s="22"/>
    </row>
    <row r="105" customFormat="false" ht="15" hidden="false" customHeight="false" outlineLevel="0" collapsed="false">
      <c r="A105" s="22"/>
      <c r="B105" s="22"/>
      <c r="C105" s="22"/>
      <c r="D105" s="22"/>
      <c r="E105" s="22"/>
      <c r="F105" s="22"/>
      <c r="G105" s="22"/>
      <c r="H105" s="21"/>
      <c r="I105" s="22"/>
      <c r="J105" s="22"/>
      <c r="K105" s="21"/>
      <c r="L105" s="22"/>
    </row>
    <row r="106" customFormat="false" ht="15" hidden="false" customHeight="false" outlineLevel="0" collapsed="false">
      <c r="A106" s="22"/>
      <c r="B106" s="22"/>
      <c r="C106" s="22"/>
      <c r="D106" s="22"/>
      <c r="E106" s="22"/>
      <c r="F106" s="22"/>
      <c r="G106" s="22"/>
      <c r="H106" s="21"/>
      <c r="I106" s="22"/>
      <c r="J106" s="22"/>
      <c r="K106" s="21"/>
      <c r="L106" s="22"/>
    </row>
    <row r="107" customFormat="false" ht="15" hidden="false" customHeight="false" outlineLevel="0" collapsed="false">
      <c r="A107" s="22"/>
      <c r="B107" s="22"/>
      <c r="C107" s="22"/>
      <c r="D107" s="22"/>
      <c r="E107" s="22"/>
      <c r="F107" s="22"/>
      <c r="G107" s="22"/>
      <c r="H107" s="21"/>
      <c r="I107" s="22"/>
      <c r="J107" s="22"/>
      <c r="K107" s="21"/>
      <c r="L107" s="22"/>
    </row>
    <row r="108" customFormat="false" ht="15" hidden="false" customHeight="false" outlineLevel="0" collapsed="false">
      <c r="A108" s="22"/>
      <c r="B108" s="22"/>
      <c r="C108" s="22"/>
      <c r="D108" s="22"/>
      <c r="E108" s="22"/>
      <c r="F108" s="22"/>
      <c r="G108" s="22"/>
      <c r="H108" s="21"/>
      <c r="I108" s="22"/>
      <c r="J108" s="22"/>
      <c r="K108" s="21"/>
      <c r="L108" s="22"/>
    </row>
    <row r="109" customFormat="false" ht="15" hidden="false" customHeight="false" outlineLevel="0" collapsed="false">
      <c r="A109" s="22"/>
      <c r="B109" s="22"/>
      <c r="C109" s="22"/>
      <c r="D109" s="22"/>
      <c r="E109" s="22"/>
      <c r="F109" s="22"/>
      <c r="G109" s="22"/>
      <c r="H109" s="21"/>
      <c r="I109" s="22"/>
      <c r="J109" s="22"/>
      <c r="K109" s="21"/>
      <c r="L109" s="22"/>
    </row>
    <row r="110" customFormat="false" ht="15" hidden="false" customHeight="false" outlineLevel="0" collapsed="false">
      <c r="A110" s="22"/>
      <c r="B110" s="22"/>
      <c r="C110" s="22"/>
      <c r="D110" s="22"/>
      <c r="E110" s="22"/>
      <c r="F110" s="22"/>
      <c r="G110" s="22"/>
      <c r="H110" s="21"/>
      <c r="I110" s="22"/>
      <c r="J110" s="22"/>
      <c r="K110" s="21"/>
      <c r="L110" s="22"/>
    </row>
    <row r="111" customFormat="false" ht="15" hidden="false" customHeight="false" outlineLevel="0" collapsed="false">
      <c r="A111" s="22"/>
      <c r="B111" s="22"/>
      <c r="C111" s="22"/>
      <c r="D111" s="22"/>
      <c r="E111" s="22"/>
      <c r="F111" s="22"/>
      <c r="G111" s="22"/>
      <c r="H111" s="21"/>
      <c r="I111" s="22"/>
      <c r="J111" s="22"/>
      <c r="K111" s="21"/>
      <c r="L111" s="22"/>
    </row>
    <row r="112" customFormat="false" ht="15" hidden="false" customHeight="false" outlineLevel="0" collapsed="false">
      <c r="A112" s="22"/>
      <c r="B112" s="22"/>
      <c r="C112" s="22"/>
      <c r="D112" s="22"/>
      <c r="E112" s="22"/>
      <c r="F112" s="22"/>
      <c r="G112" s="22"/>
      <c r="H112" s="21"/>
      <c r="I112" s="22"/>
      <c r="J112" s="22"/>
      <c r="K112" s="21"/>
      <c r="L112" s="22"/>
    </row>
    <row r="113" customFormat="false" ht="15" hidden="false" customHeight="false" outlineLevel="0" collapsed="false">
      <c r="A113" s="22"/>
      <c r="B113" s="22"/>
      <c r="C113" s="22"/>
      <c r="D113" s="22"/>
      <c r="E113" s="22"/>
      <c r="F113" s="22"/>
      <c r="G113" s="22"/>
      <c r="H113" s="21"/>
      <c r="I113" s="22"/>
      <c r="J113" s="22"/>
      <c r="K113" s="21"/>
      <c r="L113" s="22"/>
    </row>
    <row r="114" customFormat="false" ht="15" hidden="false" customHeight="false" outlineLevel="0" collapsed="false">
      <c r="A114" s="22"/>
      <c r="B114" s="22"/>
      <c r="C114" s="22"/>
      <c r="D114" s="22"/>
      <c r="E114" s="22"/>
      <c r="F114" s="22"/>
      <c r="G114" s="22"/>
      <c r="H114" s="21"/>
      <c r="I114" s="22"/>
      <c r="J114" s="22"/>
      <c r="K114" s="21"/>
      <c r="L114" s="22"/>
    </row>
    <row r="115" customFormat="false" ht="15" hidden="false" customHeight="false" outlineLevel="0" collapsed="false">
      <c r="A115" s="22"/>
      <c r="B115" s="22"/>
      <c r="C115" s="22"/>
      <c r="D115" s="22"/>
      <c r="E115" s="22"/>
      <c r="F115" s="22"/>
      <c r="G115" s="22"/>
      <c r="H115" s="21"/>
      <c r="I115" s="22"/>
      <c r="J115" s="22"/>
      <c r="K115" s="21"/>
      <c r="L115" s="22"/>
    </row>
    <row r="116" customFormat="false" ht="15" hidden="false" customHeight="false" outlineLevel="0" collapsed="false">
      <c r="A116" s="22"/>
      <c r="B116" s="22"/>
      <c r="C116" s="22"/>
      <c r="D116" s="22"/>
      <c r="E116" s="22"/>
      <c r="F116" s="22"/>
      <c r="G116" s="22"/>
      <c r="H116" s="21"/>
      <c r="I116" s="22"/>
      <c r="J116" s="22"/>
      <c r="K116" s="21"/>
      <c r="L116" s="22"/>
    </row>
    <row r="117" customFormat="false" ht="15" hidden="false" customHeight="false" outlineLevel="0" collapsed="false">
      <c r="A117" s="22"/>
      <c r="B117" s="22"/>
      <c r="C117" s="22"/>
      <c r="D117" s="22"/>
      <c r="E117" s="22"/>
      <c r="F117" s="22"/>
      <c r="G117" s="22"/>
      <c r="H117" s="21"/>
      <c r="I117" s="22"/>
      <c r="J117" s="22"/>
      <c r="K117" s="21"/>
      <c r="L117" s="22"/>
    </row>
    <row r="118" customFormat="false" ht="15" hidden="false" customHeight="false" outlineLevel="0" collapsed="false">
      <c r="A118" s="22"/>
      <c r="B118" s="22"/>
      <c r="C118" s="22"/>
      <c r="D118" s="22"/>
      <c r="E118" s="22"/>
      <c r="F118" s="22"/>
      <c r="G118" s="22"/>
      <c r="H118" s="21"/>
      <c r="I118" s="22"/>
      <c r="J118" s="22"/>
      <c r="K118" s="21"/>
      <c r="L118" s="22"/>
    </row>
    <row r="119" customFormat="false" ht="15" hidden="false" customHeight="false" outlineLevel="0" collapsed="false">
      <c r="A119" s="22"/>
      <c r="B119" s="22"/>
      <c r="C119" s="22"/>
      <c r="D119" s="22"/>
      <c r="E119" s="22"/>
      <c r="F119" s="22"/>
      <c r="G119" s="22"/>
      <c r="H119" s="21"/>
      <c r="I119" s="22"/>
      <c r="J119" s="22"/>
      <c r="K119" s="21"/>
      <c r="L119" s="22"/>
    </row>
    <row r="120" customFormat="false" ht="15" hidden="false" customHeight="false" outlineLevel="0" collapsed="false">
      <c r="A120" s="22"/>
      <c r="B120" s="22"/>
      <c r="C120" s="22"/>
      <c r="D120" s="22"/>
      <c r="E120" s="22"/>
      <c r="F120" s="22"/>
      <c r="G120" s="22"/>
      <c r="H120" s="21"/>
      <c r="I120" s="22"/>
      <c r="J120" s="22"/>
      <c r="K120" s="21"/>
      <c r="L120" s="22"/>
    </row>
    <row r="121" customFormat="false" ht="15" hidden="false" customHeight="false" outlineLevel="0" collapsed="false">
      <c r="A121" s="22"/>
      <c r="B121" s="22"/>
      <c r="C121" s="22"/>
      <c r="D121" s="22"/>
      <c r="E121" s="22"/>
      <c r="F121" s="22"/>
      <c r="G121" s="22"/>
      <c r="H121" s="21"/>
      <c r="I121" s="22"/>
      <c r="J121" s="22"/>
      <c r="K121" s="21"/>
      <c r="L121" s="22"/>
    </row>
    <row r="122" customFormat="false" ht="15" hidden="false" customHeight="false" outlineLevel="0" collapsed="false">
      <c r="A122" s="22"/>
      <c r="B122" s="22"/>
      <c r="C122" s="22"/>
      <c r="D122" s="22"/>
      <c r="E122" s="22"/>
      <c r="F122" s="22"/>
      <c r="G122" s="22"/>
      <c r="H122" s="21"/>
      <c r="I122" s="22"/>
      <c r="J122" s="22"/>
      <c r="K122" s="21"/>
      <c r="L122" s="22"/>
    </row>
    <row r="123" customFormat="false" ht="15" hidden="false" customHeight="false" outlineLevel="0" collapsed="false">
      <c r="A123" s="22"/>
      <c r="B123" s="22"/>
      <c r="C123" s="22"/>
      <c r="D123" s="22"/>
      <c r="E123" s="22"/>
      <c r="F123" s="22"/>
      <c r="G123" s="22"/>
      <c r="H123" s="21"/>
      <c r="I123" s="22"/>
      <c r="J123" s="22"/>
      <c r="K123" s="21"/>
      <c r="L123" s="22"/>
    </row>
    <row r="124" customFormat="false" ht="15" hidden="false" customHeight="false" outlineLevel="0" collapsed="false">
      <c r="A124" s="22"/>
      <c r="B124" s="22"/>
      <c r="C124" s="22"/>
      <c r="D124" s="22"/>
      <c r="E124" s="22"/>
      <c r="F124" s="22"/>
      <c r="G124" s="22"/>
      <c r="H124" s="21"/>
      <c r="I124" s="22"/>
      <c r="J124" s="22"/>
      <c r="K124" s="21"/>
      <c r="L124" s="22"/>
    </row>
    <row r="125" customFormat="false" ht="15" hidden="false" customHeight="false" outlineLevel="0" collapsed="false">
      <c r="A125" s="22"/>
      <c r="B125" s="22"/>
      <c r="C125" s="22"/>
      <c r="D125" s="22"/>
      <c r="E125" s="22"/>
      <c r="F125" s="22"/>
      <c r="G125" s="22"/>
      <c r="H125" s="21"/>
      <c r="I125" s="22"/>
      <c r="J125" s="22"/>
      <c r="K125" s="21"/>
      <c r="L125" s="22"/>
    </row>
    <row r="126" customFormat="false" ht="15" hidden="false" customHeight="false" outlineLevel="0" collapsed="false">
      <c r="A126" s="22"/>
      <c r="B126" s="22"/>
      <c r="C126" s="22"/>
      <c r="D126" s="22"/>
      <c r="E126" s="22"/>
      <c r="F126" s="22"/>
      <c r="G126" s="22"/>
      <c r="H126" s="21"/>
      <c r="I126" s="22"/>
      <c r="J126" s="22"/>
      <c r="K126" s="21"/>
      <c r="L126" s="22"/>
    </row>
    <row r="127" customFormat="false" ht="15" hidden="false" customHeight="false" outlineLevel="0" collapsed="false">
      <c r="A127" s="22"/>
      <c r="B127" s="22"/>
      <c r="C127" s="22"/>
      <c r="D127" s="22"/>
      <c r="E127" s="22"/>
      <c r="F127" s="22"/>
      <c r="G127" s="22"/>
      <c r="H127" s="21"/>
      <c r="I127" s="22"/>
      <c r="J127" s="22"/>
      <c r="K127" s="21"/>
      <c r="L127" s="22"/>
    </row>
    <row r="128" customFormat="false" ht="15" hidden="false" customHeight="false" outlineLevel="0" collapsed="false">
      <c r="A128" s="22"/>
      <c r="B128" s="22"/>
      <c r="C128" s="22"/>
      <c r="D128" s="22"/>
      <c r="E128" s="22"/>
      <c r="F128" s="22"/>
      <c r="G128" s="22"/>
      <c r="H128" s="21"/>
      <c r="I128" s="22"/>
      <c r="J128" s="22"/>
      <c r="K128" s="21"/>
      <c r="L128" s="22"/>
    </row>
    <row r="129" customFormat="false" ht="15" hidden="false" customHeight="false" outlineLevel="0" collapsed="false">
      <c r="A129" s="22"/>
      <c r="B129" s="22"/>
      <c r="C129" s="22"/>
      <c r="D129" s="22"/>
      <c r="E129" s="22"/>
      <c r="F129" s="22"/>
      <c r="G129" s="22"/>
      <c r="H129" s="21"/>
      <c r="I129" s="22"/>
      <c r="J129" s="22"/>
      <c r="K129" s="21"/>
      <c r="L129" s="22"/>
    </row>
    <row r="130" customFormat="false" ht="15" hidden="false" customHeight="false" outlineLevel="0" collapsed="false">
      <c r="A130" s="22"/>
      <c r="B130" s="22"/>
      <c r="C130" s="22"/>
      <c r="D130" s="22"/>
      <c r="E130" s="22"/>
      <c r="F130" s="22"/>
      <c r="G130" s="22"/>
      <c r="H130" s="21"/>
      <c r="I130" s="22"/>
      <c r="J130" s="22"/>
      <c r="K130" s="21"/>
      <c r="L130" s="22"/>
    </row>
    <row r="131" customFormat="false" ht="15" hidden="false" customHeight="false" outlineLevel="0" collapsed="false">
      <c r="A131" s="22"/>
      <c r="B131" s="22"/>
      <c r="C131" s="22"/>
      <c r="D131" s="22"/>
      <c r="E131" s="22"/>
      <c r="F131" s="22"/>
      <c r="G131" s="22"/>
      <c r="H131" s="21"/>
      <c r="I131" s="22"/>
      <c r="J131" s="22"/>
      <c r="K131" s="21"/>
      <c r="L131" s="22"/>
    </row>
    <row r="132" customFormat="false" ht="15" hidden="false" customHeight="false" outlineLevel="0" collapsed="false">
      <c r="A132" s="22"/>
      <c r="B132" s="22"/>
      <c r="C132" s="22"/>
      <c r="D132" s="22"/>
      <c r="E132" s="22"/>
      <c r="F132" s="22"/>
      <c r="G132" s="22"/>
      <c r="H132" s="21"/>
      <c r="I132" s="22"/>
      <c r="J132" s="22"/>
      <c r="K132" s="21"/>
      <c r="L132" s="22"/>
    </row>
    <row r="133" customFormat="false" ht="15" hidden="false" customHeight="false" outlineLevel="0" collapsed="false">
      <c r="A133" s="22"/>
      <c r="B133" s="22"/>
      <c r="C133" s="22"/>
      <c r="D133" s="22"/>
      <c r="E133" s="22"/>
      <c r="F133" s="22"/>
      <c r="G133" s="22"/>
      <c r="H133" s="21"/>
      <c r="I133" s="22"/>
      <c r="J133" s="22"/>
      <c r="K133" s="21"/>
      <c r="L133" s="22"/>
    </row>
    <row r="134" customFormat="false" ht="15" hidden="false" customHeight="false" outlineLevel="0" collapsed="false">
      <c r="A134" s="22"/>
      <c r="B134" s="22"/>
      <c r="C134" s="22"/>
      <c r="D134" s="22"/>
      <c r="E134" s="22"/>
      <c r="F134" s="22"/>
      <c r="G134" s="22"/>
      <c r="H134" s="21"/>
      <c r="I134" s="22"/>
      <c r="J134" s="22"/>
      <c r="K134" s="21"/>
      <c r="L134" s="22"/>
    </row>
    <row r="135" customFormat="false" ht="15" hidden="false" customHeight="false" outlineLevel="0" collapsed="false">
      <c r="A135" s="22"/>
      <c r="B135" s="22"/>
      <c r="C135" s="22"/>
      <c r="D135" s="22"/>
      <c r="E135" s="22"/>
      <c r="F135" s="22"/>
      <c r="G135" s="22"/>
      <c r="H135" s="21"/>
      <c r="I135" s="22"/>
      <c r="J135" s="22"/>
      <c r="K135" s="21"/>
      <c r="L135" s="22"/>
    </row>
    <row r="136" customFormat="false" ht="15" hidden="false" customHeight="false" outlineLevel="0" collapsed="false">
      <c r="A136" s="22"/>
      <c r="B136" s="22"/>
      <c r="C136" s="22"/>
      <c r="D136" s="22"/>
      <c r="E136" s="22"/>
      <c r="F136" s="22"/>
      <c r="G136" s="22"/>
      <c r="H136" s="21"/>
      <c r="I136" s="22"/>
      <c r="J136" s="22"/>
      <c r="K136" s="21"/>
      <c r="L136" s="22"/>
    </row>
    <row r="137" customFormat="false" ht="15" hidden="false" customHeight="false" outlineLevel="0" collapsed="false">
      <c r="A137" s="22"/>
      <c r="B137" s="22"/>
      <c r="C137" s="22"/>
      <c r="D137" s="22"/>
      <c r="E137" s="22"/>
      <c r="F137" s="22"/>
      <c r="G137" s="22"/>
      <c r="H137" s="21"/>
      <c r="I137" s="22"/>
      <c r="J137" s="22"/>
      <c r="K137" s="21"/>
      <c r="L137" s="22"/>
    </row>
    <row r="138" customFormat="false" ht="15" hidden="false" customHeight="false" outlineLevel="0" collapsed="false">
      <c r="A138" s="22"/>
      <c r="B138" s="22"/>
      <c r="C138" s="22"/>
      <c r="D138" s="22"/>
      <c r="E138" s="22"/>
      <c r="F138" s="22"/>
      <c r="G138" s="22"/>
      <c r="H138" s="21"/>
      <c r="I138" s="22"/>
      <c r="J138" s="22"/>
      <c r="K138" s="21"/>
      <c r="L138" s="22"/>
    </row>
    <row r="139" customFormat="false" ht="15" hidden="false" customHeight="false" outlineLevel="0" collapsed="false">
      <c r="A139" s="22"/>
      <c r="B139" s="22"/>
      <c r="C139" s="22"/>
      <c r="D139" s="22"/>
      <c r="E139" s="22"/>
      <c r="F139" s="22"/>
      <c r="G139" s="22"/>
      <c r="H139" s="21"/>
      <c r="I139" s="22"/>
      <c r="J139" s="22"/>
      <c r="K139" s="21"/>
      <c r="L139" s="22"/>
    </row>
    <row r="140" customFormat="false" ht="15" hidden="false" customHeight="false" outlineLevel="0" collapsed="false">
      <c r="A140" s="22"/>
      <c r="B140" s="22"/>
      <c r="C140" s="22"/>
      <c r="D140" s="22"/>
      <c r="E140" s="22"/>
      <c r="F140" s="22"/>
      <c r="G140" s="22"/>
      <c r="H140" s="21"/>
      <c r="I140" s="22"/>
      <c r="J140" s="22"/>
      <c r="K140" s="21"/>
      <c r="L140" s="22"/>
    </row>
    <row r="141" customFormat="false" ht="15" hidden="false" customHeight="false" outlineLevel="0" collapsed="false">
      <c r="A141" s="22"/>
      <c r="B141" s="22"/>
      <c r="C141" s="22"/>
      <c r="D141" s="22"/>
      <c r="E141" s="22"/>
      <c r="F141" s="22"/>
      <c r="G141" s="22"/>
      <c r="H141" s="21"/>
      <c r="I141" s="22"/>
      <c r="J141" s="22"/>
      <c r="K141" s="21"/>
      <c r="L141" s="22"/>
    </row>
    <row r="142" customFormat="false" ht="15" hidden="false" customHeight="false" outlineLevel="0" collapsed="false">
      <c r="A142" s="22"/>
      <c r="B142" s="22"/>
      <c r="C142" s="22"/>
      <c r="D142" s="22"/>
      <c r="E142" s="22"/>
      <c r="F142" s="22"/>
      <c r="G142" s="22"/>
      <c r="H142" s="21"/>
      <c r="I142" s="22"/>
      <c r="J142" s="22"/>
      <c r="K142" s="21"/>
      <c r="L142" s="22"/>
    </row>
    <row r="143" customFormat="false" ht="15" hidden="false" customHeight="false" outlineLevel="0" collapsed="false">
      <c r="A143" s="22"/>
      <c r="B143" s="22"/>
      <c r="C143" s="22"/>
      <c r="D143" s="22"/>
      <c r="E143" s="22"/>
      <c r="F143" s="22"/>
      <c r="G143" s="22"/>
      <c r="H143" s="21"/>
      <c r="I143" s="22"/>
      <c r="J143" s="22"/>
      <c r="K143" s="21"/>
      <c r="L143" s="22"/>
    </row>
    <row r="144" customFormat="false" ht="15" hidden="false" customHeight="false" outlineLevel="0" collapsed="false">
      <c r="A144" s="22"/>
      <c r="B144" s="22"/>
      <c r="C144" s="22"/>
      <c r="D144" s="22"/>
      <c r="E144" s="22"/>
      <c r="F144" s="22"/>
      <c r="G144" s="22"/>
      <c r="H144" s="21"/>
      <c r="I144" s="22"/>
      <c r="J144" s="22"/>
      <c r="K144" s="21"/>
      <c r="L144" s="22"/>
    </row>
    <row r="145" customFormat="false" ht="15" hidden="false" customHeight="false" outlineLevel="0" collapsed="false">
      <c r="A145" s="22"/>
      <c r="B145" s="22"/>
      <c r="C145" s="22"/>
      <c r="D145" s="22"/>
      <c r="E145" s="22"/>
      <c r="F145" s="22"/>
      <c r="G145" s="22"/>
      <c r="H145" s="21"/>
      <c r="I145" s="22"/>
      <c r="J145" s="22"/>
      <c r="K145" s="21"/>
      <c r="L145" s="22"/>
    </row>
    <row r="146" customFormat="false" ht="15" hidden="false" customHeight="false" outlineLevel="0" collapsed="false">
      <c r="A146" s="22"/>
      <c r="B146" s="22"/>
      <c r="C146" s="22"/>
      <c r="D146" s="22"/>
      <c r="E146" s="22"/>
      <c r="F146" s="22"/>
      <c r="G146" s="22"/>
      <c r="H146" s="21"/>
      <c r="I146" s="22"/>
      <c r="J146" s="22"/>
      <c r="K146" s="21"/>
      <c r="L146" s="22"/>
    </row>
    <row r="147" customFormat="false" ht="15" hidden="false" customHeight="false" outlineLevel="0" collapsed="false">
      <c r="A147" s="22"/>
      <c r="B147" s="22"/>
      <c r="C147" s="22"/>
      <c r="D147" s="22"/>
      <c r="E147" s="22"/>
      <c r="F147" s="22"/>
      <c r="G147" s="22"/>
      <c r="H147" s="21"/>
      <c r="I147" s="22"/>
      <c r="J147" s="22"/>
      <c r="K147" s="21"/>
      <c r="L147" s="22"/>
    </row>
    <row r="148" customFormat="false" ht="15" hidden="false" customHeight="false" outlineLevel="0" collapsed="false">
      <c r="A148" s="22"/>
      <c r="B148" s="22"/>
      <c r="C148" s="22"/>
      <c r="D148" s="22"/>
      <c r="E148" s="22"/>
      <c r="F148" s="22"/>
      <c r="G148" s="22"/>
      <c r="H148" s="21"/>
      <c r="I148" s="22"/>
      <c r="J148" s="22"/>
      <c r="K148" s="21"/>
      <c r="L148" s="22"/>
    </row>
    <row r="149" customFormat="false" ht="15" hidden="false" customHeight="false" outlineLevel="0" collapsed="false">
      <c r="A149" s="22"/>
      <c r="B149" s="22"/>
      <c r="C149" s="22"/>
      <c r="D149" s="22"/>
      <c r="E149" s="22"/>
      <c r="F149" s="22"/>
      <c r="G149" s="22"/>
      <c r="H149" s="21"/>
      <c r="I149" s="22"/>
      <c r="J149" s="22"/>
      <c r="K149" s="21"/>
      <c r="L149" s="22"/>
    </row>
    <row r="150" customFormat="false" ht="15" hidden="false" customHeight="false" outlineLevel="0" collapsed="false">
      <c r="A150" s="22"/>
      <c r="B150" s="22"/>
      <c r="C150" s="22"/>
      <c r="D150" s="22"/>
      <c r="E150" s="22"/>
      <c r="F150" s="22"/>
      <c r="G150" s="22"/>
      <c r="H150" s="21"/>
      <c r="I150" s="22"/>
      <c r="J150" s="22"/>
      <c r="K150" s="21"/>
      <c r="L150" s="22"/>
    </row>
    <row r="151" customFormat="false" ht="15" hidden="false" customHeight="false" outlineLevel="0" collapsed="false">
      <c r="A151" s="22"/>
      <c r="B151" s="22"/>
      <c r="C151" s="22"/>
      <c r="D151" s="22"/>
      <c r="E151" s="22"/>
      <c r="F151" s="22"/>
      <c r="G151" s="22"/>
      <c r="H151" s="21"/>
      <c r="I151" s="22"/>
      <c r="J151" s="22"/>
      <c r="K151" s="21"/>
      <c r="L151" s="22"/>
    </row>
    <row r="152" customFormat="false" ht="15" hidden="false" customHeight="false" outlineLevel="0" collapsed="false">
      <c r="A152" s="22"/>
      <c r="B152" s="22"/>
      <c r="C152" s="22"/>
      <c r="D152" s="22"/>
      <c r="E152" s="22"/>
      <c r="F152" s="22"/>
      <c r="G152" s="22"/>
      <c r="H152" s="21"/>
      <c r="I152" s="22"/>
      <c r="J152" s="22"/>
      <c r="K152" s="21"/>
      <c r="L152" s="22"/>
    </row>
    <row r="153" customFormat="false" ht="15" hidden="false" customHeight="false" outlineLevel="0" collapsed="false">
      <c r="A153" s="22"/>
      <c r="B153" s="22"/>
      <c r="C153" s="22"/>
      <c r="D153" s="22"/>
      <c r="E153" s="22"/>
      <c r="F153" s="22"/>
      <c r="G153" s="22"/>
      <c r="H153" s="21"/>
      <c r="I153" s="22"/>
      <c r="J153" s="22"/>
      <c r="K153" s="21"/>
      <c r="L153" s="22"/>
    </row>
    <row r="154" customFormat="false" ht="15" hidden="false" customHeight="false" outlineLevel="0" collapsed="false">
      <c r="A154" s="22"/>
      <c r="B154" s="22"/>
      <c r="C154" s="22"/>
      <c r="D154" s="22"/>
      <c r="E154" s="22"/>
      <c r="F154" s="22"/>
      <c r="G154" s="22"/>
      <c r="H154" s="21"/>
      <c r="I154" s="22"/>
      <c r="J154" s="22"/>
      <c r="K154" s="21"/>
      <c r="L154" s="22"/>
    </row>
    <row r="155" customFormat="false" ht="15" hidden="false" customHeight="false" outlineLevel="0" collapsed="false">
      <c r="A155" s="22"/>
      <c r="B155" s="22"/>
      <c r="C155" s="22"/>
      <c r="D155" s="22"/>
      <c r="E155" s="22"/>
      <c r="F155" s="22"/>
      <c r="G155" s="22"/>
      <c r="H155" s="21"/>
      <c r="I155" s="22"/>
      <c r="J155" s="22"/>
      <c r="K155" s="21"/>
      <c r="L155" s="22"/>
    </row>
    <row r="156" customFormat="false" ht="15" hidden="false" customHeight="false" outlineLevel="0" collapsed="false">
      <c r="A156" s="22"/>
      <c r="B156" s="22"/>
      <c r="C156" s="22"/>
      <c r="D156" s="22"/>
      <c r="E156" s="22"/>
      <c r="F156" s="22"/>
      <c r="G156" s="22"/>
      <c r="H156" s="21"/>
      <c r="I156" s="22"/>
      <c r="J156" s="22"/>
      <c r="K156" s="21"/>
      <c r="L156" s="22"/>
    </row>
    <row r="157" customFormat="false" ht="15" hidden="false" customHeight="false" outlineLevel="0" collapsed="false">
      <c r="A157" s="22"/>
      <c r="B157" s="22"/>
      <c r="C157" s="22"/>
      <c r="D157" s="22"/>
      <c r="E157" s="22"/>
      <c r="F157" s="22"/>
      <c r="G157" s="22"/>
      <c r="H157" s="21"/>
      <c r="I157" s="22"/>
      <c r="J157" s="22"/>
      <c r="K157" s="21"/>
      <c r="L157" s="22"/>
    </row>
    <row r="158" customFormat="false" ht="15" hidden="false" customHeight="false" outlineLevel="0" collapsed="false">
      <c r="A158" s="22"/>
      <c r="B158" s="22"/>
      <c r="C158" s="22"/>
      <c r="D158" s="22"/>
      <c r="E158" s="22"/>
      <c r="F158" s="22"/>
      <c r="G158" s="22"/>
      <c r="H158" s="21"/>
      <c r="I158" s="22"/>
      <c r="J158" s="22"/>
      <c r="K158" s="21"/>
      <c r="L158" s="22"/>
    </row>
    <row r="159" customFormat="false" ht="15" hidden="false" customHeight="false" outlineLevel="0" collapsed="false">
      <c r="A159" s="22"/>
      <c r="B159" s="22"/>
      <c r="C159" s="22"/>
      <c r="D159" s="22"/>
      <c r="E159" s="22"/>
      <c r="F159" s="22"/>
      <c r="G159" s="22"/>
      <c r="H159" s="21"/>
      <c r="I159" s="22"/>
      <c r="J159" s="22"/>
      <c r="K159" s="21"/>
      <c r="L159" s="22"/>
    </row>
    <row r="160" customFormat="false" ht="15" hidden="false" customHeight="false" outlineLevel="0" collapsed="false">
      <c r="A160" s="22"/>
      <c r="B160" s="22"/>
      <c r="C160" s="22"/>
      <c r="D160" s="22"/>
      <c r="E160" s="22"/>
      <c r="F160" s="22"/>
      <c r="G160" s="22"/>
      <c r="H160" s="21"/>
      <c r="I160" s="22"/>
      <c r="J160" s="22"/>
      <c r="K160" s="21"/>
      <c r="L160" s="22"/>
    </row>
    <row r="161" customFormat="false" ht="15" hidden="false" customHeight="false" outlineLevel="0" collapsed="false">
      <c r="A161" s="22"/>
      <c r="B161" s="22"/>
      <c r="C161" s="22"/>
      <c r="D161" s="22"/>
      <c r="E161" s="22"/>
      <c r="F161" s="22"/>
      <c r="G161" s="22"/>
      <c r="H161" s="21"/>
      <c r="I161" s="22"/>
      <c r="J161" s="22"/>
      <c r="K161" s="21"/>
      <c r="L161" s="22"/>
    </row>
    <row r="162" customFormat="false" ht="15" hidden="false" customHeight="false" outlineLevel="0" collapsed="false">
      <c r="A162" s="22"/>
      <c r="B162" s="22"/>
      <c r="C162" s="22"/>
      <c r="D162" s="22"/>
      <c r="E162" s="22"/>
      <c r="F162" s="22"/>
      <c r="G162" s="22"/>
      <c r="H162" s="21"/>
      <c r="I162" s="22"/>
      <c r="J162" s="22"/>
      <c r="K162" s="21"/>
      <c r="L162" s="22"/>
    </row>
    <row r="163" customFormat="false" ht="15" hidden="false" customHeight="false" outlineLevel="0" collapsed="false">
      <c r="A163" s="22"/>
      <c r="B163" s="22"/>
      <c r="C163" s="22"/>
      <c r="D163" s="22"/>
      <c r="E163" s="22"/>
      <c r="F163" s="22"/>
      <c r="G163" s="22"/>
      <c r="H163" s="21"/>
      <c r="I163" s="22"/>
      <c r="J163" s="22"/>
      <c r="K163" s="21"/>
      <c r="L163" s="22"/>
    </row>
    <row r="164" customFormat="false" ht="15" hidden="false" customHeight="false" outlineLevel="0" collapsed="false">
      <c r="A164" s="22"/>
      <c r="B164" s="22"/>
      <c r="C164" s="22"/>
      <c r="D164" s="22"/>
      <c r="E164" s="22"/>
      <c r="F164" s="22"/>
      <c r="G164" s="22"/>
      <c r="H164" s="21"/>
      <c r="I164" s="22"/>
      <c r="J164" s="22"/>
      <c r="K164" s="21"/>
      <c r="L164" s="22"/>
    </row>
    <row r="165" customFormat="false" ht="15" hidden="false" customHeight="false" outlineLevel="0" collapsed="false">
      <c r="A165" s="22"/>
      <c r="B165" s="22"/>
      <c r="C165" s="22"/>
      <c r="D165" s="22"/>
      <c r="E165" s="22"/>
      <c r="F165" s="22"/>
      <c r="G165" s="22"/>
      <c r="H165" s="21"/>
      <c r="I165" s="22"/>
      <c r="J165" s="22"/>
      <c r="K165" s="21"/>
      <c r="L165" s="22"/>
    </row>
    <row r="166" customFormat="false" ht="15" hidden="false" customHeight="false" outlineLevel="0" collapsed="false">
      <c r="A166" s="22"/>
      <c r="B166" s="22"/>
      <c r="C166" s="22"/>
      <c r="D166" s="22"/>
      <c r="E166" s="22"/>
      <c r="F166" s="22"/>
      <c r="G166" s="22"/>
      <c r="H166" s="21"/>
      <c r="I166" s="22"/>
      <c r="J166" s="22"/>
      <c r="K166" s="21"/>
      <c r="L166" s="22"/>
    </row>
    <row r="167" customFormat="false" ht="15" hidden="false" customHeight="false" outlineLevel="0" collapsed="false">
      <c r="A167" s="22"/>
      <c r="B167" s="22"/>
      <c r="C167" s="22"/>
      <c r="D167" s="22"/>
      <c r="E167" s="22"/>
      <c r="F167" s="22"/>
      <c r="G167" s="22"/>
      <c r="H167" s="21"/>
      <c r="I167" s="22"/>
      <c r="J167" s="22"/>
      <c r="K167" s="21"/>
      <c r="L167" s="22"/>
    </row>
    <row r="168" customFormat="false" ht="15" hidden="false" customHeight="false" outlineLevel="0" collapsed="false">
      <c r="A168" s="22"/>
      <c r="B168" s="22"/>
      <c r="C168" s="22"/>
      <c r="D168" s="22"/>
      <c r="E168" s="22"/>
      <c r="F168" s="22"/>
      <c r="G168" s="22"/>
      <c r="H168" s="21"/>
      <c r="I168" s="22"/>
      <c r="J168" s="22"/>
      <c r="K168" s="21"/>
      <c r="L168" s="22"/>
    </row>
    <row r="169" customFormat="false" ht="15" hidden="false" customHeight="false" outlineLevel="0" collapsed="false">
      <c r="A169" s="22"/>
      <c r="B169" s="22"/>
      <c r="C169" s="22"/>
      <c r="D169" s="22"/>
      <c r="E169" s="22"/>
      <c r="F169" s="22"/>
      <c r="G169" s="22"/>
      <c r="H169" s="21"/>
      <c r="I169" s="22"/>
      <c r="J169" s="22"/>
      <c r="K169" s="21"/>
      <c r="L169" s="22"/>
    </row>
    <row r="170" customFormat="false" ht="15" hidden="false" customHeight="false" outlineLevel="0" collapsed="false">
      <c r="A170" s="22"/>
      <c r="B170" s="22"/>
      <c r="C170" s="22"/>
      <c r="D170" s="22"/>
      <c r="E170" s="22"/>
      <c r="F170" s="22"/>
      <c r="G170" s="22"/>
      <c r="H170" s="21"/>
      <c r="I170" s="22"/>
      <c r="J170" s="22"/>
      <c r="K170" s="21"/>
      <c r="L170" s="22"/>
    </row>
    <row r="171" customFormat="false" ht="15" hidden="false" customHeight="false" outlineLevel="0" collapsed="false">
      <c r="A171" s="22"/>
      <c r="B171" s="22"/>
      <c r="C171" s="22"/>
      <c r="D171" s="22"/>
      <c r="E171" s="22"/>
      <c r="F171" s="22"/>
      <c r="G171" s="22"/>
      <c r="H171" s="21"/>
      <c r="I171" s="22"/>
      <c r="J171" s="22"/>
      <c r="K171" s="21"/>
      <c r="L171" s="22"/>
    </row>
    <row r="172" customFormat="false" ht="15" hidden="false" customHeight="false" outlineLevel="0" collapsed="false">
      <c r="A172" s="22"/>
      <c r="B172" s="22"/>
      <c r="C172" s="22"/>
      <c r="D172" s="22"/>
      <c r="E172" s="22"/>
      <c r="F172" s="22"/>
      <c r="G172" s="22"/>
      <c r="H172" s="21"/>
      <c r="I172" s="22"/>
      <c r="J172" s="22"/>
      <c r="K172" s="21"/>
      <c r="L172" s="22"/>
    </row>
    <row r="173" customFormat="false" ht="15" hidden="false" customHeight="false" outlineLevel="0" collapsed="false">
      <c r="A173" s="22"/>
      <c r="B173" s="22"/>
      <c r="C173" s="22"/>
      <c r="D173" s="22"/>
      <c r="E173" s="22"/>
      <c r="F173" s="22"/>
      <c r="G173" s="22"/>
      <c r="H173" s="21"/>
      <c r="I173" s="22"/>
      <c r="J173" s="22"/>
      <c r="K173" s="21"/>
      <c r="L173" s="22"/>
    </row>
    <row r="174" customFormat="false" ht="15" hidden="false" customHeight="false" outlineLevel="0" collapsed="false">
      <c r="A174" s="22"/>
      <c r="B174" s="22"/>
      <c r="C174" s="22"/>
      <c r="D174" s="22"/>
      <c r="E174" s="22"/>
      <c r="F174" s="22"/>
      <c r="G174" s="22"/>
      <c r="H174" s="21"/>
      <c r="I174" s="22"/>
      <c r="J174" s="22"/>
      <c r="K174" s="21"/>
      <c r="L174" s="22"/>
    </row>
    <row r="175" customFormat="false" ht="15" hidden="false" customHeight="false" outlineLevel="0" collapsed="false">
      <c r="A175" s="22"/>
      <c r="B175" s="22"/>
      <c r="C175" s="22"/>
      <c r="D175" s="22"/>
      <c r="E175" s="22"/>
      <c r="F175" s="22"/>
      <c r="G175" s="22"/>
      <c r="H175" s="21"/>
      <c r="I175" s="22"/>
      <c r="J175" s="22"/>
      <c r="K175" s="21"/>
      <c r="L175" s="22"/>
    </row>
    <row r="176" customFormat="false" ht="15" hidden="false" customHeight="false" outlineLevel="0" collapsed="false">
      <c r="A176" s="22"/>
      <c r="B176" s="22"/>
      <c r="C176" s="22"/>
      <c r="D176" s="22"/>
      <c r="E176" s="22"/>
      <c r="F176" s="22"/>
      <c r="G176" s="22"/>
      <c r="H176" s="21"/>
      <c r="I176" s="22"/>
      <c r="J176" s="22"/>
      <c r="K176" s="21"/>
      <c r="L176" s="22"/>
    </row>
    <row r="177" customFormat="false" ht="15" hidden="false" customHeight="false" outlineLevel="0" collapsed="false">
      <c r="A177" s="22"/>
      <c r="B177" s="22"/>
      <c r="C177" s="22"/>
      <c r="D177" s="22"/>
      <c r="E177" s="22"/>
      <c r="F177" s="22"/>
      <c r="G177" s="22"/>
      <c r="H177" s="21"/>
      <c r="I177" s="22"/>
      <c r="J177" s="22"/>
      <c r="K177" s="21"/>
      <c r="L177" s="22"/>
    </row>
    <row r="178" customFormat="false" ht="15" hidden="false" customHeight="false" outlineLevel="0" collapsed="false">
      <c r="A178" s="22"/>
      <c r="B178" s="22"/>
      <c r="C178" s="22"/>
      <c r="D178" s="22"/>
      <c r="E178" s="22"/>
      <c r="F178" s="22"/>
      <c r="G178" s="22"/>
      <c r="H178" s="21"/>
      <c r="I178" s="22"/>
      <c r="J178" s="22"/>
      <c r="K178" s="21"/>
      <c r="L178" s="22"/>
    </row>
    <row r="179" customFormat="false" ht="15" hidden="false" customHeight="false" outlineLevel="0" collapsed="false">
      <c r="A179" s="22"/>
      <c r="B179" s="22"/>
      <c r="C179" s="22"/>
      <c r="D179" s="22"/>
      <c r="E179" s="22"/>
      <c r="F179" s="22"/>
      <c r="G179" s="22"/>
      <c r="H179" s="21"/>
      <c r="I179" s="22"/>
      <c r="J179" s="22"/>
      <c r="K179" s="21"/>
      <c r="L179" s="22"/>
    </row>
    <row r="180" customFormat="false" ht="15" hidden="false" customHeight="false" outlineLevel="0" collapsed="false">
      <c r="A180" s="22"/>
      <c r="B180" s="22"/>
      <c r="C180" s="22"/>
      <c r="D180" s="22"/>
      <c r="E180" s="22"/>
      <c r="F180" s="22"/>
      <c r="G180" s="22"/>
      <c r="H180" s="21"/>
      <c r="I180" s="22"/>
      <c r="J180" s="22"/>
      <c r="K180" s="21"/>
      <c r="L180" s="22"/>
    </row>
    <row r="181" customFormat="false" ht="15" hidden="false" customHeight="false" outlineLevel="0" collapsed="false">
      <c r="A181" s="22"/>
      <c r="B181" s="22"/>
      <c r="C181" s="22"/>
      <c r="D181" s="22"/>
      <c r="E181" s="22"/>
      <c r="F181" s="22"/>
      <c r="G181" s="22"/>
      <c r="H181" s="21"/>
      <c r="I181" s="22"/>
      <c r="J181" s="22"/>
      <c r="K181" s="21"/>
      <c r="L181" s="22"/>
    </row>
    <row r="182" customFormat="false" ht="15" hidden="false" customHeight="false" outlineLevel="0" collapsed="false">
      <c r="A182" s="22"/>
      <c r="B182" s="22"/>
      <c r="C182" s="22"/>
      <c r="D182" s="22"/>
      <c r="E182" s="22"/>
      <c r="F182" s="22"/>
      <c r="G182" s="22"/>
      <c r="H182" s="21"/>
      <c r="I182" s="22"/>
      <c r="J182" s="22"/>
      <c r="K182" s="21"/>
      <c r="L182" s="22"/>
    </row>
    <row r="183" customFormat="false" ht="15" hidden="false" customHeight="false" outlineLevel="0" collapsed="false">
      <c r="A183" s="22"/>
      <c r="B183" s="22"/>
      <c r="C183" s="22"/>
      <c r="D183" s="22"/>
      <c r="E183" s="22"/>
      <c r="F183" s="22"/>
      <c r="G183" s="22"/>
      <c r="H183" s="21"/>
      <c r="I183" s="22"/>
      <c r="J183" s="22"/>
      <c r="K183" s="21"/>
      <c r="L183" s="22"/>
    </row>
    <row r="184" customFormat="false" ht="15" hidden="false" customHeight="false" outlineLevel="0" collapsed="false">
      <c r="A184" s="22"/>
      <c r="B184" s="22"/>
      <c r="C184" s="22"/>
      <c r="D184" s="22"/>
      <c r="E184" s="22"/>
      <c r="F184" s="22"/>
      <c r="G184" s="22"/>
      <c r="H184" s="21"/>
      <c r="I184" s="22"/>
      <c r="J184" s="22"/>
      <c r="K184" s="21"/>
      <c r="L184" s="22"/>
    </row>
    <row r="185" customFormat="false" ht="15" hidden="false" customHeight="false" outlineLevel="0" collapsed="false">
      <c r="A185" s="22"/>
      <c r="B185" s="22"/>
      <c r="C185" s="22"/>
      <c r="D185" s="22"/>
      <c r="E185" s="22"/>
      <c r="F185" s="22"/>
      <c r="G185" s="22"/>
      <c r="H185" s="21"/>
      <c r="I185" s="22"/>
      <c r="J185" s="22"/>
      <c r="K185" s="21"/>
      <c r="L185" s="22"/>
    </row>
    <row r="186" customFormat="false" ht="15" hidden="false" customHeight="false" outlineLevel="0" collapsed="false">
      <c r="A186" s="22"/>
      <c r="B186" s="22"/>
      <c r="C186" s="22"/>
      <c r="D186" s="22"/>
      <c r="E186" s="22"/>
      <c r="F186" s="22"/>
      <c r="G186" s="22"/>
      <c r="H186" s="21"/>
      <c r="I186" s="22"/>
      <c r="J186" s="22"/>
      <c r="K186" s="21"/>
      <c r="L186" s="22"/>
    </row>
    <row r="187" customFormat="false" ht="15" hidden="false" customHeight="false" outlineLevel="0" collapsed="false">
      <c r="A187" s="22"/>
      <c r="B187" s="22"/>
      <c r="C187" s="22"/>
      <c r="D187" s="22"/>
      <c r="E187" s="22"/>
      <c r="F187" s="22"/>
      <c r="G187" s="22"/>
      <c r="H187" s="21"/>
      <c r="I187" s="22"/>
      <c r="J187" s="22"/>
      <c r="K187" s="21"/>
      <c r="L187" s="22"/>
    </row>
    <row r="188" customFormat="false" ht="15" hidden="false" customHeight="false" outlineLevel="0" collapsed="false">
      <c r="A188" s="22"/>
      <c r="B188" s="22"/>
      <c r="C188" s="22"/>
      <c r="D188" s="22"/>
      <c r="E188" s="22"/>
      <c r="F188" s="22"/>
      <c r="G188" s="22"/>
      <c r="H188" s="21"/>
      <c r="I188" s="22"/>
      <c r="J188" s="22"/>
      <c r="K188" s="21"/>
      <c r="L188" s="22"/>
    </row>
    <row r="189" customFormat="false" ht="15" hidden="false" customHeight="false" outlineLevel="0" collapsed="false">
      <c r="A189" s="22"/>
      <c r="B189" s="22"/>
      <c r="C189" s="22"/>
      <c r="D189" s="22"/>
      <c r="E189" s="22"/>
      <c r="F189" s="22"/>
      <c r="G189" s="22"/>
      <c r="H189" s="21"/>
      <c r="I189" s="22"/>
      <c r="J189" s="22"/>
      <c r="K189" s="21"/>
      <c r="L189" s="22"/>
    </row>
    <row r="190" customFormat="false" ht="15" hidden="false" customHeight="false" outlineLevel="0" collapsed="false">
      <c r="A190" s="22"/>
      <c r="B190" s="22"/>
      <c r="C190" s="22"/>
      <c r="D190" s="22"/>
      <c r="E190" s="22"/>
      <c r="F190" s="22"/>
      <c r="G190" s="22"/>
      <c r="H190" s="21"/>
      <c r="I190" s="22"/>
      <c r="J190" s="22"/>
      <c r="K190" s="21"/>
      <c r="L190" s="22"/>
    </row>
    <row r="191" customFormat="false" ht="15" hidden="false" customHeight="false" outlineLevel="0" collapsed="false">
      <c r="A191" s="22"/>
      <c r="B191" s="22"/>
      <c r="C191" s="22"/>
      <c r="D191" s="22"/>
      <c r="E191" s="22"/>
      <c r="F191" s="22"/>
      <c r="G191" s="22"/>
      <c r="H191" s="21"/>
      <c r="I191" s="22"/>
      <c r="J191" s="22"/>
      <c r="K191" s="21"/>
      <c r="L191" s="22"/>
    </row>
    <row r="192" customFormat="false" ht="15" hidden="false" customHeight="false" outlineLevel="0" collapsed="false">
      <c r="A192" s="22"/>
      <c r="B192" s="22"/>
      <c r="C192" s="22"/>
      <c r="D192" s="22"/>
      <c r="E192" s="22"/>
      <c r="F192" s="22"/>
      <c r="G192" s="22"/>
      <c r="H192" s="21"/>
      <c r="I192" s="22"/>
      <c r="J192" s="22"/>
      <c r="K192" s="21"/>
      <c r="L192" s="22"/>
    </row>
    <row r="193" customFormat="false" ht="15" hidden="false" customHeight="false" outlineLevel="0" collapsed="false">
      <c r="A193" s="22"/>
      <c r="B193" s="22"/>
      <c r="C193" s="22"/>
      <c r="D193" s="22"/>
      <c r="E193" s="22"/>
      <c r="F193" s="22"/>
      <c r="G193" s="22"/>
      <c r="H193" s="21"/>
      <c r="I193" s="22"/>
      <c r="J193" s="22"/>
      <c r="K193" s="21"/>
      <c r="L193" s="22"/>
    </row>
    <row r="194" customFormat="false" ht="15" hidden="false" customHeight="false" outlineLevel="0" collapsed="false">
      <c r="A194" s="22"/>
      <c r="B194" s="22"/>
      <c r="C194" s="22"/>
      <c r="D194" s="22"/>
      <c r="E194" s="22"/>
      <c r="F194" s="22"/>
      <c r="G194" s="22"/>
      <c r="H194" s="21"/>
      <c r="I194" s="22"/>
      <c r="J194" s="22"/>
      <c r="K194" s="21"/>
      <c r="L194" s="22"/>
    </row>
    <row r="195" customFormat="false" ht="15" hidden="false" customHeight="false" outlineLevel="0" collapsed="false">
      <c r="A195" s="22"/>
      <c r="B195" s="22"/>
      <c r="C195" s="22"/>
      <c r="D195" s="22"/>
      <c r="E195" s="22"/>
      <c r="F195" s="22"/>
      <c r="G195" s="22"/>
      <c r="H195" s="21"/>
      <c r="I195" s="22"/>
      <c r="J195" s="22"/>
      <c r="K195" s="21"/>
      <c r="L195" s="22"/>
    </row>
    <row r="196" customFormat="false" ht="15" hidden="false" customHeight="false" outlineLevel="0" collapsed="false">
      <c r="A196" s="22"/>
      <c r="B196" s="22"/>
      <c r="C196" s="22"/>
      <c r="D196" s="22"/>
      <c r="E196" s="22"/>
      <c r="F196" s="22"/>
      <c r="G196" s="22"/>
      <c r="H196" s="21"/>
      <c r="I196" s="22"/>
      <c r="J196" s="22"/>
      <c r="K196" s="21"/>
      <c r="L196" s="22"/>
    </row>
    <row r="197" customFormat="false" ht="15" hidden="false" customHeight="false" outlineLevel="0" collapsed="false">
      <c r="A197" s="22"/>
      <c r="B197" s="22"/>
      <c r="C197" s="22"/>
      <c r="D197" s="22"/>
      <c r="E197" s="22"/>
      <c r="F197" s="22"/>
      <c r="G197" s="22"/>
      <c r="H197" s="21"/>
      <c r="I197" s="22"/>
      <c r="J197" s="22"/>
      <c r="K197" s="21"/>
      <c r="L197" s="22"/>
    </row>
    <row r="198" customFormat="false" ht="15" hidden="false" customHeight="false" outlineLevel="0" collapsed="false">
      <c r="A198" s="22"/>
      <c r="B198" s="22"/>
      <c r="C198" s="22"/>
      <c r="D198" s="22"/>
      <c r="E198" s="22"/>
      <c r="F198" s="22"/>
      <c r="G198" s="22"/>
      <c r="H198" s="21"/>
      <c r="I198" s="22"/>
      <c r="J198" s="22"/>
      <c r="K198" s="21"/>
      <c r="L198" s="22"/>
    </row>
    <row r="199" customFormat="false" ht="15" hidden="false" customHeight="false" outlineLevel="0" collapsed="false">
      <c r="A199" s="22"/>
      <c r="B199" s="22"/>
      <c r="C199" s="22"/>
      <c r="D199" s="22"/>
      <c r="E199" s="22"/>
      <c r="F199" s="22"/>
      <c r="G199" s="22"/>
      <c r="H199" s="21"/>
      <c r="I199" s="22"/>
      <c r="J199" s="22"/>
      <c r="K199" s="21"/>
      <c r="L199" s="22"/>
    </row>
    <row r="200" customFormat="false" ht="15" hidden="false" customHeight="false" outlineLevel="0" collapsed="false">
      <c r="A200" s="22"/>
      <c r="B200" s="22"/>
      <c r="C200" s="22"/>
      <c r="D200" s="22"/>
      <c r="E200" s="22"/>
      <c r="F200" s="22"/>
      <c r="G200" s="22"/>
      <c r="H200" s="21"/>
      <c r="I200" s="22"/>
      <c r="J200" s="22"/>
      <c r="K200" s="21"/>
      <c r="L200" s="22"/>
    </row>
    <row r="201" customFormat="false" ht="15" hidden="false" customHeight="false" outlineLevel="0" collapsed="false">
      <c r="A201" s="22"/>
      <c r="B201" s="22"/>
      <c r="C201" s="22"/>
      <c r="D201" s="22"/>
      <c r="E201" s="22"/>
      <c r="F201" s="22"/>
      <c r="G201" s="22"/>
      <c r="H201" s="21"/>
      <c r="I201" s="22"/>
      <c r="J201" s="22"/>
      <c r="K201" s="21"/>
      <c r="L201" s="22"/>
    </row>
    <row r="202" customFormat="false" ht="15" hidden="false" customHeight="false" outlineLevel="0" collapsed="false">
      <c r="A202" s="22"/>
      <c r="B202" s="22"/>
      <c r="C202" s="22"/>
      <c r="D202" s="22"/>
      <c r="E202" s="22"/>
      <c r="F202" s="22"/>
      <c r="G202" s="22"/>
      <c r="H202" s="21"/>
      <c r="I202" s="22"/>
      <c r="J202" s="22"/>
      <c r="K202" s="21"/>
      <c r="L202" s="22"/>
    </row>
    <row r="203" customFormat="false" ht="15" hidden="false" customHeight="false" outlineLevel="0" collapsed="false">
      <c r="A203" s="22"/>
      <c r="B203" s="22"/>
      <c r="C203" s="22"/>
      <c r="D203" s="22"/>
      <c r="E203" s="22"/>
      <c r="F203" s="22"/>
      <c r="G203" s="22"/>
      <c r="H203" s="21"/>
      <c r="I203" s="22"/>
      <c r="J203" s="22"/>
      <c r="K203" s="21"/>
      <c r="L203" s="22"/>
    </row>
    <row r="204" customFormat="false" ht="15" hidden="false" customHeight="false" outlineLevel="0" collapsed="false">
      <c r="A204" s="22"/>
      <c r="B204" s="22"/>
      <c r="C204" s="22"/>
      <c r="D204" s="22"/>
      <c r="E204" s="22"/>
      <c r="F204" s="22"/>
      <c r="G204" s="22"/>
      <c r="H204" s="21"/>
      <c r="I204" s="22"/>
      <c r="J204" s="22"/>
      <c r="K204" s="21"/>
      <c r="L204" s="22"/>
    </row>
  </sheetData>
  <autoFilter ref="A4:L204"/>
  <dataValidations count="1">
    <dataValidation allowBlank="true" errorStyle="stop" operator="between" showDropDown="false" showErrorMessage="false" showInputMessage="false" sqref="C5:C2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1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6"/>
    <col collapsed="false" customWidth="true" hidden="false" outlineLevel="0" max="3" min="3" style="0" width="18"/>
    <col collapsed="false" customWidth="true" hidden="false" outlineLevel="0" max="6" min="4" style="0" width="12"/>
    <col collapsed="false" customWidth="true" hidden="false" outlineLevel="0" max="7" min="7" style="0" width="20"/>
    <col collapsed="false" customWidth="true" hidden="false" outlineLevel="0" max="9" min="8" style="0" width="12"/>
    <col collapsed="false" customWidth="true" hidden="false" outlineLevel="0" max="10" min="10" style="0" width="28"/>
    <col collapsed="false" customWidth="true" hidden="false" outlineLevel="0" max="11" min="11" style="0" width="32"/>
    <col collapsed="false" customWidth="true" hidden="false" outlineLevel="0" max="12" min="12" style="0" width="28"/>
  </cols>
  <sheetData>
    <row r="1" customFormat="false" ht="19.7" hidden="false" customHeight="false" outlineLevel="0" collapsed="false">
      <c r="A1" s="1" t="s">
        <v>768</v>
      </c>
    </row>
    <row r="2" customFormat="false" ht="15" hidden="false" customHeight="false" outlineLevel="0" collapsed="false">
      <c r="A2" s="2" t="s">
        <v>769</v>
      </c>
    </row>
    <row r="4" customFormat="false" ht="31.5" hidden="false" customHeight="true" outlineLevel="0" collapsed="false">
      <c r="A4" s="9" t="s">
        <v>770</v>
      </c>
      <c r="B4" s="9" t="s">
        <v>771</v>
      </c>
      <c r="C4" s="9" t="s">
        <v>112</v>
      </c>
      <c r="D4" s="9" t="s">
        <v>772</v>
      </c>
      <c r="E4" s="9" t="s">
        <v>773</v>
      </c>
      <c r="F4" s="9" t="s">
        <v>102</v>
      </c>
      <c r="G4" s="9" t="s">
        <v>774</v>
      </c>
      <c r="H4" s="9" t="s">
        <v>775</v>
      </c>
      <c r="I4" s="9" t="s">
        <v>317</v>
      </c>
      <c r="J4" s="9" t="s">
        <v>776</v>
      </c>
      <c r="K4" s="9" t="s">
        <v>777</v>
      </c>
      <c r="L4" s="9" t="s">
        <v>137</v>
      </c>
    </row>
    <row r="5" customFormat="false" ht="23.85" hidden="false" customHeight="false" outlineLevel="0" collapsed="false">
      <c r="A5" s="22" t="s">
        <v>778</v>
      </c>
      <c r="B5" s="22" t="s">
        <v>779</v>
      </c>
      <c r="C5" s="22" t="s">
        <v>285</v>
      </c>
      <c r="D5" s="22" t="s">
        <v>738</v>
      </c>
      <c r="E5" s="22"/>
      <c r="F5" s="22"/>
      <c r="G5" s="22"/>
      <c r="H5" s="22"/>
      <c r="I5" s="22"/>
      <c r="J5" s="22"/>
      <c r="K5" s="22"/>
      <c r="L5" s="22"/>
    </row>
    <row r="6" customFormat="false" ht="23.85" hidden="false" customHeight="false" outlineLevel="0" collapsed="false">
      <c r="A6" s="22" t="s">
        <v>780</v>
      </c>
      <c r="B6" s="22" t="s">
        <v>779</v>
      </c>
      <c r="C6" s="22" t="s">
        <v>285</v>
      </c>
      <c r="D6" s="22" t="s">
        <v>738</v>
      </c>
      <c r="E6" s="22"/>
      <c r="F6" s="22"/>
      <c r="G6" s="22"/>
      <c r="H6" s="22"/>
      <c r="I6" s="22"/>
      <c r="J6" s="22"/>
      <c r="K6" s="22"/>
      <c r="L6" s="22"/>
    </row>
    <row r="7" customFormat="false" ht="15" hidden="false" customHeight="false" outlineLevel="0" collapsed="false">
      <c r="A7" s="22" t="s">
        <v>781</v>
      </c>
      <c r="B7" s="22" t="s">
        <v>782</v>
      </c>
      <c r="C7" s="22" t="s">
        <v>384</v>
      </c>
      <c r="D7" s="22" t="s">
        <v>738</v>
      </c>
      <c r="E7" s="22"/>
      <c r="F7" s="22"/>
      <c r="G7" s="22"/>
      <c r="H7" s="22"/>
      <c r="I7" s="22"/>
      <c r="J7" s="22"/>
      <c r="K7" s="22"/>
      <c r="L7" s="22"/>
    </row>
    <row r="8" customFormat="false" ht="15" hidden="false" customHeight="false" outlineLevel="0" collapsed="false">
      <c r="A8" s="22" t="s">
        <v>783</v>
      </c>
      <c r="B8" s="22" t="s">
        <v>782</v>
      </c>
      <c r="C8" s="22" t="s">
        <v>384</v>
      </c>
      <c r="D8" s="22" t="s">
        <v>738</v>
      </c>
      <c r="E8" s="22"/>
      <c r="F8" s="22"/>
      <c r="G8" s="22"/>
      <c r="H8" s="22"/>
      <c r="I8" s="22"/>
      <c r="J8" s="22"/>
      <c r="K8" s="22"/>
      <c r="L8" s="22"/>
    </row>
    <row r="9" customFormat="false" ht="15" hidden="false" customHeight="false" outlineLevel="0" collapsed="false">
      <c r="A9" s="22" t="s">
        <v>784</v>
      </c>
      <c r="B9" s="22" t="s">
        <v>785</v>
      </c>
      <c r="C9" s="22" t="s">
        <v>140</v>
      </c>
      <c r="D9" s="22" t="s">
        <v>786</v>
      </c>
      <c r="E9" s="22"/>
      <c r="F9" s="22"/>
      <c r="G9" s="22"/>
      <c r="H9" s="22"/>
      <c r="I9" s="22"/>
      <c r="J9" s="22"/>
      <c r="K9" s="22"/>
      <c r="L9" s="22"/>
    </row>
    <row r="10" customFormat="false" ht="15" hidden="false" customHeight="false" outlineLevel="0" collapsed="false">
      <c r="A10" s="22" t="s">
        <v>787</v>
      </c>
      <c r="B10" s="22" t="s">
        <v>785</v>
      </c>
      <c r="C10" s="22" t="s">
        <v>140</v>
      </c>
      <c r="D10" s="22" t="s">
        <v>786</v>
      </c>
      <c r="E10" s="22"/>
      <c r="F10" s="22"/>
      <c r="G10" s="22"/>
      <c r="H10" s="22"/>
      <c r="I10" s="22"/>
      <c r="J10" s="22"/>
      <c r="K10" s="22"/>
      <c r="L10" s="22"/>
    </row>
    <row r="11" customFormat="false" ht="15" hidden="false" customHeight="false" outlineLevel="0" collapsed="false">
      <c r="A11" s="22" t="s">
        <v>788</v>
      </c>
      <c r="B11" s="22" t="s">
        <v>785</v>
      </c>
      <c r="C11" s="22" t="s">
        <v>140</v>
      </c>
      <c r="D11" s="22" t="s">
        <v>786</v>
      </c>
      <c r="E11" s="22"/>
      <c r="F11" s="22"/>
      <c r="G11" s="22"/>
      <c r="H11" s="22"/>
      <c r="I11" s="22"/>
      <c r="J11" s="22"/>
      <c r="K11" s="22"/>
      <c r="L11" s="22"/>
    </row>
    <row r="12" customFormat="false" ht="15" hidden="false" customHeight="false" outlineLevel="0" collapsed="false">
      <c r="A12" s="22" t="s">
        <v>789</v>
      </c>
      <c r="B12" s="22" t="s">
        <v>785</v>
      </c>
      <c r="C12" s="22" t="s">
        <v>249</v>
      </c>
      <c r="D12" s="22" t="s">
        <v>786</v>
      </c>
      <c r="E12" s="22"/>
      <c r="F12" s="22"/>
      <c r="G12" s="22"/>
      <c r="H12" s="22"/>
      <c r="I12" s="22"/>
      <c r="J12" s="22"/>
      <c r="K12" s="22"/>
      <c r="L12" s="22"/>
    </row>
    <row r="13" customFormat="false" ht="15" hidden="false" customHeight="false" outlineLevel="0" collapsed="false">
      <c r="A13" s="22" t="s">
        <v>790</v>
      </c>
      <c r="B13" s="22" t="s">
        <v>791</v>
      </c>
      <c r="C13" s="22" t="s">
        <v>140</v>
      </c>
      <c r="D13" s="22" t="s">
        <v>786</v>
      </c>
      <c r="E13" s="22"/>
      <c r="F13" s="22"/>
      <c r="G13" s="22"/>
      <c r="H13" s="22"/>
      <c r="I13" s="22"/>
      <c r="J13" s="22"/>
      <c r="K13" s="22"/>
      <c r="L13" s="22"/>
    </row>
    <row r="14" customFormat="false" ht="15" hidden="false" customHeight="false" outlineLevel="0" collapsed="false">
      <c r="A14" s="22" t="s">
        <v>792</v>
      </c>
      <c r="B14" s="22" t="s">
        <v>793</v>
      </c>
      <c r="C14" s="22" t="s">
        <v>384</v>
      </c>
      <c r="D14" s="22" t="s">
        <v>786</v>
      </c>
      <c r="E14" s="22"/>
      <c r="F14" s="22"/>
      <c r="G14" s="22"/>
      <c r="H14" s="22"/>
      <c r="I14" s="22"/>
      <c r="J14" s="22"/>
      <c r="K14" s="22"/>
      <c r="L14" s="22"/>
    </row>
    <row r="15" customFormat="false" ht="15" hidden="false" customHeight="false" outlineLevel="0" collapsed="false">
      <c r="A15" s="22"/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</row>
    <row r="16" customFormat="false" ht="15" hidden="false" customHeight="fals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</row>
    <row r="17" customFormat="false" ht="15" hidden="false" customHeight="false" outlineLevel="0" collapsed="false">
      <c r="A17" s="22"/>
      <c r="B17" s="22"/>
      <c r="C17" s="22"/>
      <c r="D17" s="22"/>
      <c r="E17" s="22"/>
      <c r="F17" s="22"/>
      <c r="G17" s="22"/>
      <c r="H17" s="22"/>
      <c r="I17" s="22"/>
      <c r="J17" s="22"/>
      <c r="K17" s="22"/>
      <c r="L17" s="22"/>
    </row>
    <row r="18" customFormat="false" ht="15" hidden="false" customHeight="fals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</row>
    <row r="19" customFormat="false" ht="15" hidden="false" customHeight="false" outlineLevel="0" collapsed="false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</row>
    <row r="20" customFormat="false" ht="15" hidden="false" customHeight="fals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</row>
    <row r="21" customFormat="false" ht="15" hidden="false" customHeight="false" outlineLevel="0" collapsed="false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</row>
    <row r="22" customFormat="false" ht="15" hidden="false" customHeight="fals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</row>
    <row r="23" customFormat="false" ht="15" hidden="false" customHeight="false" outlineLevel="0" collapsed="false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</row>
    <row r="24" customFormat="false" ht="15" hidden="false" customHeight="fals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</row>
    <row r="25" customFormat="false" ht="15" hidden="false" customHeight="false" outlineLevel="0" collapsed="false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</row>
    <row r="26" customFormat="false" ht="15" hidden="false" customHeight="fals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</row>
    <row r="27" customFormat="false" ht="15" hidden="false" customHeight="false" outlineLevel="0" collapsed="false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</row>
    <row r="28" customFormat="false" ht="15" hidden="false" customHeight="fals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</row>
    <row r="29" customFormat="false" ht="15" hidden="false" customHeight="false" outlineLevel="0" collapsed="false">
      <c r="A29" s="22"/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2"/>
    </row>
    <row r="30" customFormat="false" ht="15" hidden="false" customHeight="fals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</row>
    <row r="31" customFormat="false" ht="15" hidden="false" customHeight="false" outlineLevel="0" collapsed="false">
      <c r="A31" s="22"/>
      <c r="B31" s="22"/>
      <c r="C31" s="22"/>
      <c r="D31" s="22"/>
      <c r="E31" s="22"/>
      <c r="F31" s="22"/>
      <c r="G31" s="22"/>
      <c r="H31" s="22"/>
      <c r="I31" s="22"/>
      <c r="J31" s="22"/>
      <c r="K31" s="22"/>
      <c r="L31" s="22"/>
    </row>
    <row r="32" customFormat="false" ht="15" hidden="false" customHeight="fals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</row>
    <row r="33" customFormat="false" ht="15" hidden="false" customHeight="false" outlineLevel="0" collapsed="false">
      <c r="A33" s="22"/>
      <c r="B33" s="22"/>
      <c r="C33" s="22"/>
      <c r="D33" s="22"/>
      <c r="E33" s="22"/>
      <c r="F33" s="22"/>
      <c r="G33" s="22"/>
      <c r="H33" s="22"/>
      <c r="I33" s="22"/>
      <c r="J33" s="22"/>
      <c r="K33" s="22"/>
      <c r="L33" s="22"/>
    </row>
    <row r="34" customFormat="false" ht="15" hidden="false" customHeight="fals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</row>
    <row r="35" customFormat="false" ht="15" hidden="false" customHeight="false" outlineLevel="0" collapsed="false">
      <c r="A35" s="22"/>
      <c r="B35" s="22"/>
      <c r="C35" s="22"/>
      <c r="D35" s="22"/>
      <c r="E35" s="22"/>
      <c r="F35" s="22"/>
      <c r="G35" s="22"/>
      <c r="H35" s="22"/>
      <c r="I35" s="22"/>
      <c r="J35" s="22"/>
      <c r="K35" s="22"/>
      <c r="L35" s="22"/>
    </row>
    <row r="36" customFormat="false" ht="15" hidden="false" customHeight="fals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</row>
    <row r="37" customFormat="false" ht="15" hidden="false" customHeight="false" outlineLevel="0" collapsed="false">
      <c r="A37" s="22"/>
      <c r="B37" s="22"/>
      <c r="C37" s="22"/>
      <c r="D37" s="22"/>
      <c r="E37" s="22"/>
      <c r="F37" s="22"/>
      <c r="G37" s="22"/>
      <c r="H37" s="22"/>
      <c r="I37" s="22"/>
      <c r="J37" s="22"/>
      <c r="K37" s="22"/>
      <c r="L37" s="22"/>
    </row>
    <row r="38" customFormat="false" ht="15" hidden="false" customHeight="fals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</row>
    <row r="39" customFormat="false" ht="15" hidden="false" customHeight="false" outlineLevel="0" collapsed="false">
      <c r="A39" s="22"/>
      <c r="B39" s="22"/>
      <c r="C39" s="22"/>
      <c r="D39" s="22"/>
      <c r="E39" s="22"/>
      <c r="F39" s="22"/>
      <c r="G39" s="22"/>
      <c r="H39" s="22"/>
      <c r="I39" s="22"/>
      <c r="J39" s="22"/>
      <c r="K39" s="22"/>
      <c r="L39" s="22"/>
    </row>
    <row r="40" customFormat="false" ht="15" hidden="false" customHeight="fals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</row>
    <row r="41" customFormat="false" ht="15" hidden="false" customHeight="false" outlineLevel="0" collapsed="false">
      <c r="A41" s="22"/>
      <c r="B41" s="22"/>
      <c r="C41" s="22"/>
      <c r="D41" s="22"/>
      <c r="E41" s="22"/>
      <c r="F41" s="22"/>
      <c r="G41" s="22"/>
      <c r="H41" s="22"/>
      <c r="I41" s="22"/>
      <c r="J41" s="22"/>
      <c r="K41" s="22"/>
      <c r="L41" s="22"/>
    </row>
    <row r="42" customFormat="false" ht="15" hidden="false" customHeight="fals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</row>
    <row r="43" customFormat="false" ht="15" hidden="false" customHeight="false" outlineLevel="0" collapsed="false">
      <c r="A43" s="22"/>
      <c r="B43" s="22"/>
      <c r="C43" s="22"/>
      <c r="D43" s="22"/>
      <c r="E43" s="22"/>
      <c r="F43" s="22"/>
      <c r="G43" s="22"/>
      <c r="H43" s="22"/>
      <c r="I43" s="22"/>
      <c r="J43" s="22"/>
      <c r="K43" s="22"/>
      <c r="L43" s="22"/>
    </row>
    <row r="44" customFormat="false" ht="15" hidden="false" customHeight="fals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</row>
    <row r="45" customFormat="false" ht="15" hidden="false" customHeight="false" outlineLevel="0" collapsed="false">
      <c r="A45" s="22"/>
      <c r="B45" s="22"/>
      <c r="C45" s="22"/>
      <c r="D45" s="22"/>
      <c r="E45" s="22"/>
      <c r="F45" s="22"/>
      <c r="G45" s="22"/>
      <c r="H45" s="22"/>
      <c r="I45" s="22"/>
      <c r="J45" s="22"/>
      <c r="K45" s="22"/>
      <c r="L45" s="22"/>
    </row>
    <row r="46" customFormat="false" ht="15" hidden="false" customHeight="fals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</row>
    <row r="47" customFormat="false" ht="15" hidden="false" customHeight="false" outlineLevel="0" collapsed="false">
      <c r="A47" s="22"/>
      <c r="B47" s="22"/>
      <c r="C47" s="22"/>
      <c r="D47" s="22"/>
      <c r="E47" s="22"/>
      <c r="F47" s="22"/>
      <c r="G47" s="22"/>
      <c r="H47" s="22"/>
      <c r="I47" s="22"/>
      <c r="J47" s="22"/>
      <c r="K47" s="22"/>
      <c r="L47" s="22"/>
    </row>
    <row r="48" customFormat="false" ht="15" hidden="false" customHeight="fals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</row>
    <row r="49" customFormat="false" ht="15" hidden="false" customHeight="false" outlineLevel="0" collapsed="false">
      <c r="A49" s="22"/>
      <c r="B49" s="22"/>
      <c r="C49" s="22"/>
      <c r="D49" s="22"/>
      <c r="E49" s="22"/>
      <c r="F49" s="22"/>
      <c r="G49" s="22"/>
      <c r="H49" s="22"/>
      <c r="I49" s="22"/>
      <c r="J49" s="22"/>
      <c r="K49" s="22"/>
      <c r="L49" s="22"/>
    </row>
    <row r="50" customFormat="false" ht="15" hidden="false" customHeight="fals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</row>
    <row r="51" customFormat="false" ht="15" hidden="false" customHeight="false" outlineLevel="0" collapsed="false">
      <c r="A51" s="22"/>
      <c r="B51" s="22"/>
      <c r="C51" s="22"/>
      <c r="D51" s="22"/>
      <c r="E51" s="22"/>
      <c r="F51" s="22"/>
      <c r="G51" s="22"/>
      <c r="H51" s="22"/>
      <c r="I51" s="22"/>
      <c r="J51" s="22"/>
      <c r="K51" s="22"/>
      <c r="L51" s="22"/>
    </row>
    <row r="52" customFormat="false" ht="15" hidden="false" customHeight="fals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</row>
    <row r="53" customFormat="false" ht="15" hidden="false" customHeight="false" outlineLevel="0" collapsed="false">
      <c r="A53" s="22"/>
      <c r="B53" s="22"/>
      <c r="C53" s="22"/>
      <c r="D53" s="22"/>
      <c r="E53" s="22"/>
      <c r="F53" s="22"/>
      <c r="G53" s="22"/>
      <c r="H53" s="22"/>
      <c r="I53" s="22"/>
      <c r="J53" s="22"/>
      <c r="K53" s="22"/>
      <c r="L53" s="22"/>
    </row>
    <row r="54" customFormat="false" ht="15" hidden="false" customHeight="fals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</row>
    <row r="55" customFormat="false" ht="15" hidden="false" customHeight="false" outlineLevel="0" collapsed="false">
      <c r="A55" s="22"/>
      <c r="B55" s="22"/>
      <c r="C55" s="22"/>
      <c r="D55" s="22"/>
      <c r="E55" s="22"/>
      <c r="F55" s="22"/>
      <c r="G55" s="22"/>
      <c r="H55" s="22"/>
      <c r="I55" s="22"/>
      <c r="J55" s="22"/>
      <c r="K55" s="22"/>
      <c r="L55" s="22"/>
    </row>
    <row r="56" customFormat="false" ht="15" hidden="false" customHeight="fals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</row>
    <row r="57" customFormat="false" ht="15" hidden="false" customHeight="false" outlineLevel="0" collapsed="false">
      <c r="A57" s="22"/>
      <c r="B57" s="22"/>
      <c r="C57" s="22"/>
      <c r="D57" s="22"/>
      <c r="E57" s="22"/>
      <c r="F57" s="22"/>
      <c r="G57" s="22"/>
      <c r="H57" s="22"/>
      <c r="I57" s="22"/>
      <c r="J57" s="22"/>
      <c r="K57" s="22"/>
      <c r="L57" s="22"/>
    </row>
    <row r="58" customFormat="false" ht="15" hidden="false" customHeight="fals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</row>
    <row r="59" customFormat="false" ht="15" hidden="false" customHeight="false" outlineLevel="0" collapsed="false">
      <c r="A59" s="22"/>
      <c r="B59" s="22"/>
      <c r="C59" s="22"/>
      <c r="D59" s="22"/>
      <c r="E59" s="22"/>
      <c r="F59" s="22"/>
      <c r="G59" s="22"/>
      <c r="H59" s="22"/>
      <c r="I59" s="22"/>
      <c r="J59" s="22"/>
      <c r="K59" s="22"/>
      <c r="L59" s="22"/>
    </row>
    <row r="60" customFormat="false" ht="15" hidden="false" customHeight="fals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</row>
    <row r="61" customFormat="false" ht="15" hidden="false" customHeight="false" outlineLevel="0" collapsed="false">
      <c r="A61" s="22"/>
      <c r="B61" s="22"/>
      <c r="C61" s="22"/>
      <c r="D61" s="22"/>
      <c r="E61" s="22"/>
      <c r="F61" s="22"/>
      <c r="G61" s="22"/>
      <c r="H61" s="22"/>
      <c r="I61" s="22"/>
      <c r="J61" s="22"/>
      <c r="K61" s="22"/>
      <c r="L61" s="22"/>
    </row>
    <row r="62" customFormat="false" ht="15" hidden="false" customHeight="fals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</row>
    <row r="63" customFormat="false" ht="15" hidden="false" customHeight="false" outlineLevel="0" collapsed="false">
      <c r="A63" s="22"/>
      <c r="B63" s="22"/>
      <c r="C63" s="22"/>
      <c r="D63" s="22"/>
      <c r="E63" s="22"/>
      <c r="F63" s="22"/>
      <c r="G63" s="22"/>
      <c r="H63" s="22"/>
      <c r="I63" s="22"/>
      <c r="J63" s="22"/>
      <c r="K63" s="22"/>
      <c r="L63" s="22"/>
    </row>
    <row r="64" customFormat="false" ht="15" hidden="false" customHeight="fals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</row>
    <row r="65" customFormat="false" ht="15" hidden="false" customHeight="false" outlineLevel="0" collapsed="false">
      <c r="A65" s="22"/>
      <c r="B65" s="22"/>
      <c r="C65" s="22"/>
      <c r="D65" s="22"/>
      <c r="E65" s="22"/>
      <c r="F65" s="22"/>
      <c r="G65" s="22"/>
      <c r="H65" s="22"/>
      <c r="I65" s="22"/>
      <c r="J65" s="22"/>
      <c r="K65" s="22"/>
      <c r="L65" s="22"/>
    </row>
    <row r="66" customFormat="false" ht="15" hidden="false" customHeight="fals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</row>
    <row r="67" customFormat="false" ht="15" hidden="false" customHeight="false" outlineLevel="0" collapsed="false">
      <c r="A67" s="22"/>
      <c r="B67" s="22"/>
      <c r="C67" s="22"/>
      <c r="D67" s="22"/>
      <c r="E67" s="22"/>
      <c r="F67" s="22"/>
      <c r="G67" s="22"/>
      <c r="H67" s="22"/>
      <c r="I67" s="22"/>
      <c r="J67" s="22"/>
      <c r="K67" s="22"/>
      <c r="L67" s="22"/>
    </row>
    <row r="68" customFormat="false" ht="15" hidden="false" customHeight="fals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</row>
    <row r="69" customFormat="false" ht="15" hidden="false" customHeight="false" outlineLevel="0" collapsed="false">
      <c r="A69" s="22"/>
      <c r="B69" s="22"/>
      <c r="C69" s="22"/>
      <c r="D69" s="22"/>
      <c r="E69" s="22"/>
      <c r="F69" s="22"/>
      <c r="G69" s="22"/>
      <c r="H69" s="22"/>
      <c r="I69" s="22"/>
      <c r="J69" s="22"/>
      <c r="K69" s="22"/>
      <c r="L69" s="22"/>
    </row>
    <row r="70" customFormat="false" ht="15" hidden="false" customHeight="fals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</row>
    <row r="71" customFormat="false" ht="15" hidden="false" customHeight="false" outlineLevel="0" collapsed="false">
      <c r="A71" s="22"/>
      <c r="B71" s="22"/>
      <c r="C71" s="22"/>
      <c r="D71" s="22"/>
      <c r="E71" s="22"/>
      <c r="F71" s="22"/>
      <c r="G71" s="22"/>
      <c r="H71" s="22"/>
      <c r="I71" s="22"/>
      <c r="J71" s="22"/>
      <c r="K71" s="22"/>
      <c r="L71" s="22"/>
    </row>
    <row r="72" customFormat="false" ht="15" hidden="false" customHeight="fals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</row>
    <row r="73" customFormat="false" ht="15" hidden="false" customHeight="false" outlineLevel="0" collapsed="false">
      <c r="A73" s="22"/>
      <c r="B73" s="22"/>
      <c r="C73" s="22"/>
      <c r="D73" s="22"/>
      <c r="E73" s="22"/>
      <c r="F73" s="22"/>
      <c r="G73" s="22"/>
      <c r="H73" s="22"/>
      <c r="I73" s="22"/>
      <c r="J73" s="22"/>
      <c r="K73" s="22"/>
      <c r="L73" s="22"/>
    </row>
    <row r="74" customFormat="false" ht="15" hidden="false" customHeight="fals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</row>
    <row r="75" customFormat="false" ht="15" hidden="false" customHeight="false" outlineLevel="0" collapsed="false">
      <c r="A75" s="22"/>
      <c r="B75" s="22"/>
      <c r="C75" s="22"/>
      <c r="D75" s="22"/>
      <c r="E75" s="22"/>
      <c r="F75" s="22"/>
      <c r="G75" s="22"/>
      <c r="H75" s="22"/>
      <c r="I75" s="22"/>
      <c r="J75" s="22"/>
      <c r="K75" s="22"/>
      <c r="L75" s="22"/>
    </row>
    <row r="76" customFormat="false" ht="15" hidden="false" customHeight="fals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</row>
    <row r="77" customFormat="false" ht="15" hidden="false" customHeight="false" outlineLevel="0" collapsed="false">
      <c r="A77" s="22"/>
      <c r="B77" s="22"/>
      <c r="C77" s="22"/>
      <c r="D77" s="22"/>
      <c r="E77" s="22"/>
      <c r="F77" s="22"/>
      <c r="G77" s="22"/>
      <c r="H77" s="22"/>
      <c r="I77" s="22"/>
      <c r="J77" s="22"/>
      <c r="K77" s="22"/>
      <c r="L77" s="22"/>
    </row>
    <row r="78" customFormat="false" ht="15" hidden="false" customHeight="fals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</row>
    <row r="79" customFormat="false" ht="15" hidden="false" customHeight="false" outlineLevel="0" collapsed="false">
      <c r="A79" s="22"/>
      <c r="B79" s="22"/>
      <c r="C79" s="22"/>
      <c r="D79" s="22"/>
      <c r="E79" s="22"/>
      <c r="F79" s="22"/>
      <c r="G79" s="22"/>
      <c r="H79" s="22"/>
      <c r="I79" s="22"/>
      <c r="J79" s="22"/>
      <c r="K79" s="22"/>
      <c r="L79" s="22"/>
    </row>
    <row r="80" customFormat="false" ht="15" hidden="false" customHeight="fals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</row>
    <row r="81" customFormat="false" ht="15" hidden="false" customHeight="false" outlineLevel="0" collapsed="false">
      <c r="A81" s="22"/>
      <c r="B81" s="22"/>
      <c r="C81" s="22"/>
      <c r="D81" s="22"/>
      <c r="E81" s="22"/>
      <c r="F81" s="22"/>
      <c r="G81" s="22"/>
      <c r="H81" s="22"/>
      <c r="I81" s="22"/>
      <c r="J81" s="22"/>
      <c r="K81" s="22"/>
      <c r="L81" s="22"/>
    </row>
    <row r="82" customFormat="false" ht="15" hidden="false" customHeight="fals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</row>
    <row r="83" customFormat="false" ht="15" hidden="false" customHeight="false" outlineLevel="0" collapsed="false">
      <c r="A83" s="22"/>
      <c r="B83" s="22"/>
      <c r="C83" s="22"/>
      <c r="D83" s="22"/>
      <c r="E83" s="22"/>
      <c r="F83" s="22"/>
      <c r="G83" s="22"/>
      <c r="H83" s="22"/>
      <c r="I83" s="22"/>
      <c r="J83" s="22"/>
      <c r="K83" s="22"/>
      <c r="L83" s="22"/>
    </row>
    <row r="84" customFormat="false" ht="15" hidden="false" customHeight="fals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</row>
    <row r="85" customFormat="false" ht="15" hidden="false" customHeight="false" outlineLevel="0" collapsed="false">
      <c r="A85" s="22"/>
      <c r="B85" s="22"/>
      <c r="C85" s="22"/>
      <c r="D85" s="22"/>
      <c r="E85" s="22"/>
      <c r="F85" s="22"/>
      <c r="G85" s="22"/>
      <c r="H85" s="22"/>
      <c r="I85" s="22"/>
      <c r="J85" s="22"/>
      <c r="K85" s="22"/>
      <c r="L85" s="22"/>
    </row>
    <row r="86" customFormat="false" ht="15" hidden="false" customHeight="fals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</row>
    <row r="87" customFormat="false" ht="15" hidden="false" customHeight="false" outlineLevel="0" collapsed="false">
      <c r="A87" s="22"/>
      <c r="B87" s="22"/>
      <c r="C87" s="22"/>
      <c r="D87" s="22"/>
      <c r="E87" s="22"/>
      <c r="F87" s="22"/>
      <c r="G87" s="22"/>
      <c r="H87" s="22"/>
      <c r="I87" s="22"/>
      <c r="J87" s="22"/>
      <c r="K87" s="22"/>
      <c r="L87" s="22"/>
    </row>
    <row r="88" customFormat="false" ht="15" hidden="false" customHeight="fals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</row>
    <row r="89" customFormat="false" ht="15" hidden="false" customHeight="false" outlineLevel="0" collapsed="false">
      <c r="A89" s="22"/>
      <c r="B89" s="22"/>
      <c r="C89" s="22"/>
      <c r="D89" s="22"/>
      <c r="E89" s="22"/>
      <c r="F89" s="22"/>
      <c r="G89" s="22"/>
      <c r="H89" s="22"/>
      <c r="I89" s="22"/>
      <c r="J89" s="22"/>
      <c r="K89" s="22"/>
      <c r="L89" s="22"/>
    </row>
    <row r="90" customFormat="false" ht="15" hidden="false" customHeight="fals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</row>
    <row r="91" customFormat="false" ht="15" hidden="false" customHeight="false" outlineLevel="0" collapsed="false">
      <c r="A91" s="22"/>
      <c r="B91" s="22"/>
      <c r="C91" s="22"/>
      <c r="D91" s="22"/>
      <c r="E91" s="22"/>
      <c r="F91" s="22"/>
      <c r="G91" s="22"/>
      <c r="H91" s="22"/>
      <c r="I91" s="22"/>
      <c r="J91" s="22"/>
      <c r="K91" s="22"/>
      <c r="L91" s="22"/>
    </row>
    <row r="92" customFormat="false" ht="15" hidden="false" customHeight="fals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</row>
    <row r="93" customFormat="false" ht="15" hidden="false" customHeight="false" outlineLevel="0" collapsed="false">
      <c r="A93" s="22"/>
      <c r="B93" s="22"/>
      <c r="C93" s="22"/>
      <c r="D93" s="22"/>
      <c r="E93" s="22"/>
      <c r="F93" s="22"/>
      <c r="G93" s="22"/>
      <c r="H93" s="22"/>
      <c r="I93" s="22"/>
      <c r="J93" s="22"/>
      <c r="K93" s="22"/>
      <c r="L93" s="22"/>
    </row>
    <row r="94" customFormat="false" ht="15" hidden="false" customHeight="fals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</row>
    <row r="95" customFormat="false" ht="15" hidden="false" customHeight="false" outlineLevel="0" collapsed="false">
      <c r="A95" s="22"/>
      <c r="B95" s="22"/>
      <c r="C95" s="22"/>
      <c r="D95" s="22"/>
      <c r="E95" s="22"/>
      <c r="F95" s="22"/>
      <c r="G95" s="22"/>
      <c r="H95" s="22"/>
      <c r="I95" s="22"/>
      <c r="J95" s="22"/>
      <c r="K95" s="22"/>
      <c r="L95" s="22"/>
    </row>
    <row r="96" customFormat="false" ht="15" hidden="false" customHeight="fals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</row>
    <row r="97" customFormat="false" ht="15" hidden="false" customHeight="false" outlineLevel="0" collapsed="false">
      <c r="A97" s="22"/>
      <c r="B97" s="22"/>
      <c r="C97" s="22"/>
      <c r="D97" s="22"/>
      <c r="E97" s="22"/>
      <c r="F97" s="22"/>
      <c r="G97" s="22"/>
      <c r="H97" s="22"/>
      <c r="I97" s="22"/>
      <c r="J97" s="22"/>
      <c r="K97" s="22"/>
      <c r="L97" s="22"/>
    </row>
    <row r="98" customFormat="false" ht="15" hidden="false" customHeight="fals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</row>
    <row r="99" customFormat="false" ht="15" hidden="false" customHeight="false" outlineLevel="0" collapsed="false">
      <c r="A99" s="22"/>
      <c r="B99" s="22"/>
      <c r="C99" s="22"/>
      <c r="D99" s="22"/>
      <c r="E99" s="22"/>
      <c r="F99" s="22"/>
      <c r="G99" s="22"/>
      <c r="H99" s="22"/>
      <c r="I99" s="22"/>
      <c r="J99" s="22"/>
      <c r="K99" s="22"/>
      <c r="L99" s="22"/>
    </row>
    <row r="100" customFormat="false" ht="15" hidden="false" customHeight="fals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</row>
    <row r="101" customFormat="false" ht="15" hidden="false" customHeight="false" outlineLevel="0" collapsed="false">
      <c r="A101" s="22"/>
      <c r="B101" s="22"/>
      <c r="C101" s="22"/>
      <c r="D101" s="22"/>
      <c r="E101" s="22"/>
      <c r="F101" s="22"/>
      <c r="G101" s="22"/>
      <c r="H101" s="22"/>
      <c r="I101" s="22"/>
      <c r="J101" s="22"/>
      <c r="K101" s="22"/>
      <c r="L101" s="22"/>
    </row>
    <row r="102" customFormat="false" ht="15" hidden="false" customHeight="fals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</row>
    <row r="103" customFormat="false" ht="15" hidden="false" customHeight="false" outlineLevel="0" collapsed="false">
      <c r="A103" s="22"/>
      <c r="B103" s="22"/>
      <c r="C103" s="22"/>
      <c r="D103" s="22"/>
      <c r="E103" s="22"/>
      <c r="F103" s="22"/>
      <c r="G103" s="22"/>
      <c r="H103" s="22"/>
      <c r="I103" s="22"/>
      <c r="J103" s="22"/>
      <c r="K103" s="22"/>
      <c r="L103" s="22"/>
    </row>
    <row r="104" customFormat="false" ht="15" hidden="false" customHeight="fals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</row>
  </sheetData>
  <autoFilter ref="A4:L104"/>
  <dataValidations count="1">
    <dataValidation allowBlank="true" errorStyle="stop" operator="between" showDropDown="false" showErrorMessage="false" showInputMessage="false" sqref="C5:C104" type="list">
      <formula1>Lists!$F$2:$F$12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4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26"/>
    <col collapsed="false" customWidth="true" hidden="false" outlineLevel="0" max="7" min="6" style="0" width="14"/>
    <col collapsed="false" customWidth="true" hidden="false" outlineLevel="0" max="8" min="8" style="0" width="12"/>
    <col collapsed="false" customWidth="true" hidden="false" outlineLevel="0" max="9" min="9" style="0" width="34"/>
  </cols>
  <sheetData>
    <row r="1" customFormat="false" ht="19.7" hidden="false" customHeight="false" outlineLevel="0" collapsed="false">
      <c r="A1" s="1" t="s">
        <v>794</v>
      </c>
    </row>
    <row r="2" customFormat="false" ht="15" hidden="false" customHeight="false" outlineLevel="0" collapsed="false">
      <c r="A2" s="2" t="s">
        <v>795</v>
      </c>
    </row>
    <row r="4" customFormat="false" ht="31.5" hidden="false" customHeight="true" outlineLevel="0" collapsed="false">
      <c r="A4" s="9" t="s">
        <v>546</v>
      </c>
      <c r="B4" s="9" t="s">
        <v>796</v>
      </c>
      <c r="C4" s="9" t="s">
        <v>797</v>
      </c>
      <c r="D4" s="9" t="s">
        <v>130</v>
      </c>
      <c r="E4" s="9" t="s">
        <v>133</v>
      </c>
      <c r="F4" s="9" t="s">
        <v>131</v>
      </c>
      <c r="G4" s="9" t="s">
        <v>132</v>
      </c>
      <c r="H4" s="9" t="s">
        <v>798</v>
      </c>
      <c r="I4" s="9" t="s">
        <v>137</v>
      </c>
    </row>
    <row r="5" customFormat="false" ht="15" hidden="false" customHeight="false" outlineLevel="0" collapsed="false">
      <c r="A5" s="22"/>
      <c r="B5" s="22"/>
      <c r="C5" s="22"/>
      <c r="D5" s="21"/>
      <c r="E5" s="22"/>
      <c r="F5" s="22"/>
      <c r="G5" s="22"/>
      <c r="H5" s="24" t="str">
        <f aca="false">IF(OR(F5="",G5="",NOT(ISNUMBER(F5)),F5=0),"",G5/F5-1)</f>
        <v/>
      </c>
      <c r="I5" s="22"/>
    </row>
    <row r="6" customFormat="false" ht="15" hidden="false" customHeight="false" outlineLevel="0" collapsed="false">
      <c r="A6" s="22"/>
      <c r="B6" s="22"/>
      <c r="C6" s="22"/>
      <c r="D6" s="21"/>
      <c r="E6" s="22"/>
      <c r="F6" s="22"/>
      <c r="G6" s="22"/>
      <c r="H6" s="24" t="str">
        <f aca="false">IF(OR(F6="",G6="",NOT(ISNUMBER(F6)),F6=0),"",G6/F6-1)</f>
        <v/>
      </c>
      <c r="I6" s="22"/>
    </row>
    <row r="7" customFormat="false" ht="15" hidden="false" customHeight="false" outlineLevel="0" collapsed="false">
      <c r="A7" s="22"/>
      <c r="B7" s="22"/>
      <c r="C7" s="22"/>
      <c r="D7" s="21"/>
      <c r="E7" s="22"/>
      <c r="F7" s="22"/>
      <c r="G7" s="22"/>
      <c r="H7" s="24" t="str">
        <f aca="false">IF(OR(F7="",G7="",NOT(ISNUMBER(F7)),F7=0),"",G7/F7-1)</f>
        <v/>
      </c>
      <c r="I7" s="22"/>
    </row>
    <row r="8" customFormat="false" ht="15" hidden="false" customHeight="false" outlineLevel="0" collapsed="false">
      <c r="A8" s="22"/>
      <c r="B8" s="22"/>
      <c r="C8" s="22"/>
      <c r="D8" s="21"/>
      <c r="E8" s="22"/>
      <c r="F8" s="22"/>
      <c r="G8" s="22"/>
      <c r="H8" s="24" t="str">
        <f aca="false">IF(OR(F8="",G8="",NOT(ISNUMBER(F8)),F8=0),"",G8/F8-1)</f>
        <v/>
      </c>
      <c r="I8" s="22"/>
    </row>
    <row r="9" customFormat="false" ht="15" hidden="false" customHeight="false" outlineLevel="0" collapsed="false">
      <c r="A9" s="22"/>
      <c r="B9" s="22"/>
      <c r="C9" s="22"/>
      <c r="D9" s="21"/>
      <c r="E9" s="22"/>
      <c r="F9" s="22"/>
      <c r="G9" s="22"/>
      <c r="H9" s="24" t="str">
        <f aca="false">IF(OR(F9="",G9="",NOT(ISNUMBER(F9)),F9=0),"",G9/F9-1)</f>
        <v/>
      </c>
      <c r="I9" s="22"/>
    </row>
    <row r="10" customFormat="false" ht="15" hidden="false" customHeight="false" outlineLevel="0" collapsed="false">
      <c r="A10" s="22"/>
      <c r="B10" s="22"/>
      <c r="C10" s="22"/>
      <c r="D10" s="21"/>
      <c r="E10" s="22"/>
      <c r="F10" s="22"/>
      <c r="G10" s="22"/>
      <c r="H10" s="24" t="str">
        <f aca="false">IF(OR(F10="",G10="",NOT(ISNUMBER(F10)),F10=0),"",G10/F10-1)</f>
        <v/>
      </c>
      <c r="I10" s="22"/>
    </row>
    <row r="11" customFormat="false" ht="15" hidden="false" customHeight="false" outlineLevel="0" collapsed="false">
      <c r="A11" s="22"/>
      <c r="B11" s="22"/>
      <c r="C11" s="22"/>
      <c r="D11" s="21"/>
      <c r="E11" s="22"/>
      <c r="F11" s="22"/>
      <c r="G11" s="22"/>
      <c r="H11" s="24" t="str">
        <f aca="false">IF(OR(F11="",G11="",NOT(ISNUMBER(F11)),F11=0),"",G11/F11-1)</f>
        <v/>
      </c>
      <c r="I11" s="22"/>
    </row>
    <row r="12" customFormat="false" ht="15" hidden="false" customHeight="false" outlineLevel="0" collapsed="false">
      <c r="A12" s="22"/>
      <c r="B12" s="22"/>
      <c r="C12" s="22"/>
      <c r="D12" s="21"/>
      <c r="E12" s="22"/>
      <c r="F12" s="22"/>
      <c r="G12" s="22"/>
      <c r="H12" s="24" t="str">
        <f aca="false">IF(OR(F12="",G12="",NOT(ISNUMBER(F12)),F12=0),"",G12/F12-1)</f>
        <v/>
      </c>
      <c r="I12" s="22"/>
    </row>
    <row r="13" customFormat="false" ht="15" hidden="false" customHeight="false" outlineLevel="0" collapsed="false">
      <c r="A13" s="22"/>
      <c r="B13" s="22"/>
      <c r="C13" s="22"/>
      <c r="D13" s="21"/>
      <c r="E13" s="22"/>
      <c r="F13" s="22"/>
      <c r="G13" s="22"/>
      <c r="H13" s="24" t="str">
        <f aca="false">IF(OR(F13="",G13="",NOT(ISNUMBER(F13)),F13=0),"",G13/F13-1)</f>
        <v/>
      </c>
      <c r="I13" s="22"/>
    </row>
    <row r="14" customFormat="false" ht="15" hidden="false" customHeight="false" outlineLevel="0" collapsed="false">
      <c r="A14" s="22"/>
      <c r="B14" s="22"/>
      <c r="C14" s="22"/>
      <c r="D14" s="21"/>
      <c r="E14" s="22"/>
      <c r="F14" s="22"/>
      <c r="G14" s="22"/>
      <c r="H14" s="24" t="str">
        <f aca="false">IF(OR(F14="",G14="",NOT(ISNUMBER(F14)),F14=0),"",G14/F14-1)</f>
        <v/>
      </c>
      <c r="I14" s="22"/>
    </row>
    <row r="15" customFormat="false" ht="15" hidden="false" customHeight="false" outlineLevel="0" collapsed="false">
      <c r="A15" s="22"/>
      <c r="B15" s="22"/>
      <c r="C15" s="22"/>
      <c r="D15" s="21"/>
      <c r="E15" s="22"/>
      <c r="F15" s="22"/>
      <c r="G15" s="22"/>
      <c r="H15" s="24" t="str">
        <f aca="false">IF(OR(F15="",G15="",NOT(ISNUMBER(F15)),F15=0),"",G15/F15-1)</f>
        <v/>
      </c>
      <c r="I15" s="22"/>
    </row>
    <row r="16" customFormat="false" ht="15" hidden="false" customHeight="false" outlineLevel="0" collapsed="false">
      <c r="A16" s="22"/>
      <c r="B16" s="22"/>
      <c r="C16" s="22"/>
      <c r="D16" s="21"/>
      <c r="E16" s="22"/>
      <c r="F16" s="22"/>
      <c r="G16" s="22"/>
      <c r="H16" s="24" t="str">
        <f aca="false">IF(OR(F16="",G16="",NOT(ISNUMBER(F16)),F16=0),"",G16/F16-1)</f>
        <v/>
      </c>
      <c r="I16" s="22"/>
    </row>
    <row r="17" customFormat="false" ht="15" hidden="false" customHeight="false" outlineLevel="0" collapsed="false">
      <c r="A17" s="22"/>
      <c r="B17" s="22"/>
      <c r="C17" s="22"/>
      <c r="D17" s="21"/>
      <c r="E17" s="22"/>
      <c r="F17" s="22"/>
      <c r="G17" s="22"/>
      <c r="H17" s="24" t="str">
        <f aca="false">IF(OR(F17="",G17="",NOT(ISNUMBER(F17)),F17=0),"",G17/F17-1)</f>
        <v/>
      </c>
      <c r="I17" s="22"/>
    </row>
    <row r="18" customFormat="false" ht="15" hidden="false" customHeight="false" outlineLevel="0" collapsed="false">
      <c r="A18" s="22"/>
      <c r="B18" s="22"/>
      <c r="C18" s="22"/>
      <c r="D18" s="21"/>
      <c r="E18" s="22"/>
      <c r="F18" s="22"/>
      <c r="G18" s="22"/>
      <c r="H18" s="24" t="str">
        <f aca="false">IF(OR(F18="",G18="",NOT(ISNUMBER(F18)),F18=0),"",G18/F18-1)</f>
        <v/>
      </c>
      <c r="I18" s="22"/>
    </row>
    <row r="19" customFormat="false" ht="15" hidden="false" customHeight="false" outlineLevel="0" collapsed="false">
      <c r="A19" s="22"/>
      <c r="B19" s="22"/>
      <c r="C19" s="22"/>
      <c r="D19" s="21"/>
      <c r="E19" s="22"/>
      <c r="F19" s="22"/>
      <c r="G19" s="22"/>
      <c r="H19" s="24" t="str">
        <f aca="false">IF(OR(F19="",G19="",NOT(ISNUMBER(F19)),F19=0),"",G19/F19-1)</f>
        <v/>
      </c>
      <c r="I19" s="22"/>
    </row>
    <row r="20" customFormat="false" ht="15" hidden="false" customHeight="false" outlineLevel="0" collapsed="false">
      <c r="A20" s="22"/>
      <c r="B20" s="22"/>
      <c r="C20" s="22"/>
      <c r="D20" s="21"/>
      <c r="E20" s="22"/>
      <c r="F20" s="22"/>
      <c r="G20" s="22"/>
      <c r="H20" s="24" t="str">
        <f aca="false">IF(OR(F20="",G20="",NOT(ISNUMBER(F20)),F20=0),"",G20/F20-1)</f>
        <v/>
      </c>
      <c r="I20" s="22"/>
    </row>
    <row r="21" customFormat="false" ht="15" hidden="false" customHeight="false" outlineLevel="0" collapsed="false">
      <c r="A21" s="22"/>
      <c r="B21" s="22"/>
      <c r="C21" s="22"/>
      <c r="D21" s="21"/>
      <c r="E21" s="22"/>
      <c r="F21" s="22"/>
      <c r="G21" s="22"/>
      <c r="H21" s="24" t="str">
        <f aca="false">IF(OR(F21="",G21="",NOT(ISNUMBER(F21)),F21=0),"",G21/F21-1)</f>
        <v/>
      </c>
      <c r="I21" s="22"/>
    </row>
    <row r="22" customFormat="false" ht="15" hidden="false" customHeight="false" outlineLevel="0" collapsed="false">
      <c r="A22" s="22"/>
      <c r="B22" s="22"/>
      <c r="C22" s="22"/>
      <c r="D22" s="21"/>
      <c r="E22" s="22"/>
      <c r="F22" s="22"/>
      <c r="G22" s="22"/>
      <c r="H22" s="24" t="str">
        <f aca="false">IF(OR(F22="",G22="",NOT(ISNUMBER(F22)),F22=0),"",G22/F22-1)</f>
        <v/>
      </c>
      <c r="I22" s="22"/>
    </row>
    <row r="23" customFormat="false" ht="15" hidden="false" customHeight="false" outlineLevel="0" collapsed="false">
      <c r="A23" s="22"/>
      <c r="B23" s="22"/>
      <c r="C23" s="22"/>
      <c r="D23" s="21"/>
      <c r="E23" s="22"/>
      <c r="F23" s="22"/>
      <c r="G23" s="22"/>
      <c r="H23" s="24" t="str">
        <f aca="false">IF(OR(F23="",G23="",NOT(ISNUMBER(F23)),F23=0),"",G23/F23-1)</f>
        <v/>
      </c>
      <c r="I23" s="22"/>
    </row>
    <row r="24" customFormat="false" ht="15" hidden="false" customHeight="false" outlineLevel="0" collapsed="false">
      <c r="A24" s="22"/>
      <c r="B24" s="22"/>
      <c r="C24" s="22"/>
      <c r="D24" s="21"/>
      <c r="E24" s="22"/>
      <c r="F24" s="22"/>
      <c r="G24" s="22"/>
      <c r="H24" s="24" t="str">
        <f aca="false">IF(OR(F24="",G24="",NOT(ISNUMBER(F24)),F24=0),"",G24/F24-1)</f>
        <v/>
      </c>
      <c r="I24" s="22"/>
    </row>
    <row r="25" customFormat="false" ht="15" hidden="false" customHeight="false" outlineLevel="0" collapsed="false">
      <c r="A25" s="22"/>
      <c r="B25" s="22"/>
      <c r="C25" s="22"/>
      <c r="D25" s="21"/>
      <c r="E25" s="22"/>
      <c r="F25" s="22"/>
      <c r="G25" s="22"/>
      <c r="H25" s="24" t="str">
        <f aca="false">IF(OR(F25="",G25="",NOT(ISNUMBER(F25)),F25=0),"",G25/F25-1)</f>
        <v/>
      </c>
      <c r="I25" s="22"/>
    </row>
    <row r="26" customFormat="false" ht="15" hidden="false" customHeight="false" outlineLevel="0" collapsed="false">
      <c r="A26" s="22"/>
      <c r="B26" s="22"/>
      <c r="C26" s="22"/>
      <c r="D26" s="21"/>
      <c r="E26" s="22"/>
      <c r="F26" s="22"/>
      <c r="G26" s="22"/>
      <c r="H26" s="24" t="str">
        <f aca="false">IF(OR(F26="",G26="",NOT(ISNUMBER(F26)),F26=0),"",G26/F26-1)</f>
        <v/>
      </c>
      <c r="I26" s="22"/>
    </row>
    <row r="27" customFormat="false" ht="15" hidden="false" customHeight="false" outlineLevel="0" collapsed="false">
      <c r="A27" s="22"/>
      <c r="B27" s="22"/>
      <c r="C27" s="22"/>
      <c r="D27" s="21"/>
      <c r="E27" s="22"/>
      <c r="F27" s="22"/>
      <c r="G27" s="22"/>
      <c r="H27" s="24" t="str">
        <f aca="false">IF(OR(F27="",G27="",NOT(ISNUMBER(F27)),F27=0),"",G27/F27-1)</f>
        <v/>
      </c>
      <c r="I27" s="22"/>
    </row>
    <row r="28" customFormat="false" ht="15" hidden="false" customHeight="false" outlineLevel="0" collapsed="false">
      <c r="A28" s="22"/>
      <c r="B28" s="22"/>
      <c r="C28" s="22"/>
      <c r="D28" s="21"/>
      <c r="E28" s="22"/>
      <c r="F28" s="22"/>
      <c r="G28" s="22"/>
      <c r="H28" s="24" t="str">
        <f aca="false">IF(OR(F28="",G28="",NOT(ISNUMBER(F28)),F28=0),"",G28/F28-1)</f>
        <v/>
      </c>
      <c r="I28" s="22"/>
    </row>
    <row r="29" customFormat="false" ht="15" hidden="false" customHeight="false" outlineLevel="0" collapsed="false">
      <c r="A29" s="22"/>
      <c r="B29" s="22"/>
      <c r="C29" s="22"/>
      <c r="D29" s="21"/>
      <c r="E29" s="22"/>
      <c r="F29" s="22"/>
      <c r="G29" s="22"/>
      <c r="H29" s="24" t="str">
        <f aca="false">IF(OR(F29="",G29="",NOT(ISNUMBER(F29)),F29=0),"",G29/F29-1)</f>
        <v/>
      </c>
      <c r="I29" s="22"/>
    </row>
    <row r="30" customFormat="false" ht="15" hidden="false" customHeight="false" outlineLevel="0" collapsed="false">
      <c r="A30" s="22"/>
      <c r="B30" s="22"/>
      <c r="C30" s="22"/>
      <c r="D30" s="21"/>
      <c r="E30" s="22"/>
      <c r="F30" s="22"/>
      <c r="G30" s="22"/>
      <c r="H30" s="24" t="str">
        <f aca="false">IF(OR(F30="",G30="",NOT(ISNUMBER(F30)),F30=0),"",G30/F30-1)</f>
        <v/>
      </c>
      <c r="I30" s="22"/>
    </row>
    <row r="31" customFormat="false" ht="15" hidden="false" customHeight="false" outlineLevel="0" collapsed="false">
      <c r="A31" s="22"/>
      <c r="B31" s="22"/>
      <c r="C31" s="22"/>
      <c r="D31" s="21"/>
      <c r="E31" s="22"/>
      <c r="F31" s="22"/>
      <c r="G31" s="22"/>
      <c r="H31" s="24" t="str">
        <f aca="false">IF(OR(F31="",G31="",NOT(ISNUMBER(F31)),F31=0),"",G31/F31-1)</f>
        <v/>
      </c>
      <c r="I31" s="22"/>
    </row>
    <row r="32" customFormat="false" ht="15" hidden="false" customHeight="false" outlineLevel="0" collapsed="false">
      <c r="A32" s="22"/>
      <c r="B32" s="22"/>
      <c r="C32" s="22"/>
      <c r="D32" s="21"/>
      <c r="E32" s="22"/>
      <c r="F32" s="22"/>
      <c r="G32" s="22"/>
      <c r="H32" s="24" t="str">
        <f aca="false">IF(OR(F32="",G32="",NOT(ISNUMBER(F32)),F32=0),"",G32/F32-1)</f>
        <v/>
      </c>
      <c r="I32" s="22"/>
    </row>
    <row r="33" customFormat="false" ht="15" hidden="false" customHeight="false" outlineLevel="0" collapsed="false">
      <c r="A33" s="22"/>
      <c r="B33" s="22"/>
      <c r="C33" s="22"/>
      <c r="D33" s="21"/>
      <c r="E33" s="22"/>
      <c r="F33" s="22"/>
      <c r="G33" s="22"/>
      <c r="H33" s="24" t="str">
        <f aca="false">IF(OR(F33="",G33="",NOT(ISNUMBER(F33)),F33=0),"",G33/F33-1)</f>
        <v/>
      </c>
      <c r="I33" s="22"/>
    </row>
    <row r="34" customFormat="false" ht="15" hidden="false" customHeight="false" outlineLevel="0" collapsed="false">
      <c r="A34" s="22"/>
      <c r="B34" s="22"/>
      <c r="C34" s="22"/>
      <c r="D34" s="21"/>
      <c r="E34" s="22"/>
      <c r="F34" s="22"/>
      <c r="G34" s="22"/>
      <c r="H34" s="24" t="str">
        <f aca="false">IF(OR(F34="",G34="",NOT(ISNUMBER(F34)),F34=0),"",G34/F34-1)</f>
        <v/>
      </c>
      <c r="I34" s="22"/>
    </row>
    <row r="35" customFormat="false" ht="15" hidden="false" customHeight="false" outlineLevel="0" collapsed="false">
      <c r="A35" s="22"/>
      <c r="B35" s="22"/>
      <c r="C35" s="22"/>
      <c r="D35" s="21"/>
      <c r="E35" s="22"/>
      <c r="F35" s="22"/>
      <c r="G35" s="22"/>
      <c r="H35" s="24" t="str">
        <f aca="false">IF(OR(F35="",G35="",NOT(ISNUMBER(F35)),F35=0),"",G35/F35-1)</f>
        <v/>
      </c>
      <c r="I35" s="22"/>
    </row>
    <row r="36" customFormat="false" ht="15" hidden="false" customHeight="false" outlineLevel="0" collapsed="false">
      <c r="A36" s="22"/>
      <c r="B36" s="22"/>
      <c r="C36" s="22"/>
      <c r="D36" s="21"/>
      <c r="E36" s="22"/>
      <c r="F36" s="22"/>
      <c r="G36" s="22"/>
      <c r="H36" s="24" t="str">
        <f aca="false">IF(OR(F36="",G36="",NOT(ISNUMBER(F36)),F36=0),"",G36/F36-1)</f>
        <v/>
      </c>
      <c r="I36" s="22"/>
    </row>
    <row r="37" customFormat="false" ht="15" hidden="false" customHeight="false" outlineLevel="0" collapsed="false">
      <c r="A37" s="22"/>
      <c r="B37" s="22"/>
      <c r="C37" s="22"/>
      <c r="D37" s="21"/>
      <c r="E37" s="22"/>
      <c r="F37" s="22"/>
      <c r="G37" s="22"/>
      <c r="H37" s="24" t="str">
        <f aca="false">IF(OR(F37="",G37="",NOT(ISNUMBER(F37)),F37=0),"",G37/F37-1)</f>
        <v/>
      </c>
      <c r="I37" s="22"/>
    </row>
    <row r="38" customFormat="false" ht="15" hidden="false" customHeight="false" outlineLevel="0" collapsed="false">
      <c r="A38" s="22"/>
      <c r="B38" s="22"/>
      <c r="C38" s="22"/>
      <c r="D38" s="21"/>
      <c r="E38" s="22"/>
      <c r="F38" s="22"/>
      <c r="G38" s="22"/>
      <c r="H38" s="24" t="str">
        <f aca="false">IF(OR(F38="",G38="",NOT(ISNUMBER(F38)),F38=0),"",G38/F38-1)</f>
        <v/>
      </c>
      <c r="I38" s="22"/>
    </row>
    <row r="39" customFormat="false" ht="15" hidden="false" customHeight="false" outlineLevel="0" collapsed="false">
      <c r="A39" s="22"/>
      <c r="B39" s="22"/>
      <c r="C39" s="22"/>
      <c r="D39" s="21"/>
      <c r="E39" s="22"/>
      <c r="F39" s="22"/>
      <c r="G39" s="22"/>
      <c r="H39" s="24" t="str">
        <f aca="false">IF(OR(F39="",G39="",NOT(ISNUMBER(F39)),F39=0),"",G39/F39-1)</f>
        <v/>
      </c>
      <c r="I39" s="22"/>
    </row>
    <row r="40" customFormat="false" ht="15" hidden="false" customHeight="false" outlineLevel="0" collapsed="false">
      <c r="A40" s="22"/>
      <c r="B40" s="22"/>
      <c r="C40" s="22"/>
      <c r="D40" s="21"/>
      <c r="E40" s="22"/>
      <c r="F40" s="22"/>
      <c r="G40" s="22"/>
      <c r="H40" s="24" t="str">
        <f aca="false">IF(OR(F40="",G40="",NOT(ISNUMBER(F40)),F40=0),"",G40/F40-1)</f>
        <v/>
      </c>
      <c r="I40" s="22"/>
    </row>
    <row r="41" customFormat="false" ht="15" hidden="false" customHeight="false" outlineLevel="0" collapsed="false">
      <c r="A41" s="22"/>
      <c r="B41" s="22"/>
      <c r="C41" s="22"/>
      <c r="D41" s="21"/>
      <c r="E41" s="22"/>
      <c r="F41" s="22"/>
      <c r="G41" s="22"/>
      <c r="H41" s="24" t="str">
        <f aca="false">IF(OR(F41="",G41="",NOT(ISNUMBER(F41)),F41=0),"",G41/F41-1)</f>
        <v/>
      </c>
      <c r="I41" s="22"/>
    </row>
    <row r="42" customFormat="false" ht="15" hidden="false" customHeight="false" outlineLevel="0" collapsed="false">
      <c r="A42" s="22"/>
      <c r="B42" s="22"/>
      <c r="C42" s="22"/>
      <c r="D42" s="21"/>
      <c r="E42" s="22"/>
      <c r="F42" s="22"/>
      <c r="G42" s="22"/>
      <c r="H42" s="24" t="str">
        <f aca="false">IF(OR(F42="",G42="",NOT(ISNUMBER(F42)),F42=0),"",G42/F42-1)</f>
        <v/>
      </c>
      <c r="I42" s="22"/>
    </row>
    <row r="43" customFormat="false" ht="15" hidden="false" customHeight="false" outlineLevel="0" collapsed="false">
      <c r="A43" s="22"/>
      <c r="B43" s="22"/>
      <c r="C43" s="22"/>
      <c r="D43" s="21"/>
      <c r="E43" s="22"/>
      <c r="F43" s="22"/>
      <c r="G43" s="22"/>
      <c r="H43" s="24" t="str">
        <f aca="false">IF(OR(F43="",G43="",NOT(ISNUMBER(F43)),F43=0),"",G43/F43-1)</f>
        <v/>
      </c>
      <c r="I43" s="22"/>
    </row>
    <row r="44" customFormat="false" ht="15" hidden="false" customHeight="false" outlineLevel="0" collapsed="false">
      <c r="A44" s="22"/>
      <c r="B44" s="22"/>
      <c r="C44" s="22"/>
      <c r="D44" s="21"/>
      <c r="E44" s="22"/>
      <c r="F44" s="22"/>
      <c r="G44" s="22"/>
      <c r="H44" s="24" t="str">
        <f aca="false">IF(OR(F44="",G44="",NOT(ISNUMBER(F44)),F44=0),"",G44/F44-1)</f>
        <v/>
      </c>
      <c r="I44" s="22"/>
    </row>
    <row r="45" customFormat="false" ht="15" hidden="false" customHeight="false" outlineLevel="0" collapsed="false">
      <c r="A45" s="22"/>
      <c r="B45" s="22"/>
      <c r="C45" s="22"/>
      <c r="D45" s="21"/>
      <c r="E45" s="22"/>
      <c r="F45" s="22"/>
      <c r="G45" s="22"/>
      <c r="H45" s="24" t="str">
        <f aca="false">IF(OR(F45="",G45="",NOT(ISNUMBER(F45)),F45=0),"",G45/F45-1)</f>
        <v/>
      </c>
      <c r="I45" s="22"/>
    </row>
    <row r="46" customFormat="false" ht="15" hidden="false" customHeight="false" outlineLevel="0" collapsed="false">
      <c r="A46" s="22"/>
      <c r="B46" s="22"/>
      <c r="C46" s="22"/>
      <c r="D46" s="21"/>
      <c r="E46" s="22"/>
      <c r="F46" s="22"/>
      <c r="G46" s="22"/>
      <c r="H46" s="24" t="str">
        <f aca="false">IF(OR(F46="",G46="",NOT(ISNUMBER(F46)),F46=0),"",G46/F46-1)</f>
        <v/>
      </c>
      <c r="I46" s="22"/>
    </row>
    <row r="47" customFormat="false" ht="15" hidden="false" customHeight="false" outlineLevel="0" collapsed="false">
      <c r="A47" s="22"/>
      <c r="B47" s="22"/>
      <c r="C47" s="22"/>
      <c r="D47" s="21"/>
      <c r="E47" s="22"/>
      <c r="F47" s="22"/>
      <c r="G47" s="22"/>
      <c r="H47" s="24" t="str">
        <f aca="false">IF(OR(F47="",G47="",NOT(ISNUMBER(F47)),F47=0),"",G47/F47-1)</f>
        <v/>
      </c>
      <c r="I47" s="22"/>
    </row>
    <row r="48" customFormat="false" ht="15" hidden="false" customHeight="false" outlineLevel="0" collapsed="false">
      <c r="A48" s="22"/>
      <c r="B48" s="22"/>
      <c r="C48" s="22"/>
      <c r="D48" s="21"/>
      <c r="E48" s="22"/>
      <c r="F48" s="22"/>
      <c r="G48" s="22"/>
      <c r="H48" s="24" t="str">
        <f aca="false">IF(OR(F48="",G48="",NOT(ISNUMBER(F48)),F48=0),"",G48/F48-1)</f>
        <v/>
      </c>
      <c r="I48" s="22"/>
    </row>
    <row r="49" customFormat="false" ht="15" hidden="false" customHeight="false" outlineLevel="0" collapsed="false">
      <c r="A49" s="22"/>
      <c r="B49" s="22"/>
      <c r="C49" s="22"/>
      <c r="D49" s="21"/>
      <c r="E49" s="22"/>
      <c r="F49" s="22"/>
      <c r="G49" s="22"/>
      <c r="H49" s="24" t="str">
        <f aca="false">IF(OR(F49="",G49="",NOT(ISNUMBER(F49)),F49=0),"",G49/F49-1)</f>
        <v/>
      </c>
      <c r="I49" s="22"/>
    </row>
    <row r="50" customFormat="false" ht="15" hidden="false" customHeight="false" outlineLevel="0" collapsed="false">
      <c r="A50" s="22"/>
      <c r="B50" s="22"/>
      <c r="C50" s="22"/>
      <c r="D50" s="21"/>
      <c r="E50" s="22"/>
      <c r="F50" s="22"/>
      <c r="G50" s="22"/>
      <c r="H50" s="24" t="str">
        <f aca="false">IF(OR(F50="",G50="",NOT(ISNUMBER(F50)),F50=0),"",G50/F50-1)</f>
        <v/>
      </c>
      <c r="I50" s="22"/>
    </row>
    <row r="51" customFormat="false" ht="15" hidden="false" customHeight="false" outlineLevel="0" collapsed="false">
      <c r="A51" s="22"/>
      <c r="B51" s="22"/>
      <c r="C51" s="22"/>
      <c r="D51" s="21"/>
      <c r="E51" s="22"/>
      <c r="F51" s="22"/>
      <c r="G51" s="22"/>
      <c r="H51" s="24" t="str">
        <f aca="false">IF(OR(F51="",G51="",NOT(ISNUMBER(F51)),F51=0),"",G51/F51-1)</f>
        <v/>
      </c>
      <c r="I51" s="22"/>
    </row>
    <row r="52" customFormat="false" ht="15" hidden="false" customHeight="false" outlineLevel="0" collapsed="false">
      <c r="A52" s="22"/>
      <c r="B52" s="22"/>
      <c r="C52" s="22"/>
      <c r="D52" s="21"/>
      <c r="E52" s="22"/>
      <c r="F52" s="22"/>
      <c r="G52" s="22"/>
      <c r="H52" s="24" t="str">
        <f aca="false">IF(OR(F52="",G52="",NOT(ISNUMBER(F52)),F52=0),"",G52/F52-1)</f>
        <v/>
      </c>
      <c r="I52" s="22"/>
    </row>
    <row r="53" customFormat="false" ht="15" hidden="false" customHeight="false" outlineLevel="0" collapsed="false">
      <c r="A53" s="22"/>
      <c r="B53" s="22"/>
      <c r="C53" s="22"/>
      <c r="D53" s="21"/>
      <c r="E53" s="22"/>
      <c r="F53" s="22"/>
      <c r="G53" s="22"/>
      <c r="H53" s="24" t="str">
        <f aca="false">IF(OR(F53="",G53="",NOT(ISNUMBER(F53)),F53=0),"",G53/F53-1)</f>
        <v/>
      </c>
      <c r="I53" s="22"/>
    </row>
    <row r="54" customFormat="false" ht="15" hidden="false" customHeight="false" outlineLevel="0" collapsed="false">
      <c r="A54" s="22"/>
      <c r="B54" s="22"/>
      <c r="C54" s="22"/>
      <c r="D54" s="21"/>
      <c r="E54" s="22"/>
      <c r="F54" s="22"/>
      <c r="G54" s="22"/>
      <c r="H54" s="24" t="str">
        <f aca="false">IF(OR(F54="",G54="",NOT(ISNUMBER(F54)),F54=0),"",G54/F54-1)</f>
        <v/>
      </c>
      <c r="I54" s="22"/>
    </row>
    <row r="55" customFormat="false" ht="15" hidden="false" customHeight="false" outlineLevel="0" collapsed="false">
      <c r="A55" s="22"/>
      <c r="B55" s="22"/>
      <c r="C55" s="22"/>
      <c r="D55" s="21"/>
      <c r="E55" s="22"/>
      <c r="F55" s="22"/>
      <c r="G55" s="22"/>
      <c r="H55" s="24" t="str">
        <f aca="false">IF(OR(F55="",G55="",NOT(ISNUMBER(F55)),F55=0),"",G55/F55-1)</f>
        <v/>
      </c>
      <c r="I55" s="22"/>
    </row>
    <row r="56" customFormat="false" ht="15" hidden="false" customHeight="false" outlineLevel="0" collapsed="false">
      <c r="A56" s="22"/>
      <c r="B56" s="22"/>
      <c r="C56" s="22"/>
      <c r="D56" s="21"/>
      <c r="E56" s="22"/>
      <c r="F56" s="22"/>
      <c r="G56" s="22"/>
      <c r="H56" s="24" t="str">
        <f aca="false">IF(OR(F56="",G56="",NOT(ISNUMBER(F56)),F56=0),"",G56/F56-1)</f>
        <v/>
      </c>
      <c r="I56" s="22"/>
    </row>
    <row r="57" customFormat="false" ht="15" hidden="false" customHeight="false" outlineLevel="0" collapsed="false">
      <c r="A57" s="22"/>
      <c r="B57" s="22"/>
      <c r="C57" s="22"/>
      <c r="D57" s="21"/>
      <c r="E57" s="22"/>
      <c r="F57" s="22"/>
      <c r="G57" s="22"/>
      <c r="H57" s="24" t="str">
        <f aca="false">IF(OR(F57="",G57="",NOT(ISNUMBER(F57)),F57=0),"",G57/F57-1)</f>
        <v/>
      </c>
      <c r="I57" s="22"/>
    </row>
    <row r="58" customFormat="false" ht="15" hidden="false" customHeight="false" outlineLevel="0" collapsed="false">
      <c r="A58" s="22"/>
      <c r="B58" s="22"/>
      <c r="C58" s="22"/>
      <c r="D58" s="21"/>
      <c r="E58" s="22"/>
      <c r="F58" s="22"/>
      <c r="G58" s="22"/>
      <c r="H58" s="24" t="str">
        <f aca="false">IF(OR(F58="",G58="",NOT(ISNUMBER(F58)),F58=0),"",G58/F58-1)</f>
        <v/>
      </c>
      <c r="I58" s="22"/>
    </row>
    <row r="59" customFormat="false" ht="15" hidden="false" customHeight="false" outlineLevel="0" collapsed="false">
      <c r="A59" s="22"/>
      <c r="B59" s="22"/>
      <c r="C59" s="22"/>
      <c r="D59" s="21"/>
      <c r="E59" s="22"/>
      <c r="F59" s="22"/>
      <c r="G59" s="22"/>
      <c r="H59" s="24" t="str">
        <f aca="false">IF(OR(F59="",G59="",NOT(ISNUMBER(F59)),F59=0),"",G59/F59-1)</f>
        <v/>
      </c>
      <c r="I59" s="22"/>
    </row>
    <row r="60" customFormat="false" ht="15" hidden="false" customHeight="false" outlineLevel="0" collapsed="false">
      <c r="A60" s="22"/>
      <c r="B60" s="22"/>
      <c r="C60" s="22"/>
      <c r="D60" s="21"/>
      <c r="E60" s="22"/>
      <c r="F60" s="22"/>
      <c r="G60" s="22"/>
      <c r="H60" s="24" t="str">
        <f aca="false">IF(OR(F60="",G60="",NOT(ISNUMBER(F60)),F60=0),"",G60/F60-1)</f>
        <v/>
      </c>
      <c r="I60" s="22"/>
    </row>
    <row r="61" customFormat="false" ht="15" hidden="false" customHeight="false" outlineLevel="0" collapsed="false">
      <c r="A61" s="22"/>
      <c r="B61" s="22"/>
      <c r="C61" s="22"/>
      <c r="D61" s="21"/>
      <c r="E61" s="22"/>
      <c r="F61" s="22"/>
      <c r="G61" s="22"/>
      <c r="H61" s="24" t="str">
        <f aca="false">IF(OR(F61="",G61="",NOT(ISNUMBER(F61)),F61=0),"",G61/F61-1)</f>
        <v/>
      </c>
      <c r="I61" s="22"/>
    </row>
    <row r="62" customFormat="false" ht="15" hidden="false" customHeight="false" outlineLevel="0" collapsed="false">
      <c r="A62" s="22"/>
      <c r="B62" s="22"/>
      <c r="C62" s="22"/>
      <c r="D62" s="21"/>
      <c r="E62" s="22"/>
      <c r="F62" s="22"/>
      <c r="G62" s="22"/>
      <c r="H62" s="24" t="str">
        <f aca="false">IF(OR(F62="",G62="",NOT(ISNUMBER(F62)),F62=0),"",G62/F62-1)</f>
        <v/>
      </c>
      <c r="I62" s="22"/>
    </row>
    <row r="63" customFormat="false" ht="15" hidden="false" customHeight="false" outlineLevel="0" collapsed="false">
      <c r="A63" s="22"/>
      <c r="B63" s="22"/>
      <c r="C63" s="22"/>
      <c r="D63" s="21"/>
      <c r="E63" s="22"/>
      <c r="F63" s="22"/>
      <c r="G63" s="22"/>
      <c r="H63" s="24" t="str">
        <f aca="false">IF(OR(F63="",G63="",NOT(ISNUMBER(F63)),F63=0),"",G63/F63-1)</f>
        <v/>
      </c>
      <c r="I63" s="22"/>
    </row>
    <row r="64" customFormat="false" ht="15" hidden="false" customHeight="false" outlineLevel="0" collapsed="false">
      <c r="A64" s="22"/>
      <c r="B64" s="22"/>
      <c r="C64" s="22"/>
      <c r="D64" s="21"/>
      <c r="E64" s="22"/>
      <c r="F64" s="22"/>
      <c r="G64" s="22"/>
      <c r="H64" s="24" t="str">
        <f aca="false">IF(OR(F64="",G64="",NOT(ISNUMBER(F64)),F64=0),"",G64/F64-1)</f>
        <v/>
      </c>
      <c r="I64" s="22"/>
    </row>
    <row r="65" customFormat="false" ht="15" hidden="false" customHeight="false" outlineLevel="0" collapsed="false">
      <c r="A65" s="22"/>
      <c r="B65" s="22"/>
      <c r="C65" s="22"/>
      <c r="D65" s="21"/>
      <c r="E65" s="22"/>
      <c r="F65" s="22"/>
      <c r="G65" s="22"/>
      <c r="H65" s="24" t="str">
        <f aca="false">IF(OR(F65="",G65="",NOT(ISNUMBER(F65)),F65=0),"",G65/F65-1)</f>
        <v/>
      </c>
      <c r="I65" s="22"/>
    </row>
    <row r="66" customFormat="false" ht="15" hidden="false" customHeight="false" outlineLevel="0" collapsed="false">
      <c r="A66" s="22"/>
      <c r="B66" s="22"/>
      <c r="C66" s="22"/>
      <c r="D66" s="21"/>
      <c r="E66" s="22"/>
      <c r="F66" s="22"/>
      <c r="G66" s="22"/>
      <c r="H66" s="24" t="str">
        <f aca="false">IF(OR(F66="",G66="",NOT(ISNUMBER(F66)),F66=0),"",G66/F66-1)</f>
        <v/>
      </c>
      <c r="I66" s="22"/>
    </row>
    <row r="67" customFormat="false" ht="15" hidden="false" customHeight="false" outlineLevel="0" collapsed="false">
      <c r="A67" s="22"/>
      <c r="B67" s="22"/>
      <c r="C67" s="22"/>
      <c r="D67" s="21"/>
      <c r="E67" s="22"/>
      <c r="F67" s="22"/>
      <c r="G67" s="22"/>
      <c r="H67" s="24" t="str">
        <f aca="false">IF(OR(F67="",G67="",NOT(ISNUMBER(F67)),F67=0),"",G67/F67-1)</f>
        <v/>
      </c>
      <c r="I67" s="22"/>
    </row>
    <row r="68" customFormat="false" ht="15" hidden="false" customHeight="false" outlineLevel="0" collapsed="false">
      <c r="A68" s="22"/>
      <c r="B68" s="22"/>
      <c r="C68" s="22"/>
      <c r="D68" s="21"/>
      <c r="E68" s="22"/>
      <c r="F68" s="22"/>
      <c r="G68" s="22"/>
      <c r="H68" s="24" t="str">
        <f aca="false">IF(OR(F68="",G68="",NOT(ISNUMBER(F68)),F68=0),"",G68/F68-1)</f>
        <v/>
      </c>
      <c r="I68" s="22"/>
    </row>
    <row r="69" customFormat="false" ht="15" hidden="false" customHeight="false" outlineLevel="0" collapsed="false">
      <c r="A69" s="22"/>
      <c r="B69" s="22"/>
      <c r="C69" s="22"/>
      <c r="D69" s="21"/>
      <c r="E69" s="22"/>
      <c r="F69" s="22"/>
      <c r="G69" s="22"/>
      <c r="H69" s="24" t="str">
        <f aca="false">IF(OR(F69="",G69="",NOT(ISNUMBER(F69)),F69=0),"",G69/F69-1)</f>
        <v/>
      </c>
      <c r="I69" s="22"/>
    </row>
    <row r="70" customFormat="false" ht="15" hidden="false" customHeight="false" outlineLevel="0" collapsed="false">
      <c r="A70" s="22"/>
      <c r="B70" s="22"/>
      <c r="C70" s="22"/>
      <c r="D70" s="21"/>
      <c r="E70" s="22"/>
      <c r="F70" s="22"/>
      <c r="G70" s="22"/>
      <c r="H70" s="24" t="str">
        <f aca="false">IF(OR(F70="",G70="",NOT(ISNUMBER(F70)),F70=0),"",G70/F70-1)</f>
        <v/>
      </c>
      <c r="I70" s="22"/>
    </row>
    <row r="71" customFormat="false" ht="15" hidden="false" customHeight="false" outlineLevel="0" collapsed="false">
      <c r="A71" s="22"/>
      <c r="B71" s="22"/>
      <c r="C71" s="22"/>
      <c r="D71" s="21"/>
      <c r="E71" s="22"/>
      <c r="F71" s="22"/>
      <c r="G71" s="22"/>
      <c r="H71" s="24" t="str">
        <f aca="false">IF(OR(F71="",G71="",NOT(ISNUMBER(F71)),F71=0),"",G71/F71-1)</f>
        <v/>
      </c>
      <c r="I71" s="22"/>
    </row>
    <row r="72" customFormat="false" ht="15" hidden="false" customHeight="false" outlineLevel="0" collapsed="false">
      <c r="A72" s="22"/>
      <c r="B72" s="22"/>
      <c r="C72" s="22"/>
      <c r="D72" s="21"/>
      <c r="E72" s="22"/>
      <c r="F72" s="22"/>
      <c r="G72" s="22"/>
      <c r="H72" s="24" t="str">
        <f aca="false">IF(OR(F72="",G72="",NOT(ISNUMBER(F72)),F72=0),"",G72/F72-1)</f>
        <v/>
      </c>
      <c r="I72" s="22"/>
    </row>
    <row r="73" customFormat="false" ht="15" hidden="false" customHeight="false" outlineLevel="0" collapsed="false">
      <c r="A73" s="22"/>
      <c r="B73" s="22"/>
      <c r="C73" s="22"/>
      <c r="D73" s="21"/>
      <c r="E73" s="22"/>
      <c r="F73" s="22"/>
      <c r="G73" s="22"/>
      <c r="H73" s="24" t="str">
        <f aca="false">IF(OR(F73="",G73="",NOT(ISNUMBER(F73)),F73=0),"",G73/F73-1)</f>
        <v/>
      </c>
      <c r="I73" s="22"/>
    </row>
    <row r="74" customFormat="false" ht="15" hidden="false" customHeight="false" outlineLevel="0" collapsed="false">
      <c r="A74" s="22"/>
      <c r="B74" s="22"/>
      <c r="C74" s="22"/>
      <c r="D74" s="21"/>
      <c r="E74" s="22"/>
      <c r="F74" s="22"/>
      <c r="G74" s="22"/>
      <c r="H74" s="24" t="str">
        <f aca="false">IF(OR(F74="",G74="",NOT(ISNUMBER(F74)),F74=0),"",G74/F74-1)</f>
        <v/>
      </c>
      <c r="I74" s="22"/>
    </row>
    <row r="75" customFormat="false" ht="15" hidden="false" customHeight="false" outlineLevel="0" collapsed="false">
      <c r="A75" s="22"/>
      <c r="B75" s="22"/>
      <c r="C75" s="22"/>
      <c r="D75" s="21"/>
      <c r="E75" s="22"/>
      <c r="F75" s="22"/>
      <c r="G75" s="22"/>
      <c r="H75" s="24" t="str">
        <f aca="false">IF(OR(F75="",G75="",NOT(ISNUMBER(F75)),F75=0),"",G75/F75-1)</f>
        <v/>
      </c>
      <c r="I75" s="22"/>
    </row>
    <row r="76" customFormat="false" ht="15" hidden="false" customHeight="false" outlineLevel="0" collapsed="false">
      <c r="A76" s="22"/>
      <c r="B76" s="22"/>
      <c r="C76" s="22"/>
      <c r="D76" s="21"/>
      <c r="E76" s="22"/>
      <c r="F76" s="22"/>
      <c r="G76" s="22"/>
      <c r="H76" s="24" t="str">
        <f aca="false">IF(OR(F76="",G76="",NOT(ISNUMBER(F76)),F76=0),"",G76/F76-1)</f>
        <v/>
      </c>
      <c r="I76" s="22"/>
    </row>
    <row r="77" customFormat="false" ht="15" hidden="false" customHeight="false" outlineLevel="0" collapsed="false">
      <c r="A77" s="22"/>
      <c r="B77" s="22"/>
      <c r="C77" s="22"/>
      <c r="D77" s="21"/>
      <c r="E77" s="22"/>
      <c r="F77" s="22"/>
      <c r="G77" s="22"/>
      <c r="H77" s="24" t="str">
        <f aca="false">IF(OR(F77="",G77="",NOT(ISNUMBER(F77)),F77=0),"",G77/F77-1)</f>
        <v/>
      </c>
      <c r="I77" s="22"/>
    </row>
    <row r="78" customFormat="false" ht="15" hidden="false" customHeight="false" outlineLevel="0" collapsed="false">
      <c r="A78" s="22"/>
      <c r="B78" s="22"/>
      <c r="C78" s="22"/>
      <c r="D78" s="21"/>
      <c r="E78" s="22"/>
      <c r="F78" s="22"/>
      <c r="G78" s="22"/>
      <c r="H78" s="24" t="str">
        <f aca="false">IF(OR(F78="",G78="",NOT(ISNUMBER(F78)),F78=0),"",G78/F78-1)</f>
        <v/>
      </c>
      <c r="I78" s="22"/>
    </row>
    <row r="79" customFormat="false" ht="15" hidden="false" customHeight="false" outlineLevel="0" collapsed="false">
      <c r="A79" s="22"/>
      <c r="B79" s="22"/>
      <c r="C79" s="22"/>
      <c r="D79" s="21"/>
      <c r="E79" s="22"/>
      <c r="F79" s="22"/>
      <c r="G79" s="22"/>
      <c r="H79" s="24" t="str">
        <f aca="false">IF(OR(F79="",G79="",NOT(ISNUMBER(F79)),F79=0),"",G79/F79-1)</f>
        <v/>
      </c>
      <c r="I79" s="22"/>
    </row>
    <row r="80" customFormat="false" ht="15" hidden="false" customHeight="false" outlineLevel="0" collapsed="false">
      <c r="A80" s="22"/>
      <c r="B80" s="22"/>
      <c r="C80" s="22"/>
      <c r="D80" s="21"/>
      <c r="E80" s="22"/>
      <c r="F80" s="22"/>
      <c r="G80" s="22"/>
      <c r="H80" s="24" t="str">
        <f aca="false">IF(OR(F80="",G80="",NOT(ISNUMBER(F80)),F80=0),"",G80/F80-1)</f>
        <v/>
      </c>
      <c r="I80" s="22"/>
    </row>
    <row r="81" customFormat="false" ht="15" hidden="false" customHeight="false" outlineLevel="0" collapsed="false">
      <c r="A81" s="22"/>
      <c r="B81" s="22"/>
      <c r="C81" s="22"/>
      <c r="D81" s="21"/>
      <c r="E81" s="22"/>
      <c r="F81" s="22"/>
      <c r="G81" s="22"/>
      <c r="H81" s="24" t="str">
        <f aca="false">IF(OR(F81="",G81="",NOT(ISNUMBER(F81)),F81=0),"",G81/F81-1)</f>
        <v/>
      </c>
      <c r="I81" s="22"/>
    </row>
    <row r="82" customFormat="false" ht="15" hidden="false" customHeight="false" outlineLevel="0" collapsed="false">
      <c r="A82" s="22"/>
      <c r="B82" s="22"/>
      <c r="C82" s="22"/>
      <c r="D82" s="21"/>
      <c r="E82" s="22"/>
      <c r="F82" s="22"/>
      <c r="G82" s="22"/>
      <c r="H82" s="24" t="str">
        <f aca="false">IF(OR(F82="",G82="",NOT(ISNUMBER(F82)),F82=0),"",G82/F82-1)</f>
        <v/>
      </c>
      <c r="I82" s="22"/>
    </row>
    <row r="83" customFormat="false" ht="15" hidden="false" customHeight="false" outlineLevel="0" collapsed="false">
      <c r="A83" s="22"/>
      <c r="B83" s="22"/>
      <c r="C83" s="22"/>
      <c r="D83" s="21"/>
      <c r="E83" s="22"/>
      <c r="F83" s="22"/>
      <c r="G83" s="22"/>
      <c r="H83" s="24" t="str">
        <f aca="false">IF(OR(F83="",G83="",NOT(ISNUMBER(F83)),F83=0),"",G83/F83-1)</f>
        <v/>
      </c>
      <c r="I83" s="22"/>
    </row>
    <row r="84" customFormat="false" ht="15" hidden="false" customHeight="false" outlineLevel="0" collapsed="false">
      <c r="A84" s="22"/>
      <c r="B84" s="22"/>
      <c r="C84" s="22"/>
      <c r="D84" s="21"/>
      <c r="E84" s="22"/>
      <c r="F84" s="22"/>
      <c r="G84" s="22"/>
      <c r="H84" s="24" t="str">
        <f aca="false">IF(OR(F84="",G84="",NOT(ISNUMBER(F84)),F84=0),"",G84/F84-1)</f>
        <v/>
      </c>
      <c r="I84" s="22"/>
    </row>
    <row r="85" customFormat="false" ht="15" hidden="false" customHeight="false" outlineLevel="0" collapsed="false">
      <c r="A85" s="22"/>
      <c r="B85" s="22"/>
      <c r="C85" s="22"/>
      <c r="D85" s="21"/>
      <c r="E85" s="22"/>
      <c r="F85" s="22"/>
      <c r="G85" s="22"/>
      <c r="H85" s="24" t="str">
        <f aca="false">IF(OR(F85="",G85="",NOT(ISNUMBER(F85)),F85=0),"",G85/F85-1)</f>
        <v/>
      </c>
      <c r="I85" s="22"/>
    </row>
    <row r="86" customFormat="false" ht="15" hidden="false" customHeight="false" outlineLevel="0" collapsed="false">
      <c r="A86" s="22"/>
      <c r="B86" s="22"/>
      <c r="C86" s="22"/>
      <c r="D86" s="21"/>
      <c r="E86" s="22"/>
      <c r="F86" s="22"/>
      <c r="G86" s="22"/>
      <c r="H86" s="24" t="str">
        <f aca="false">IF(OR(F86="",G86="",NOT(ISNUMBER(F86)),F86=0),"",G86/F86-1)</f>
        <v/>
      </c>
      <c r="I86" s="22"/>
    </row>
    <row r="87" customFormat="false" ht="15" hidden="false" customHeight="false" outlineLevel="0" collapsed="false">
      <c r="A87" s="22"/>
      <c r="B87" s="22"/>
      <c r="C87" s="22"/>
      <c r="D87" s="21"/>
      <c r="E87" s="22"/>
      <c r="F87" s="22"/>
      <c r="G87" s="22"/>
      <c r="H87" s="24" t="str">
        <f aca="false">IF(OR(F87="",G87="",NOT(ISNUMBER(F87)),F87=0),"",G87/F87-1)</f>
        <v/>
      </c>
      <c r="I87" s="22"/>
    </row>
    <row r="88" customFormat="false" ht="15" hidden="false" customHeight="false" outlineLevel="0" collapsed="false">
      <c r="A88" s="22"/>
      <c r="B88" s="22"/>
      <c r="C88" s="22"/>
      <c r="D88" s="21"/>
      <c r="E88" s="22"/>
      <c r="F88" s="22"/>
      <c r="G88" s="22"/>
      <c r="H88" s="24" t="str">
        <f aca="false">IF(OR(F88="",G88="",NOT(ISNUMBER(F88)),F88=0),"",G88/F88-1)</f>
        <v/>
      </c>
      <c r="I88" s="22"/>
    </row>
    <row r="89" customFormat="false" ht="15" hidden="false" customHeight="false" outlineLevel="0" collapsed="false">
      <c r="A89" s="22"/>
      <c r="B89" s="22"/>
      <c r="C89" s="22"/>
      <c r="D89" s="21"/>
      <c r="E89" s="22"/>
      <c r="F89" s="22"/>
      <c r="G89" s="22"/>
      <c r="H89" s="24" t="str">
        <f aca="false">IF(OR(F89="",G89="",NOT(ISNUMBER(F89)),F89=0),"",G89/F89-1)</f>
        <v/>
      </c>
      <c r="I89" s="22"/>
    </row>
    <row r="90" customFormat="false" ht="15" hidden="false" customHeight="false" outlineLevel="0" collapsed="false">
      <c r="A90" s="22"/>
      <c r="B90" s="22"/>
      <c r="C90" s="22"/>
      <c r="D90" s="21"/>
      <c r="E90" s="22"/>
      <c r="F90" s="22"/>
      <c r="G90" s="22"/>
      <c r="H90" s="24" t="str">
        <f aca="false">IF(OR(F90="",G90="",NOT(ISNUMBER(F90)),F90=0),"",G90/F90-1)</f>
        <v/>
      </c>
      <c r="I90" s="22"/>
    </row>
    <row r="91" customFormat="false" ht="15" hidden="false" customHeight="false" outlineLevel="0" collapsed="false">
      <c r="A91" s="22"/>
      <c r="B91" s="22"/>
      <c r="C91" s="22"/>
      <c r="D91" s="21"/>
      <c r="E91" s="22"/>
      <c r="F91" s="22"/>
      <c r="G91" s="22"/>
      <c r="H91" s="24" t="str">
        <f aca="false">IF(OR(F91="",G91="",NOT(ISNUMBER(F91)),F91=0),"",G91/F91-1)</f>
        <v/>
      </c>
      <c r="I91" s="22"/>
    </row>
    <row r="92" customFormat="false" ht="15" hidden="false" customHeight="false" outlineLevel="0" collapsed="false">
      <c r="A92" s="22"/>
      <c r="B92" s="22"/>
      <c r="C92" s="22"/>
      <c r="D92" s="21"/>
      <c r="E92" s="22"/>
      <c r="F92" s="22"/>
      <c r="G92" s="22"/>
      <c r="H92" s="24" t="str">
        <f aca="false">IF(OR(F92="",G92="",NOT(ISNUMBER(F92)),F92=0),"",G92/F92-1)</f>
        <v/>
      </c>
      <c r="I92" s="22"/>
    </row>
    <row r="93" customFormat="false" ht="15" hidden="false" customHeight="false" outlineLevel="0" collapsed="false">
      <c r="A93" s="22"/>
      <c r="B93" s="22"/>
      <c r="C93" s="22"/>
      <c r="D93" s="21"/>
      <c r="E93" s="22"/>
      <c r="F93" s="22"/>
      <c r="G93" s="22"/>
      <c r="H93" s="24" t="str">
        <f aca="false">IF(OR(F93="",G93="",NOT(ISNUMBER(F93)),F93=0),"",G93/F93-1)</f>
        <v/>
      </c>
      <c r="I93" s="22"/>
    </row>
    <row r="94" customFormat="false" ht="15" hidden="false" customHeight="false" outlineLevel="0" collapsed="false">
      <c r="A94" s="22"/>
      <c r="B94" s="22"/>
      <c r="C94" s="22"/>
      <c r="D94" s="21"/>
      <c r="E94" s="22"/>
      <c r="F94" s="22"/>
      <c r="G94" s="22"/>
      <c r="H94" s="24" t="str">
        <f aca="false">IF(OR(F94="",G94="",NOT(ISNUMBER(F94)),F94=0),"",G94/F94-1)</f>
        <v/>
      </c>
      <c r="I94" s="22"/>
    </row>
    <row r="95" customFormat="false" ht="15" hidden="false" customHeight="false" outlineLevel="0" collapsed="false">
      <c r="A95" s="22"/>
      <c r="B95" s="22"/>
      <c r="C95" s="22"/>
      <c r="D95" s="21"/>
      <c r="E95" s="22"/>
      <c r="F95" s="22"/>
      <c r="G95" s="22"/>
      <c r="H95" s="24" t="str">
        <f aca="false">IF(OR(F95="",G95="",NOT(ISNUMBER(F95)),F95=0),"",G95/F95-1)</f>
        <v/>
      </c>
      <c r="I95" s="22"/>
    </row>
    <row r="96" customFormat="false" ht="15" hidden="false" customHeight="false" outlineLevel="0" collapsed="false">
      <c r="A96" s="22"/>
      <c r="B96" s="22"/>
      <c r="C96" s="22"/>
      <c r="D96" s="21"/>
      <c r="E96" s="22"/>
      <c r="F96" s="22"/>
      <c r="G96" s="22"/>
      <c r="H96" s="24" t="str">
        <f aca="false">IF(OR(F96="",G96="",NOT(ISNUMBER(F96)),F96=0),"",G96/F96-1)</f>
        <v/>
      </c>
      <c r="I96" s="22"/>
    </row>
    <row r="97" customFormat="false" ht="15" hidden="false" customHeight="false" outlineLevel="0" collapsed="false">
      <c r="A97" s="22"/>
      <c r="B97" s="22"/>
      <c r="C97" s="22"/>
      <c r="D97" s="21"/>
      <c r="E97" s="22"/>
      <c r="F97" s="22"/>
      <c r="G97" s="22"/>
      <c r="H97" s="24" t="str">
        <f aca="false">IF(OR(F97="",G97="",NOT(ISNUMBER(F97)),F97=0),"",G97/F97-1)</f>
        <v/>
      </c>
      <c r="I97" s="22"/>
    </row>
    <row r="98" customFormat="false" ht="15" hidden="false" customHeight="false" outlineLevel="0" collapsed="false">
      <c r="A98" s="22"/>
      <c r="B98" s="22"/>
      <c r="C98" s="22"/>
      <c r="D98" s="21"/>
      <c r="E98" s="22"/>
      <c r="F98" s="22"/>
      <c r="G98" s="22"/>
      <c r="H98" s="24" t="str">
        <f aca="false">IF(OR(F98="",G98="",NOT(ISNUMBER(F98)),F98=0),"",G98/F98-1)</f>
        <v/>
      </c>
      <c r="I98" s="22"/>
    </row>
    <row r="99" customFormat="false" ht="15" hidden="false" customHeight="false" outlineLevel="0" collapsed="false">
      <c r="A99" s="22"/>
      <c r="B99" s="22"/>
      <c r="C99" s="22"/>
      <c r="D99" s="21"/>
      <c r="E99" s="22"/>
      <c r="F99" s="22"/>
      <c r="G99" s="22"/>
      <c r="H99" s="24" t="str">
        <f aca="false">IF(OR(F99="",G99="",NOT(ISNUMBER(F99)),F99=0),"",G99/F99-1)</f>
        <v/>
      </c>
      <c r="I99" s="22"/>
    </row>
    <row r="100" customFormat="false" ht="15" hidden="false" customHeight="false" outlineLevel="0" collapsed="false">
      <c r="A100" s="22"/>
      <c r="B100" s="22"/>
      <c r="C100" s="22"/>
      <c r="D100" s="21"/>
      <c r="E100" s="22"/>
      <c r="F100" s="22"/>
      <c r="G100" s="22"/>
      <c r="H100" s="24" t="str">
        <f aca="false">IF(OR(F100="",G100="",NOT(ISNUMBER(F100)),F100=0),"",G100/F100-1)</f>
        <v/>
      </c>
      <c r="I100" s="22"/>
    </row>
    <row r="101" customFormat="false" ht="15" hidden="false" customHeight="false" outlineLevel="0" collapsed="false">
      <c r="A101" s="22"/>
      <c r="B101" s="22"/>
      <c r="C101" s="22"/>
      <c r="D101" s="21"/>
      <c r="E101" s="22"/>
      <c r="F101" s="22"/>
      <c r="G101" s="22"/>
      <c r="H101" s="24" t="str">
        <f aca="false">IF(OR(F101="",G101="",NOT(ISNUMBER(F101)),F101=0),"",G101/F101-1)</f>
        <v/>
      </c>
      <c r="I101" s="22"/>
    </row>
    <row r="102" customFormat="false" ht="15" hidden="false" customHeight="false" outlineLevel="0" collapsed="false">
      <c r="A102" s="22"/>
      <c r="B102" s="22"/>
      <c r="C102" s="22"/>
      <c r="D102" s="21"/>
      <c r="E102" s="22"/>
      <c r="F102" s="22"/>
      <c r="G102" s="22"/>
      <c r="H102" s="24" t="str">
        <f aca="false">IF(OR(F102="",G102="",NOT(ISNUMBER(F102)),F102=0),"",G102/F102-1)</f>
        <v/>
      </c>
      <c r="I102" s="22"/>
    </row>
    <row r="103" customFormat="false" ht="15" hidden="false" customHeight="false" outlineLevel="0" collapsed="false">
      <c r="A103" s="22"/>
      <c r="B103" s="22"/>
      <c r="C103" s="22"/>
      <c r="D103" s="21"/>
      <c r="E103" s="22"/>
      <c r="F103" s="22"/>
      <c r="G103" s="22"/>
      <c r="H103" s="24" t="str">
        <f aca="false">IF(OR(F103="",G103="",NOT(ISNUMBER(F103)),F103=0),"",G103/F103-1)</f>
        <v/>
      </c>
      <c r="I103" s="22"/>
    </row>
    <row r="104" customFormat="false" ht="15" hidden="false" customHeight="false" outlineLevel="0" collapsed="false">
      <c r="A104" s="22"/>
      <c r="B104" s="22"/>
      <c r="C104" s="22"/>
      <c r="D104" s="21"/>
      <c r="E104" s="22"/>
      <c r="F104" s="22"/>
      <c r="G104" s="22"/>
      <c r="H104" s="24" t="str">
        <f aca="false">IF(OR(F104="",G104="",NOT(ISNUMBER(F104)),F104=0),"",G104/F104-1)</f>
        <v/>
      </c>
      <c r="I104" s="22"/>
    </row>
    <row r="105" customFormat="false" ht="15" hidden="false" customHeight="false" outlineLevel="0" collapsed="false">
      <c r="A105" s="22"/>
      <c r="B105" s="22"/>
      <c r="C105" s="22"/>
      <c r="D105" s="21"/>
      <c r="E105" s="22"/>
      <c r="F105" s="22"/>
      <c r="G105" s="22"/>
      <c r="H105" s="24" t="str">
        <f aca="false">IF(OR(F105="",G105="",NOT(ISNUMBER(F105)),F105=0),"",G105/F105-1)</f>
        <v/>
      </c>
      <c r="I105" s="22"/>
    </row>
    <row r="106" customFormat="false" ht="15" hidden="false" customHeight="false" outlineLevel="0" collapsed="false">
      <c r="A106" s="22"/>
      <c r="B106" s="22"/>
      <c r="C106" s="22"/>
      <c r="D106" s="21"/>
      <c r="E106" s="22"/>
      <c r="F106" s="22"/>
      <c r="G106" s="22"/>
      <c r="H106" s="24" t="str">
        <f aca="false">IF(OR(F106="",G106="",NOT(ISNUMBER(F106)),F106=0),"",G106/F106-1)</f>
        <v/>
      </c>
      <c r="I106" s="22"/>
    </row>
    <row r="107" customFormat="false" ht="15" hidden="false" customHeight="false" outlineLevel="0" collapsed="false">
      <c r="A107" s="22"/>
      <c r="B107" s="22"/>
      <c r="C107" s="22"/>
      <c r="D107" s="21"/>
      <c r="E107" s="22"/>
      <c r="F107" s="22"/>
      <c r="G107" s="22"/>
      <c r="H107" s="24" t="str">
        <f aca="false">IF(OR(F107="",G107="",NOT(ISNUMBER(F107)),F107=0),"",G107/F107-1)</f>
        <v/>
      </c>
      <c r="I107" s="22"/>
    </row>
    <row r="108" customFormat="false" ht="15" hidden="false" customHeight="false" outlineLevel="0" collapsed="false">
      <c r="A108" s="22"/>
      <c r="B108" s="22"/>
      <c r="C108" s="22"/>
      <c r="D108" s="21"/>
      <c r="E108" s="22"/>
      <c r="F108" s="22"/>
      <c r="G108" s="22"/>
      <c r="H108" s="24" t="str">
        <f aca="false">IF(OR(F108="",G108="",NOT(ISNUMBER(F108)),F108=0),"",G108/F108-1)</f>
        <v/>
      </c>
      <c r="I108" s="22"/>
    </row>
    <row r="109" customFormat="false" ht="15" hidden="false" customHeight="false" outlineLevel="0" collapsed="false">
      <c r="A109" s="22"/>
      <c r="B109" s="22"/>
      <c r="C109" s="22"/>
      <c r="D109" s="21"/>
      <c r="E109" s="22"/>
      <c r="F109" s="22"/>
      <c r="G109" s="22"/>
      <c r="H109" s="24" t="str">
        <f aca="false">IF(OR(F109="",G109="",NOT(ISNUMBER(F109)),F109=0),"",G109/F109-1)</f>
        <v/>
      </c>
      <c r="I109" s="22"/>
    </row>
    <row r="110" customFormat="false" ht="15" hidden="false" customHeight="false" outlineLevel="0" collapsed="false">
      <c r="A110" s="22"/>
      <c r="B110" s="22"/>
      <c r="C110" s="22"/>
      <c r="D110" s="21"/>
      <c r="E110" s="22"/>
      <c r="F110" s="22"/>
      <c r="G110" s="22"/>
      <c r="H110" s="24" t="str">
        <f aca="false">IF(OR(F110="",G110="",NOT(ISNUMBER(F110)),F110=0),"",G110/F110-1)</f>
        <v/>
      </c>
      <c r="I110" s="22"/>
    </row>
    <row r="111" customFormat="false" ht="15" hidden="false" customHeight="false" outlineLevel="0" collapsed="false">
      <c r="A111" s="22"/>
      <c r="B111" s="22"/>
      <c r="C111" s="22"/>
      <c r="D111" s="21"/>
      <c r="E111" s="22"/>
      <c r="F111" s="22"/>
      <c r="G111" s="22"/>
      <c r="H111" s="24" t="str">
        <f aca="false">IF(OR(F111="",G111="",NOT(ISNUMBER(F111)),F111=0),"",G111/F111-1)</f>
        <v/>
      </c>
      <c r="I111" s="22"/>
    </row>
    <row r="112" customFormat="false" ht="15" hidden="false" customHeight="false" outlineLevel="0" collapsed="false">
      <c r="A112" s="22"/>
      <c r="B112" s="22"/>
      <c r="C112" s="22"/>
      <c r="D112" s="21"/>
      <c r="E112" s="22"/>
      <c r="F112" s="22"/>
      <c r="G112" s="22"/>
      <c r="H112" s="24" t="str">
        <f aca="false">IF(OR(F112="",G112="",NOT(ISNUMBER(F112)),F112=0),"",G112/F112-1)</f>
        <v/>
      </c>
      <c r="I112" s="22"/>
    </row>
    <row r="113" customFormat="false" ht="15" hidden="false" customHeight="false" outlineLevel="0" collapsed="false">
      <c r="A113" s="22"/>
      <c r="B113" s="22"/>
      <c r="C113" s="22"/>
      <c r="D113" s="21"/>
      <c r="E113" s="22"/>
      <c r="F113" s="22"/>
      <c r="G113" s="22"/>
      <c r="H113" s="24" t="str">
        <f aca="false">IF(OR(F113="",G113="",NOT(ISNUMBER(F113)),F113=0),"",G113/F113-1)</f>
        <v/>
      </c>
      <c r="I113" s="22"/>
    </row>
    <row r="114" customFormat="false" ht="15" hidden="false" customHeight="false" outlineLevel="0" collapsed="false">
      <c r="A114" s="22"/>
      <c r="B114" s="22"/>
      <c r="C114" s="22"/>
      <c r="D114" s="21"/>
      <c r="E114" s="22"/>
      <c r="F114" s="22"/>
      <c r="G114" s="22"/>
      <c r="H114" s="24" t="str">
        <f aca="false">IF(OR(F114="",G114="",NOT(ISNUMBER(F114)),F114=0),"",G114/F114-1)</f>
        <v/>
      </c>
      <c r="I114" s="22"/>
    </row>
    <row r="115" customFormat="false" ht="15" hidden="false" customHeight="false" outlineLevel="0" collapsed="false">
      <c r="A115" s="22"/>
      <c r="B115" s="22"/>
      <c r="C115" s="22"/>
      <c r="D115" s="21"/>
      <c r="E115" s="22"/>
      <c r="F115" s="22"/>
      <c r="G115" s="22"/>
      <c r="H115" s="24" t="str">
        <f aca="false">IF(OR(F115="",G115="",NOT(ISNUMBER(F115)),F115=0),"",G115/F115-1)</f>
        <v/>
      </c>
      <c r="I115" s="22"/>
    </row>
    <row r="116" customFormat="false" ht="15" hidden="false" customHeight="false" outlineLevel="0" collapsed="false">
      <c r="A116" s="22"/>
      <c r="B116" s="22"/>
      <c r="C116" s="22"/>
      <c r="D116" s="21"/>
      <c r="E116" s="22"/>
      <c r="F116" s="22"/>
      <c r="G116" s="22"/>
      <c r="H116" s="24" t="str">
        <f aca="false">IF(OR(F116="",G116="",NOT(ISNUMBER(F116)),F116=0),"",G116/F116-1)</f>
        <v/>
      </c>
      <c r="I116" s="22"/>
    </row>
    <row r="117" customFormat="false" ht="15" hidden="false" customHeight="false" outlineLevel="0" collapsed="false">
      <c r="A117" s="22"/>
      <c r="B117" s="22"/>
      <c r="C117" s="22"/>
      <c r="D117" s="21"/>
      <c r="E117" s="22"/>
      <c r="F117" s="22"/>
      <c r="G117" s="22"/>
      <c r="H117" s="24" t="str">
        <f aca="false">IF(OR(F117="",G117="",NOT(ISNUMBER(F117)),F117=0),"",G117/F117-1)</f>
        <v/>
      </c>
      <c r="I117" s="22"/>
    </row>
    <row r="118" customFormat="false" ht="15" hidden="false" customHeight="false" outlineLevel="0" collapsed="false">
      <c r="A118" s="22"/>
      <c r="B118" s="22"/>
      <c r="C118" s="22"/>
      <c r="D118" s="21"/>
      <c r="E118" s="22"/>
      <c r="F118" s="22"/>
      <c r="G118" s="22"/>
      <c r="H118" s="24" t="str">
        <f aca="false">IF(OR(F118="",G118="",NOT(ISNUMBER(F118)),F118=0),"",G118/F118-1)</f>
        <v/>
      </c>
      <c r="I118" s="22"/>
    </row>
    <row r="119" customFormat="false" ht="15" hidden="false" customHeight="false" outlineLevel="0" collapsed="false">
      <c r="A119" s="22"/>
      <c r="B119" s="22"/>
      <c r="C119" s="22"/>
      <c r="D119" s="21"/>
      <c r="E119" s="22"/>
      <c r="F119" s="22"/>
      <c r="G119" s="22"/>
      <c r="H119" s="24" t="str">
        <f aca="false">IF(OR(F119="",G119="",NOT(ISNUMBER(F119)),F119=0),"",G119/F119-1)</f>
        <v/>
      </c>
      <c r="I119" s="22"/>
    </row>
    <row r="120" customFormat="false" ht="15" hidden="false" customHeight="false" outlineLevel="0" collapsed="false">
      <c r="A120" s="22"/>
      <c r="B120" s="22"/>
      <c r="C120" s="22"/>
      <c r="D120" s="21"/>
      <c r="E120" s="22"/>
      <c r="F120" s="22"/>
      <c r="G120" s="22"/>
      <c r="H120" s="24" t="str">
        <f aca="false">IF(OR(F120="",G120="",NOT(ISNUMBER(F120)),F120=0),"",G120/F120-1)</f>
        <v/>
      </c>
      <c r="I120" s="22"/>
    </row>
    <row r="121" customFormat="false" ht="15" hidden="false" customHeight="false" outlineLevel="0" collapsed="false">
      <c r="A121" s="22"/>
      <c r="B121" s="22"/>
      <c r="C121" s="22"/>
      <c r="D121" s="21"/>
      <c r="E121" s="22"/>
      <c r="F121" s="22"/>
      <c r="G121" s="22"/>
      <c r="H121" s="24" t="str">
        <f aca="false">IF(OR(F121="",G121="",NOT(ISNUMBER(F121)),F121=0),"",G121/F121-1)</f>
        <v/>
      </c>
      <c r="I121" s="22"/>
    </row>
    <row r="122" customFormat="false" ht="15" hidden="false" customHeight="false" outlineLevel="0" collapsed="false">
      <c r="A122" s="22"/>
      <c r="B122" s="22"/>
      <c r="C122" s="22"/>
      <c r="D122" s="21"/>
      <c r="E122" s="22"/>
      <c r="F122" s="22"/>
      <c r="G122" s="22"/>
      <c r="H122" s="24" t="str">
        <f aca="false">IF(OR(F122="",G122="",NOT(ISNUMBER(F122)),F122=0),"",G122/F122-1)</f>
        <v/>
      </c>
      <c r="I122" s="22"/>
    </row>
    <row r="123" customFormat="false" ht="15" hidden="false" customHeight="false" outlineLevel="0" collapsed="false">
      <c r="A123" s="22"/>
      <c r="B123" s="22"/>
      <c r="C123" s="22"/>
      <c r="D123" s="21"/>
      <c r="E123" s="22"/>
      <c r="F123" s="22"/>
      <c r="G123" s="22"/>
      <c r="H123" s="24" t="str">
        <f aca="false">IF(OR(F123="",G123="",NOT(ISNUMBER(F123)),F123=0),"",G123/F123-1)</f>
        <v/>
      </c>
      <c r="I123" s="22"/>
    </row>
    <row r="124" customFormat="false" ht="15" hidden="false" customHeight="false" outlineLevel="0" collapsed="false">
      <c r="A124" s="22"/>
      <c r="B124" s="22"/>
      <c r="C124" s="22"/>
      <c r="D124" s="21"/>
      <c r="E124" s="22"/>
      <c r="F124" s="22"/>
      <c r="G124" s="22"/>
      <c r="H124" s="24" t="str">
        <f aca="false">IF(OR(F124="",G124="",NOT(ISNUMBER(F124)),F124=0),"",G124/F124-1)</f>
        <v/>
      </c>
      <c r="I124" s="22"/>
    </row>
    <row r="125" customFormat="false" ht="15" hidden="false" customHeight="false" outlineLevel="0" collapsed="false">
      <c r="A125" s="22"/>
      <c r="B125" s="22"/>
      <c r="C125" s="22"/>
      <c r="D125" s="21"/>
      <c r="E125" s="22"/>
      <c r="F125" s="22"/>
      <c r="G125" s="22"/>
      <c r="H125" s="24" t="str">
        <f aca="false">IF(OR(F125="",G125="",NOT(ISNUMBER(F125)),F125=0),"",G125/F125-1)</f>
        <v/>
      </c>
      <c r="I125" s="22"/>
    </row>
    <row r="126" customFormat="false" ht="15" hidden="false" customHeight="false" outlineLevel="0" collapsed="false">
      <c r="A126" s="22"/>
      <c r="B126" s="22"/>
      <c r="C126" s="22"/>
      <c r="D126" s="21"/>
      <c r="E126" s="22"/>
      <c r="F126" s="22"/>
      <c r="G126" s="22"/>
      <c r="H126" s="24" t="str">
        <f aca="false">IF(OR(F126="",G126="",NOT(ISNUMBER(F126)),F126=0),"",G126/F126-1)</f>
        <v/>
      </c>
      <c r="I126" s="22"/>
    </row>
    <row r="127" customFormat="false" ht="15" hidden="false" customHeight="false" outlineLevel="0" collapsed="false">
      <c r="A127" s="22"/>
      <c r="B127" s="22"/>
      <c r="C127" s="22"/>
      <c r="D127" s="21"/>
      <c r="E127" s="22"/>
      <c r="F127" s="22"/>
      <c r="G127" s="22"/>
      <c r="H127" s="24" t="str">
        <f aca="false">IF(OR(F127="",G127="",NOT(ISNUMBER(F127)),F127=0),"",G127/F127-1)</f>
        <v/>
      </c>
      <c r="I127" s="22"/>
    </row>
    <row r="128" customFormat="false" ht="15" hidden="false" customHeight="false" outlineLevel="0" collapsed="false">
      <c r="A128" s="22"/>
      <c r="B128" s="22"/>
      <c r="C128" s="22"/>
      <c r="D128" s="21"/>
      <c r="E128" s="22"/>
      <c r="F128" s="22"/>
      <c r="G128" s="22"/>
      <c r="H128" s="24" t="str">
        <f aca="false">IF(OR(F128="",G128="",NOT(ISNUMBER(F128)),F128=0),"",G128/F128-1)</f>
        <v/>
      </c>
      <c r="I128" s="22"/>
    </row>
    <row r="129" customFormat="false" ht="15" hidden="false" customHeight="false" outlineLevel="0" collapsed="false">
      <c r="A129" s="22"/>
      <c r="B129" s="22"/>
      <c r="C129" s="22"/>
      <c r="D129" s="21"/>
      <c r="E129" s="22"/>
      <c r="F129" s="22"/>
      <c r="G129" s="22"/>
      <c r="H129" s="24" t="str">
        <f aca="false">IF(OR(F129="",G129="",NOT(ISNUMBER(F129)),F129=0),"",G129/F129-1)</f>
        <v/>
      </c>
      <c r="I129" s="22"/>
    </row>
    <row r="130" customFormat="false" ht="15" hidden="false" customHeight="false" outlineLevel="0" collapsed="false">
      <c r="A130" s="22"/>
      <c r="B130" s="22"/>
      <c r="C130" s="22"/>
      <c r="D130" s="21"/>
      <c r="E130" s="22"/>
      <c r="F130" s="22"/>
      <c r="G130" s="22"/>
      <c r="H130" s="24" t="str">
        <f aca="false">IF(OR(F130="",G130="",NOT(ISNUMBER(F130)),F130=0),"",G130/F130-1)</f>
        <v/>
      </c>
      <c r="I130" s="22"/>
    </row>
    <row r="131" customFormat="false" ht="15" hidden="false" customHeight="false" outlineLevel="0" collapsed="false">
      <c r="A131" s="22"/>
      <c r="B131" s="22"/>
      <c r="C131" s="22"/>
      <c r="D131" s="21"/>
      <c r="E131" s="22"/>
      <c r="F131" s="22"/>
      <c r="G131" s="22"/>
      <c r="H131" s="24" t="str">
        <f aca="false">IF(OR(F131="",G131="",NOT(ISNUMBER(F131)),F131=0),"",G131/F131-1)</f>
        <v/>
      </c>
      <c r="I131" s="22"/>
    </row>
    <row r="132" customFormat="false" ht="15" hidden="false" customHeight="false" outlineLevel="0" collapsed="false">
      <c r="A132" s="22"/>
      <c r="B132" s="22"/>
      <c r="C132" s="22"/>
      <c r="D132" s="21"/>
      <c r="E132" s="22"/>
      <c r="F132" s="22"/>
      <c r="G132" s="22"/>
      <c r="H132" s="24" t="str">
        <f aca="false">IF(OR(F132="",G132="",NOT(ISNUMBER(F132)),F132=0),"",G132/F132-1)</f>
        <v/>
      </c>
      <c r="I132" s="22"/>
    </row>
    <row r="133" customFormat="false" ht="15" hidden="false" customHeight="false" outlineLevel="0" collapsed="false">
      <c r="A133" s="22"/>
      <c r="B133" s="22"/>
      <c r="C133" s="22"/>
      <c r="D133" s="21"/>
      <c r="E133" s="22"/>
      <c r="F133" s="22"/>
      <c r="G133" s="22"/>
      <c r="H133" s="24" t="str">
        <f aca="false">IF(OR(F133="",G133="",NOT(ISNUMBER(F133)),F133=0),"",G133/F133-1)</f>
        <v/>
      </c>
      <c r="I133" s="22"/>
    </row>
    <row r="134" customFormat="false" ht="15" hidden="false" customHeight="false" outlineLevel="0" collapsed="false">
      <c r="A134" s="22"/>
      <c r="B134" s="22"/>
      <c r="C134" s="22"/>
      <c r="D134" s="21"/>
      <c r="E134" s="22"/>
      <c r="F134" s="22"/>
      <c r="G134" s="22"/>
      <c r="H134" s="24" t="str">
        <f aca="false">IF(OR(F134="",G134="",NOT(ISNUMBER(F134)),F134=0),"",G134/F134-1)</f>
        <v/>
      </c>
      <c r="I134" s="22"/>
    </row>
    <row r="135" customFormat="false" ht="15" hidden="false" customHeight="false" outlineLevel="0" collapsed="false">
      <c r="A135" s="22"/>
      <c r="B135" s="22"/>
      <c r="C135" s="22"/>
      <c r="D135" s="21"/>
      <c r="E135" s="22"/>
      <c r="F135" s="22"/>
      <c r="G135" s="22"/>
      <c r="H135" s="24" t="str">
        <f aca="false">IF(OR(F135="",G135="",NOT(ISNUMBER(F135)),F135=0),"",G135/F135-1)</f>
        <v/>
      </c>
      <c r="I135" s="22"/>
    </row>
    <row r="136" customFormat="false" ht="15" hidden="false" customHeight="false" outlineLevel="0" collapsed="false">
      <c r="A136" s="22"/>
      <c r="B136" s="22"/>
      <c r="C136" s="22"/>
      <c r="D136" s="21"/>
      <c r="E136" s="22"/>
      <c r="F136" s="22"/>
      <c r="G136" s="22"/>
      <c r="H136" s="24" t="str">
        <f aca="false">IF(OR(F136="",G136="",NOT(ISNUMBER(F136)),F136=0),"",G136/F136-1)</f>
        <v/>
      </c>
      <c r="I136" s="22"/>
    </row>
    <row r="137" customFormat="false" ht="15" hidden="false" customHeight="false" outlineLevel="0" collapsed="false">
      <c r="A137" s="22"/>
      <c r="B137" s="22"/>
      <c r="C137" s="22"/>
      <c r="D137" s="21"/>
      <c r="E137" s="22"/>
      <c r="F137" s="22"/>
      <c r="G137" s="22"/>
      <c r="H137" s="24" t="str">
        <f aca="false">IF(OR(F137="",G137="",NOT(ISNUMBER(F137)),F137=0),"",G137/F137-1)</f>
        <v/>
      </c>
      <c r="I137" s="22"/>
    </row>
    <row r="138" customFormat="false" ht="15" hidden="false" customHeight="false" outlineLevel="0" collapsed="false">
      <c r="A138" s="22"/>
      <c r="B138" s="22"/>
      <c r="C138" s="22"/>
      <c r="D138" s="21"/>
      <c r="E138" s="22"/>
      <c r="F138" s="22"/>
      <c r="G138" s="22"/>
      <c r="H138" s="24" t="str">
        <f aca="false">IF(OR(F138="",G138="",NOT(ISNUMBER(F138)),F138=0),"",G138/F138-1)</f>
        <v/>
      </c>
      <c r="I138" s="22"/>
    </row>
    <row r="139" customFormat="false" ht="15" hidden="false" customHeight="false" outlineLevel="0" collapsed="false">
      <c r="A139" s="22"/>
      <c r="B139" s="22"/>
      <c r="C139" s="22"/>
      <c r="D139" s="21"/>
      <c r="E139" s="22"/>
      <c r="F139" s="22"/>
      <c r="G139" s="22"/>
      <c r="H139" s="24" t="str">
        <f aca="false">IF(OR(F139="",G139="",NOT(ISNUMBER(F139)),F139=0),"",G139/F139-1)</f>
        <v/>
      </c>
      <c r="I139" s="22"/>
    </row>
    <row r="140" customFormat="false" ht="15" hidden="false" customHeight="false" outlineLevel="0" collapsed="false">
      <c r="A140" s="22"/>
      <c r="B140" s="22"/>
      <c r="C140" s="22"/>
      <c r="D140" s="21"/>
      <c r="E140" s="22"/>
      <c r="F140" s="22"/>
      <c r="G140" s="22"/>
      <c r="H140" s="24" t="str">
        <f aca="false">IF(OR(F140="",G140="",NOT(ISNUMBER(F140)),F140=0),"",G140/F140-1)</f>
        <v/>
      </c>
      <c r="I140" s="22"/>
    </row>
    <row r="141" customFormat="false" ht="15" hidden="false" customHeight="false" outlineLevel="0" collapsed="false">
      <c r="A141" s="22"/>
      <c r="B141" s="22"/>
      <c r="C141" s="22"/>
      <c r="D141" s="21"/>
      <c r="E141" s="22"/>
      <c r="F141" s="22"/>
      <c r="G141" s="22"/>
      <c r="H141" s="24" t="str">
        <f aca="false">IF(OR(F141="",G141="",NOT(ISNUMBER(F141)),F141=0),"",G141/F141-1)</f>
        <v/>
      </c>
      <c r="I141" s="22"/>
    </row>
    <row r="142" customFormat="false" ht="15" hidden="false" customHeight="false" outlineLevel="0" collapsed="false">
      <c r="A142" s="22"/>
      <c r="B142" s="22"/>
      <c r="C142" s="22"/>
      <c r="D142" s="21"/>
      <c r="E142" s="22"/>
      <c r="F142" s="22"/>
      <c r="G142" s="22"/>
      <c r="H142" s="24" t="str">
        <f aca="false">IF(OR(F142="",G142="",NOT(ISNUMBER(F142)),F142=0),"",G142/F142-1)</f>
        <v/>
      </c>
      <c r="I142" s="22"/>
    </row>
    <row r="143" customFormat="false" ht="15" hidden="false" customHeight="false" outlineLevel="0" collapsed="false">
      <c r="A143" s="22"/>
      <c r="B143" s="22"/>
      <c r="C143" s="22"/>
      <c r="D143" s="21"/>
      <c r="E143" s="22"/>
      <c r="F143" s="22"/>
      <c r="G143" s="22"/>
      <c r="H143" s="24" t="str">
        <f aca="false">IF(OR(F143="",G143="",NOT(ISNUMBER(F143)),F143=0),"",G143/F143-1)</f>
        <v/>
      </c>
      <c r="I143" s="22"/>
    </row>
    <row r="144" customFormat="false" ht="15" hidden="false" customHeight="false" outlineLevel="0" collapsed="false">
      <c r="A144" s="22"/>
      <c r="B144" s="22"/>
      <c r="C144" s="22"/>
      <c r="D144" s="21"/>
      <c r="E144" s="22"/>
      <c r="F144" s="22"/>
      <c r="G144" s="22"/>
      <c r="H144" s="24" t="str">
        <f aca="false">IF(OR(F144="",G144="",NOT(ISNUMBER(F144)),F144=0),"",G144/F144-1)</f>
        <v/>
      </c>
      <c r="I144" s="22"/>
    </row>
    <row r="145" customFormat="false" ht="15" hidden="false" customHeight="false" outlineLevel="0" collapsed="false">
      <c r="A145" s="22"/>
      <c r="B145" s="22"/>
      <c r="C145" s="22"/>
      <c r="D145" s="21"/>
      <c r="E145" s="22"/>
      <c r="F145" s="22"/>
      <c r="G145" s="22"/>
      <c r="H145" s="24" t="str">
        <f aca="false">IF(OR(F145="",G145="",NOT(ISNUMBER(F145)),F145=0),"",G145/F145-1)</f>
        <v/>
      </c>
      <c r="I145" s="22"/>
    </row>
    <row r="146" customFormat="false" ht="15" hidden="false" customHeight="false" outlineLevel="0" collapsed="false">
      <c r="A146" s="22"/>
      <c r="B146" s="22"/>
      <c r="C146" s="22"/>
      <c r="D146" s="21"/>
      <c r="E146" s="22"/>
      <c r="F146" s="22"/>
      <c r="G146" s="22"/>
      <c r="H146" s="24" t="str">
        <f aca="false">IF(OR(F146="",G146="",NOT(ISNUMBER(F146)),F146=0),"",G146/F146-1)</f>
        <v/>
      </c>
      <c r="I146" s="22"/>
    </row>
    <row r="147" customFormat="false" ht="15" hidden="false" customHeight="false" outlineLevel="0" collapsed="false">
      <c r="A147" s="22"/>
      <c r="B147" s="22"/>
      <c r="C147" s="22"/>
      <c r="D147" s="21"/>
      <c r="E147" s="22"/>
      <c r="F147" s="22"/>
      <c r="G147" s="22"/>
      <c r="H147" s="24" t="str">
        <f aca="false">IF(OR(F147="",G147="",NOT(ISNUMBER(F147)),F147=0),"",G147/F147-1)</f>
        <v/>
      </c>
      <c r="I147" s="22"/>
    </row>
    <row r="148" customFormat="false" ht="15" hidden="false" customHeight="false" outlineLevel="0" collapsed="false">
      <c r="A148" s="22"/>
      <c r="B148" s="22"/>
      <c r="C148" s="22"/>
      <c r="D148" s="21"/>
      <c r="E148" s="22"/>
      <c r="F148" s="22"/>
      <c r="G148" s="22"/>
      <c r="H148" s="24" t="str">
        <f aca="false">IF(OR(F148="",G148="",NOT(ISNUMBER(F148)),F148=0),"",G148/F148-1)</f>
        <v/>
      </c>
      <c r="I148" s="22"/>
    </row>
    <row r="149" customFormat="false" ht="15" hidden="false" customHeight="false" outlineLevel="0" collapsed="false">
      <c r="A149" s="22"/>
      <c r="B149" s="22"/>
      <c r="C149" s="22"/>
      <c r="D149" s="21"/>
      <c r="E149" s="22"/>
      <c r="F149" s="22"/>
      <c r="G149" s="22"/>
      <c r="H149" s="24" t="str">
        <f aca="false">IF(OR(F149="",G149="",NOT(ISNUMBER(F149)),F149=0),"",G149/F149-1)</f>
        <v/>
      </c>
      <c r="I149" s="22"/>
    </row>
    <row r="150" customFormat="false" ht="15" hidden="false" customHeight="false" outlineLevel="0" collapsed="false">
      <c r="A150" s="22"/>
      <c r="B150" s="22"/>
      <c r="C150" s="22"/>
      <c r="D150" s="21"/>
      <c r="E150" s="22"/>
      <c r="F150" s="22"/>
      <c r="G150" s="22"/>
      <c r="H150" s="24" t="str">
        <f aca="false">IF(OR(F150="",G150="",NOT(ISNUMBER(F150)),F150=0),"",G150/F150-1)</f>
        <v/>
      </c>
      <c r="I150" s="22"/>
    </row>
    <row r="151" customFormat="false" ht="15" hidden="false" customHeight="false" outlineLevel="0" collapsed="false">
      <c r="A151" s="22"/>
      <c r="B151" s="22"/>
      <c r="C151" s="22"/>
      <c r="D151" s="21"/>
      <c r="E151" s="22"/>
      <c r="F151" s="22"/>
      <c r="G151" s="22"/>
      <c r="H151" s="24" t="str">
        <f aca="false">IF(OR(F151="",G151="",NOT(ISNUMBER(F151)),F151=0),"",G151/F151-1)</f>
        <v/>
      </c>
      <c r="I151" s="22"/>
    </row>
    <row r="152" customFormat="false" ht="15" hidden="false" customHeight="false" outlineLevel="0" collapsed="false">
      <c r="A152" s="22"/>
      <c r="B152" s="22"/>
      <c r="C152" s="22"/>
      <c r="D152" s="21"/>
      <c r="E152" s="22"/>
      <c r="F152" s="22"/>
      <c r="G152" s="22"/>
      <c r="H152" s="24" t="str">
        <f aca="false">IF(OR(F152="",G152="",NOT(ISNUMBER(F152)),F152=0),"",G152/F152-1)</f>
        <v/>
      </c>
      <c r="I152" s="22"/>
    </row>
    <row r="153" customFormat="false" ht="15" hidden="false" customHeight="false" outlineLevel="0" collapsed="false">
      <c r="A153" s="22"/>
      <c r="B153" s="22"/>
      <c r="C153" s="22"/>
      <c r="D153" s="21"/>
      <c r="E153" s="22"/>
      <c r="F153" s="22"/>
      <c r="G153" s="22"/>
      <c r="H153" s="24" t="str">
        <f aca="false">IF(OR(F153="",G153="",NOT(ISNUMBER(F153)),F153=0),"",G153/F153-1)</f>
        <v/>
      </c>
      <c r="I153" s="22"/>
    </row>
    <row r="154" customFormat="false" ht="15" hidden="false" customHeight="false" outlineLevel="0" collapsed="false">
      <c r="A154" s="22"/>
      <c r="B154" s="22"/>
      <c r="C154" s="22"/>
      <c r="D154" s="21"/>
      <c r="E154" s="22"/>
      <c r="F154" s="22"/>
      <c r="G154" s="22"/>
      <c r="H154" s="24" t="str">
        <f aca="false">IF(OR(F154="",G154="",NOT(ISNUMBER(F154)),F154=0),"",G154/F154-1)</f>
        <v/>
      </c>
      <c r="I154" s="22"/>
    </row>
    <row r="155" customFormat="false" ht="15" hidden="false" customHeight="false" outlineLevel="0" collapsed="false">
      <c r="A155" s="22"/>
      <c r="B155" s="22"/>
      <c r="C155" s="22"/>
      <c r="D155" s="21"/>
      <c r="E155" s="22"/>
      <c r="F155" s="22"/>
      <c r="G155" s="22"/>
      <c r="H155" s="24" t="str">
        <f aca="false">IF(OR(F155="",G155="",NOT(ISNUMBER(F155)),F155=0),"",G155/F155-1)</f>
        <v/>
      </c>
      <c r="I155" s="22"/>
    </row>
    <row r="156" customFormat="false" ht="15" hidden="false" customHeight="false" outlineLevel="0" collapsed="false">
      <c r="A156" s="22"/>
      <c r="B156" s="22"/>
      <c r="C156" s="22"/>
      <c r="D156" s="21"/>
      <c r="E156" s="22"/>
      <c r="F156" s="22"/>
      <c r="G156" s="22"/>
      <c r="H156" s="24" t="str">
        <f aca="false">IF(OR(F156="",G156="",NOT(ISNUMBER(F156)),F156=0),"",G156/F156-1)</f>
        <v/>
      </c>
      <c r="I156" s="22"/>
    </row>
    <row r="157" customFormat="false" ht="15" hidden="false" customHeight="false" outlineLevel="0" collapsed="false">
      <c r="A157" s="22"/>
      <c r="B157" s="22"/>
      <c r="C157" s="22"/>
      <c r="D157" s="21"/>
      <c r="E157" s="22"/>
      <c r="F157" s="22"/>
      <c r="G157" s="22"/>
      <c r="H157" s="24" t="str">
        <f aca="false">IF(OR(F157="",G157="",NOT(ISNUMBER(F157)),F157=0),"",G157/F157-1)</f>
        <v/>
      </c>
      <c r="I157" s="22"/>
    </row>
    <row r="158" customFormat="false" ht="15" hidden="false" customHeight="false" outlineLevel="0" collapsed="false">
      <c r="A158" s="22"/>
      <c r="B158" s="22"/>
      <c r="C158" s="22"/>
      <c r="D158" s="21"/>
      <c r="E158" s="22"/>
      <c r="F158" s="22"/>
      <c r="G158" s="22"/>
      <c r="H158" s="24" t="str">
        <f aca="false">IF(OR(F158="",G158="",NOT(ISNUMBER(F158)),F158=0),"",G158/F158-1)</f>
        <v/>
      </c>
      <c r="I158" s="22"/>
    </row>
    <row r="159" customFormat="false" ht="15" hidden="false" customHeight="false" outlineLevel="0" collapsed="false">
      <c r="A159" s="22"/>
      <c r="B159" s="22"/>
      <c r="C159" s="22"/>
      <c r="D159" s="21"/>
      <c r="E159" s="22"/>
      <c r="F159" s="22"/>
      <c r="G159" s="22"/>
      <c r="H159" s="24" t="str">
        <f aca="false">IF(OR(F159="",G159="",NOT(ISNUMBER(F159)),F159=0),"",G159/F159-1)</f>
        <v/>
      </c>
      <c r="I159" s="22"/>
    </row>
    <row r="160" customFormat="false" ht="15" hidden="false" customHeight="false" outlineLevel="0" collapsed="false">
      <c r="A160" s="22"/>
      <c r="B160" s="22"/>
      <c r="C160" s="22"/>
      <c r="D160" s="21"/>
      <c r="E160" s="22"/>
      <c r="F160" s="22"/>
      <c r="G160" s="22"/>
      <c r="H160" s="24" t="str">
        <f aca="false">IF(OR(F160="",G160="",NOT(ISNUMBER(F160)),F160=0),"",G160/F160-1)</f>
        <v/>
      </c>
      <c r="I160" s="22"/>
    </row>
    <row r="161" customFormat="false" ht="15" hidden="false" customHeight="false" outlineLevel="0" collapsed="false">
      <c r="A161" s="22"/>
      <c r="B161" s="22"/>
      <c r="C161" s="22"/>
      <c r="D161" s="21"/>
      <c r="E161" s="22"/>
      <c r="F161" s="22"/>
      <c r="G161" s="22"/>
      <c r="H161" s="24" t="str">
        <f aca="false">IF(OR(F161="",G161="",NOT(ISNUMBER(F161)),F161=0),"",G161/F161-1)</f>
        <v/>
      </c>
      <c r="I161" s="22"/>
    </row>
    <row r="162" customFormat="false" ht="15" hidden="false" customHeight="false" outlineLevel="0" collapsed="false">
      <c r="A162" s="22"/>
      <c r="B162" s="22"/>
      <c r="C162" s="22"/>
      <c r="D162" s="21"/>
      <c r="E162" s="22"/>
      <c r="F162" s="22"/>
      <c r="G162" s="22"/>
      <c r="H162" s="24" t="str">
        <f aca="false">IF(OR(F162="",G162="",NOT(ISNUMBER(F162)),F162=0),"",G162/F162-1)</f>
        <v/>
      </c>
      <c r="I162" s="22"/>
    </row>
    <row r="163" customFormat="false" ht="15" hidden="false" customHeight="false" outlineLevel="0" collapsed="false">
      <c r="A163" s="22"/>
      <c r="B163" s="22"/>
      <c r="C163" s="22"/>
      <c r="D163" s="21"/>
      <c r="E163" s="22"/>
      <c r="F163" s="22"/>
      <c r="G163" s="22"/>
      <c r="H163" s="24" t="str">
        <f aca="false">IF(OR(F163="",G163="",NOT(ISNUMBER(F163)),F163=0),"",G163/F163-1)</f>
        <v/>
      </c>
      <c r="I163" s="22"/>
    </row>
    <row r="164" customFormat="false" ht="15" hidden="false" customHeight="false" outlineLevel="0" collapsed="false">
      <c r="A164" s="22"/>
      <c r="B164" s="22"/>
      <c r="C164" s="22"/>
      <c r="D164" s="21"/>
      <c r="E164" s="22"/>
      <c r="F164" s="22"/>
      <c r="G164" s="22"/>
      <c r="H164" s="24" t="str">
        <f aca="false">IF(OR(F164="",G164="",NOT(ISNUMBER(F164)),F164=0),"",G164/F164-1)</f>
        <v/>
      </c>
      <c r="I164" s="22"/>
    </row>
    <row r="165" customFormat="false" ht="15" hidden="false" customHeight="false" outlineLevel="0" collapsed="false">
      <c r="A165" s="22"/>
      <c r="B165" s="22"/>
      <c r="C165" s="22"/>
      <c r="D165" s="21"/>
      <c r="E165" s="22"/>
      <c r="F165" s="22"/>
      <c r="G165" s="22"/>
      <c r="H165" s="24" t="str">
        <f aca="false">IF(OR(F165="",G165="",NOT(ISNUMBER(F165)),F165=0),"",G165/F165-1)</f>
        <v/>
      </c>
      <c r="I165" s="22"/>
    </row>
    <row r="166" customFormat="false" ht="15" hidden="false" customHeight="false" outlineLevel="0" collapsed="false">
      <c r="A166" s="22"/>
      <c r="B166" s="22"/>
      <c r="C166" s="22"/>
      <c r="D166" s="21"/>
      <c r="E166" s="22"/>
      <c r="F166" s="22"/>
      <c r="G166" s="22"/>
      <c r="H166" s="24" t="str">
        <f aca="false">IF(OR(F166="",G166="",NOT(ISNUMBER(F166)),F166=0),"",G166/F166-1)</f>
        <v/>
      </c>
      <c r="I166" s="22"/>
    </row>
    <row r="167" customFormat="false" ht="15" hidden="false" customHeight="false" outlineLevel="0" collapsed="false">
      <c r="A167" s="22"/>
      <c r="B167" s="22"/>
      <c r="C167" s="22"/>
      <c r="D167" s="21"/>
      <c r="E167" s="22"/>
      <c r="F167" s="22"/>
      <c r="G167" s="22"/>
      <c r="H167" s="24" t="str">
        <f aca="false">IF(OR(F167="",G167="",NOT(ISNUMBER(F167)),F167=0),"",G167/F167-1)</f>
        <v/>
      </c>
      <c r="I167" s="22"/>
    </row>
    <row r="168" customFormat="false" ht="15" hidden="false" customHeight="false" outlineLevel="0" collapsed="false">
      <c r="A168" s="22"/>
      <c r="B168" s="22"/>
      <c r="C168" s="22"/>
      <c r="D168" s="21"/>
      <c r="E168" s="22"/>
      <c r="F168" s="22"/>
      <c r="G168" s="22"/>
      <c r="H168" s="24" t="str">
        <f aca="false">IF(OR(F168="",G168="",NOT(ISNUMBER(F168)),F168=0),"",G168/F168-1)</f>
        <v/>
      </c>
      <c r="I168" s="22"/>
    </row>
    <row r="169" customFormat="false" ht="15" hidden="false" customHeight="false" outlineLevel="0" collapsed="false">
      <c r="A169" s="22"/>
      <c r="B169" s="22"/>
      <c r="C169" s="22"/>
      <c r="D169" s="21"/>
      <c r="E169" s="22"/>
      <c r="F169" s="22"/>
      <c r="G169" s="22"/>
      <c r="H169" s="24" t="str">
        <f aca="false">IF(OR(F169="",G169="",NOT(ISNUMBER(F169)),F169=0),"",G169/F169-1)</f>
        <v/>
      </c>
      <c r="I169" s="22"/>
    </row>
    <row r="170" customFormat="false" ht="15" hidden="false" customHeight="false" outlineLevel="0" collapsed="false">
      <c r="A170" s="22"/>
      <c r="B170" s="22"/>
      <c r="C170" s="22"/>
      <c r="D170" s="21"/>
      <c r="E170" s="22"/>
      <c r="F170" s="22"/>
      <c r="G170" s="22"/>
      <c r="H170" s="24" t="str">
        <f aca="false">IF(OR(F170="",G170="",NOT(ISNUMBER(F170)),F170=0),"",G170/F170-1)</f>
        <v/>
      </c>
      <c r="I170" s="22"/>
    </row>
    <row r="171" customFormat="false" ht="15" hidden="false" customHeight="false" outlineLevel="0" collapsed="false">
      <c r="A171" s="22"/>
      <c r="B171" s="22"/>
      <c r="C171" s="22"/>
      <c r="D171" s="21"/>
      <c r="E171" s="22"/>
      <c r="F171" s="22"/>
      <c r="G171" s="22"/>
      <c r="H171" s="24" t="str">
        <f aca="false">IF(OR(F171="",G171="",NOT(ISNUMBER(F171)),F171=0),"",G171/F171-1)</f>
        <v/>
      </c>
      <c r="I171" s="22"/>
    </row>
    <row r="172" customFormat="false" ht="15" hidden="false" customHeight="false" outlineLevel="0" collapsed="false">
      <c r="A172" s="22"/>
      <c r="B172" s="22"/>
      <c r="C172" s="22"/>
      <c r="D172" s="21"/>
      <c r="E172" s="22"/>
      <c r="F172" s="22"/>
      <c r="G172" s="22"/>
      <c r="H172" s="24" t="str">
        <f aca="false">IF(OR(F172="",G172="",NOT(ISNUMBER(F172)),F172=0),"",G172/F172-1)</f>
        <v/>
      </c>
      <c r="I172" s="22"/>
    </row>
    <row r="173" customFormat="false" ht="15" hidden="false" customHeight="false" outlineLevel="0" collapsed="false">
      <c r="A173" s="22"/>
      <c r="B173" s="22"/>
      <c r="C173" s="22"/>
      <c r="D173" s="21"/>
      <c r="E173" s="22"/>
      <c r="F173" s="22"/>
      <c r="G173" s="22"/>
      <c r="H173" s="24" t="str">
        <f aca="false">IF(OR(F173="",G173="",NOT(ISNUMBER(F173)),F173=0),"",G173/F173-1)</f>
        <v/>
      </c>
      <c r="I173" s="22"/>
    </row>
    <row r="174" customFormat="false" ht="15" hidden="false" customHeight="false" outlineLevel="0" collapsed="false">
      <c r="A174" s="22"/>
      <c r="B174" s="22"/>
      <c r="C174" s="22"/>
      <c r="D174" s="21"/>
      <c r="E174" s="22"/>
      <c r="F174" s="22"/>
      <c r="G174" s="22"/>
      <c r="H174" s="24" t="str">
        <f aca="false">IF(OR(F174="",G174="",NOT(ISNUMBER(F174)),F174=0),"",G174/F174-1)</f>
        <v/>
      </c>
      <c r="I174" s="22"/>
    </row>
    <row r="175" customFormat="false" ht="15" hidden="false" customHeight="false" outlineLevel="0" collapsed="false">
      <c r="A175" s="22"/>
      <c r="B175" s="22"/>
      <c r="C175" s="22"/>
      <c r="D175" s="21"/>
      <c r="E175" s="22"/>
      <c r="F175" s="22"/>
      <c r="G175" s="22"/>
      <c r="H175" s="24" t="str">
        <f aca="false">IF(OR(F175="",G175="",NOT(ISNUMBER(F175)),F175=0),"",G175/F175-1)</f>
        <v/>
      </c>
      <c r="I175" s="22"/>
    </row>
    <row r="176" customFormat="false" ht="15" hidden="false" customHeight="false" outlineLevel="0" collapsed="false">
      <c r="A176" s="22"/>
      <c r="B176" s="22"/>
      <c r="C176" s="22"/>
      <c r="D176" s="21"/>
      <c r="E176" s="22"/>
      <c r="F176" s="22"/>
      <c r="G176" s="22"/>
      <c r="H176" s="24" t="str">
        <f aca="false">IF(OR(F176="",G176="",NOT(ISNUMBER(F176)),F176=0),"",G176/F176-1)</f>
        <v/>
      </c>
      <c r="I176" s="22"/>
    </row>
    <row r="177" customFormat="false" ht="15" hidden="false" customHeight="false" outlineLevel="0" collapsed="false">
      <c r="A177" s="22"/>
      <c r="B177" s="22"/>
      <c r="C177" s="22"/>
      <c r="D177" s="21"/>
      <c r="E177" s="22"/>
      <c r="F177" s="22"/>
      <c r="G177" s="22"/>
      <c r="H177" s="24" t="str">
        <f aca="false">IF(OR(F177="",G177="",NOT(ISNUMBER(F177)),F177=0),"",G177/F177-1)</f>
        <v/>
      </c>
      <c r="I177" s="22"/>
    </row>
    <row r="178" customFormat="false" ht="15" hidden="false" customHeight="false" outlineLevel="0" collapsed="false">
      <c r="A178" s="22"/>
      <c r="B178" s="22"/>
      <c r="C178" s="22"/>
      <c r="D178" s="21"/>
      <c r="E178" s="22"/>
      <c r="F178" s="22"/>
      <c r="G178" s="22"/>
      <c r="H178" s="24" t="str">
        <f aca="false">IF(OR(F178="",G178="",NOT(ISNUMBER(F178)),F178=0),"",G178/F178-1)</f>
        <v/>
      </c>
      <c r="I178" s="22"/>
    </row>
    <row r="179" customFormat="false" ht="15" hidden="false" customHeight="false" outlineLevel="0" collapsed="false">
      <c r="A179" s="22"/>
      <c r="B179" s="22"/>
      <c r="C179" s="22"/>
      <c r="D179" s="21"/>
      <c r="E179" s="22"/>
      <c r="F179" s="22"/>
      <c r="G179" s="22"/>
      <c r="H179" s="24" t="str">
        <f aca="false">IF(OR(F179="",G179="",NOT(ISNUMBER(F179)),F179=0),"",G179/F179-1)</f>
        <v/>
      </c>
      <c r="I179" s="22"/>
    </row>
    <row r="180" customFormat="false" ht="15" hidden="false" customHeight="false" outlineLevel="0" collapsed="false">
      <c r="A180" s="22"/>
      <c r="B180" s="22"/>
      <c r="C180" s="22"/>
      <c r="D180" s="21"/>
      <c r="E180" s="22"/>
      <c r="F180" s="22"/>
      <c r="G180" s="22"/>
      <c r="H180" s="24" t="str">
        <f aca="false">IF(OR(F180="",G180="",NOT(ISNUMBER(F180)),F180=0),"",G180/F180-1)</f>
        <v/>
      </c>
      <c r="I180" s="22"/>
    </row>
    <row r="181" customFormat="false" ht="15" hidden="false" customHeight="false" outlineLevel="0" collapsed="false">
      <c r="A181" s="22"/>
      <c r="B181" s="22"/>
      <c r="C181" s="22"/>
      <c r="D181" s="21"/>
      <c r="E181" s="22"/>
      <c r="F181" s="22"/>
      <c r="G181" s="22"/>
      <c r="H181" s="24" t="str">
        <f aca="false">IF(OR(F181="",G181="",NOT(ISNUMBER(F181)),F181=0),"",G181/F181-1)</f>
        <v/>
      </c>
      <c r="I181" s="22"/>
    </row>
    <row r="182" customFormat="false" ht="15" hidden="false" customHeight="false" outlineLevel="0" collapsed="false">
      <c r="A182" s="22"/>
      <c r="B182" s="22"/>
      <c r="C182" s="22"/>
      <c r="D182" s="21"/>
      <c r="E182" s="22"/>
      <c r="F182" s="22"/>
      <c r="G182" s="22"/>
      <c r="H182" s="24" t="str">
        <f aca="false">IF(OR(F182="",G182="",NOT(ISNUMBER(F182)),F182=0),"",G182/F182-1)</f>
        <v/>
      </c>
      <c r="I182" s="22"/>
    </row>
    <row r="183" customFormat="false" ht="15" hidden="false" customHeight="false" outlineLevel="0" collapsed="false">
      <c r="A183" s="22"/>
      <c r="B183" s="22"/>
      <c r="C183" s="22"/>
      <c r="D183" s="21"/>
      <c r="E183" s="22"/>
      <c r="F183" s="22"/>
      <c r="G183" s="22"/>
      <c r="H183" s="24" t="str">
        <f aca="false">IF(OR(F183="",G183="",NOT(ISNUMBER(F183)),F183=0),"",G183/F183-1)</f>
        <v/>
      </c>
      <c r="I183" s="22"/>
    </row>
    <row r="184" customFormat="false" ht="15" hidden="false" customHeight="false" outlineLevel="0" collapsed="false">
      <c r="A184" s="22"/>
      <c r="B184" s="22"/>
      <c r="C184" s="22"/>
      <c r="D184" s="21"/>
      <c r="E184" s="22"/>
      <c r="F184" s="22"/>
      <c r="G184" s="22"/>
      <c r="H184" s="24" t="str">
        <f aca="false">IF(OR(F184="",G184="",NOT(ISNUMBER(F184)),F184=0),"",G184/F184-1)</f>
        <v/>
      </c>
      <c r="I184" s="22"/>
    </row>
    <row r="185" customFormat="false" ht="15" hidden="false" customHeight="false" outlineLevel="0" collapsed="false">
      <c r="A185" s="22"/>
      <c r="B185" s="22"/>
      <c r="C185" s="22"/>
      <c r="D185" s="21"/>
      <c r="E185" s="22"/>
      <c r="F185" s="22"/>
      <c r="G185" s="22"/>
      <c r="H185" s="24" t="str">
        <f aca="false">IF(OR(F185="",G185="",NOT(ISNUMBER(F185)),F185=0),"",G185/F185-1)</f>
        <v/>
      </c>
      <c r="I185" s="22"/>
    </row>
    <row r="186" customFormat="false" ht="15" hidden="false" customHeight="false" outlineLevel="0" collapsed="false">
      <c r="A186" s="22"/>
      <c r="B186" s="22"/>
      <c r="C186" s="22"/>
      <c r="D186" s="21"/>
      <c r="E186" s="22"/>
      <c r="F186" s="22"/>
      <c r="G186" s="22"/>
      <c r="H186" s="24" t="str">
        <f aca="false">IF(OR(F186="",G186="",NOT(ISNUMBER(F186)),F186=0),"",G186/F186-1)</f>
        <v/>
      </c>
      <c r="I186" s="22"/>
    </row>
    <row r="187" customFormat="false" ht="15" hidden="false" customHeight="false" outlineLevel="0" collapsed="false">
      <c r="A187" s="22"/>
      <c r="B187" s="22"/>
      <c r="C187" s="22"/>
      <c r="D187" s="21"/>
      <c r="E187" s="22"/>
      <c r="F187" s="22"/>
      <c r="G187" s="22"/>
      <c r="H187" s="24" t="str">
        <f aca="false">IF(OR(F187="",G187="",NOT(ISNUMBER(F187)),F187=0),"",G187/F187-1)</f>
        <v/>
      </c>
      <c r="I187" s="22"/>
    </row>
    <row r="188" customFormat="false" ht="15" hidden="false" customHeight="false" outlineLevel="0" collapsed="false">
      <c r="A188" s="22"/>
      <c r="B188" s="22"/>
      <c r="C188" s="22"/>
      <c r="D188" s="21"/>
      <c r="E188" s="22"/>
      <c r="F188" s="22"/>
      <c r="G188" s="22"/>
      <c r="H188" s="24" t="str">
        <f aca="false">IF(OR(F188="",G188="",NOT(ISNUMBER(F188)),F188=0),"",G188/F188-1)</f>
        <v/>
      </c>
      <c r="I188" s="22"/>
    </row>
    <row r="189" customFormat="false" ht="15" hidden="false" customHeight="false" outlineLevel="0" collapsed="false">
      <c r="A189" s="22"/>
      <c r="B189" s="22"/>
      <c r="C189" s="22"/>
      <c r="D189" s="21"/>
      <c r="E189" s="22"/>
      <c r="F189" s="22"/>
      <c r="G189" s="22"/>
      <c r="H189" s="24" t="str">
        <f aca="false">IF(OR(F189="",G189="",NOT(ISNUMBER(F189)),F189=0),"",G189/F189-1)</f>
        <v/>
      </c>
      <c r="I189" s="22"/>
    </row>
    <row r="190" customFormat="false" ht="15" hidden="false" customHeight="false" outlineLevel="0" collapsed="false">
      <c r="A190" s="22"/>
      <c r="B190" s="22"/>
      <c r="C190" s="22"/>
      <c r="D190" s="21"/>
      <c r="E190" s="22"/>
      <c r="F190" s="22"/>
      <c r="G190" s="22"/>
      <c r="H190" s="24" t="str">
        <f aca="false">IF(OR(F190="",G190="",NOT(ISNUMBER(F190)),F190=0),"",G190/F190-1)</f>
        <v/>
      </c>
      <c r="I190" s="22"/>
    </row>
    <row r="191" customFormat="false" ht="15" hidden="false" customHeight="false" outlineLevel="0" collapsed="false">
      <c r="A191" s="22"/>
      <c r="B191" s="22"/>
      <c r="C191" s="22"/>
      <c r="D191" s="21"/>
      <c r="E191" s="22"/>
      <c r="F191" s="22"/>
      <c r="G191" s="22"/>
      <c r="H191" s="24" t="str">
        <f aca="false">IF(OR(F191="",G191="",NOT(ISNUMBER(F191)),F191=0),"",G191/F191-1)</f>
        <v/>
      </c>
      <c r="I191" s="22"/>
    </row>
    <row r="192" customFormat="false" ht="15" hidden="false" customHeight="false" outlineLevel="0" collapsed="false">
      <c r="A192" s="22"/>
      <c r="B192" s="22"/>
      <c r="C192" s="22"/>
      <c r="D192" s="21"/>
      <c r="E192" s="22"/>
      <c r="F192" s="22"/>
      <c r="G192" s="22"/>
      <c r="H192" s="24" t="str">
        <f aca="false">IF(OR(F192="",G192="",NOT(ISNUMBER(F192)),F192=0),"",G192/F192-1)</f>
        <v/>
      </c>
      <c r="I192" s="22"/>
    </row>
    <row r="193" customFormat="false" ht="15" hidden="false" customHeight="false" outlineLevel="0" collapsed="false">
      <c r="A193" s="22"/>
      <c r="B193" s="22"/>
      <c r="C193" s="22"/>
      <c r="D193" s="21"/>
      <c r="E193" s="22"/>
      <c r="F193" s="22"/>
      <c r="G193" s="22"/>
      <c r="H193" s="24" t="str">
        <f aca="false">IF(OR(F193="",G193="",NOT(ISNUMBER(F193)),F193=0),"",G193/F193-1)</f>
        <v/>
      </c>
      <c r="I193" s="22"/>
    </row>
    <row r="194" customFormat="false" ht="15" hidden="false" customHeight="false" outlineLevel="0" collapsed="false">
      <c r="A194" s="22"/>
      <c r="B194" s="22"/>
      <c r="C194" s="22"/>
      <c r="D194" s="21"/>
      <c r="E194" s="22"/>
      <c r="F194" s="22"/>
      <c r="G194" s="22"/>
      <c r="H194" s="24" t="str">
        <f aca="false">IF(OR(F194="",G194="",NOT(ISNUMBER(F194)),F194=0),"",G194/F194-1)</f>
        <v/>
      </c>
      <c r="I194" s="22"/>
    </row>
    <row r="195" customFormat="false" ht="15" hidden="false" customHeight="false" outlineLevel="0" collapsed="false">
      <c r="A195" s="22"/>
      <c r="B195" s="22"/>
      <c r="C195" s="22"/>
      <c r="D195" s="21"/>
      <c r="E195" s="22"/>
      <c r="F195" s="22"/>
      <c r="G195" s="22"/>
      <c r="H195" s="24" t="str">
        <f aca="false">IF(OR(F195="",G195="",NOT(ISNUMBER(F195)),F195=0),"",G195/F195-1)</f>
        <v/>
      </c>
      <c r="I195" s="22"/>
    </row>
    <row r="196" customFormat="false" ht="15" hidden="false" customHeight="false" outlineLevel="0" collapsed="false">
      <c r="A196" s="22"/>
      <c r="B196" s="22"/>
      <c r="C196" s="22"/>
      <c r="D196" s="21"/>
      <c r="E196" s="22"/>
      <c r="F196" s="22"/>
      <c r="G196" s="22"/>
      <c r="H196" s="24" t="str">
        <f aca="false">IF(OR(F196="",G196="",NOT(ISNUMBER(F196)),F196=0),"",G196/F196-1)</f>
        <v/>
      </c>
      <c r="I196" s="22"/>
    </row>
    <row r="197" customFormat="false" ht="15" hidden="false" customHeight="false" outlineLevel="0" collapsed="false">
      <c r="A197" s="22"/>
      <c r="B197" s="22"/>
      <c r="C197" s="22"/>
      <c r="D197" s="21"/>
      <c r="E197" s="22"/>
      <c r="F197" s="22"/>
      <c r="G197" s="22"/>
      <c r="H197" s="24" t="str">
        <f aca="false">IF(OR(F197="",G197="",NOT(ISNUMBER(F197)),F197=0),"",G197/F197-1)</f>
        <v/>
      </c>
      <c r="I197" s="22"/>
    </row>
    <row r="198" customFormat="false" ht="15" hidden="false" customHeight="false" outlineLevel="0" collapsed="false">
      <c r="A198" s="22"/>
      <c r="B198" s="22"/>
      <c r="C198" s="22"/>
      <c r="D198" s="21"/>
      <c r="E198" s="22"/>
      <c r="F198" s="22"/>
      <c r="G198" s="22"/>
      <c r="H198" s="24" t="str">
        <f aca="false">IF(OR(F198="",G198="",NOT(ISNUMBER(F198)),F198=0),"",G198/F198-1)</f>
        <v/>
      </c>
      <c r="I198" s="22"/>
    </row>
    <row r="199" customFormat="false" ht="15" hidden="false" customHeight="false" outlineLevel="0" collapsed="false">
      <c r="A199" s="22"/>
      <c r="B199" s="22"/>
      <c r="C199" s="22"/>
      <c r="D199" s="21"/>
      <c r="E199" s="22"/>
      <c r="F199" s="22"/>
      <c r="G199" s="22"/>
      <c r="H199" s="24" t="str">
        <f aca="false">IF(OR(F199="",G199="",NOT(ISNUMBER(F199)),F199=0),"",G199/F199-1)</f>
        <v/>
      </c>
      <c r="I199" s="22"/>
    </row>
    <row r="200" customFormat="false" ht="15" hidden="false" customHeight="false" outlineLevel="0" collapsed="false">
      <c r="A200" s="22"/>
      <c r="B200" s="22"/>
      <c r="C200" s="22"/>
      <c r="D200" s="21"/>
      <c r="E200" s="22"/>
      <c r="F200" s="22"/>
      <c r="G200" s="22"/>
      <c r="H200" s="24" t="str">
        <f aca="false">IF(OR(F200="",G200="",NOT(ISNUMBER(F200)),F200=0),"",G200/F200-1)</f>
        <v/>
      </c>
      <c r="I200" s="22"/>
    </row>
    <row r="201" customFormat="false" ht="15" hidden="false" customHeight="false" outlineLevel="0" collapsed="false">
      <c r="A201" s="22"/>
      <c r="B201" s="22"/>
      <c r="C201" s="22"/>
      <c r="D201" s="21"/>
      <c r="E201" s="22"/>
      <c r="F201" s="22"/>
      <c r="G201" s="22"/>
      <c r="H201" s="24" t="str">
        <f aca="false">IF(OR(F201="",G201="",NOT(ISNUMBER(F201)),F201=0),"",G201/F201-1)</f>
        <v/>
      </c>
      <c r="I201" s="22"/>
    </row>
    <row r="202" customFormat="false" ht="15" hidden="false" customHeight="false" outlineLevel="0" collapsed="false">
      <c r="A202" s="22"/>
      <c r="B202" s="22"/>
      <c r="C202" s="22"/>
      <c r="D202" s="21"/>
      <c r="E202" s="22"/>
      <c r="F202" s="22"/>
      <c r="G202" s="22"/>
      <c r="H202" s="24" t="str">
        <f aca="false">IF(OR(F202="",G202="",NOT(ISNUMBER(F202)),F202=0),"",G202/F202-1)</f>
        <v/>
      </c>
      <c r="I202" s="22"/>
    </row>
    <row r="203" customFormat="false" ht="15" hidden="false" customHeight="false" outlineLevel="0" collapsed="false">
      <c r="A203" s="22"/>
      <c r="B203" s="22"/>
      <c r="C203" s="22"/>
      <c r="D203" s="21"/>
      <c r="E203" s="22"/>
      <c r="F203" s="22"/>
      <c r="G203" s="22"/>
      <c r="H203" s="24" t="str">
        <f aca="false">IF(OR(F203="",G203="",NOT(ISNUMBER(F203)),F203=0),"",G203/F203-1)</f>
        <v/>
      </c>
      <c r="I203" s="22"/>
    </row>
    <row r="204" customFormat="false" ht="15" hidden="false" customHeight="false" outlineLevel="0" collapsed="false">
      <c r="A204" s="22"/>
      <c r="B204" s="22"/>
      <c r="C204" s="22"/>
      <c r="D204" s="21"/>
      <c r="E204" s="22"/>
      <c r="F204" s="22"/>
      <c r="G204" s="22"/>
      <c r="H204" s="24" t="str">
        <f aca="false">IF(OR(F204="",G204="",NOT(ISNUMBER(F204)),F204=0),"",G204/F204-1)</f>
        <v/>
      </c>
      <c r="I204" s="2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G9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3" min="2" style="0" width="16"/>
    <col collapsed="false" customWidth="true" hidden="false" outlineLevel="0" max="4" min="4" style="0" width="12"/>
    <col collapsed="false" customWidth="true" hidden="false" outlineLevel="0" max="5" min="5" style="0" width="14"/>
    <col collapsed="false" customWidth="true" hidden="false" outlineLevel="0" max="6" min="6" style="0" width="18"/>
    <col collapsed="false" customWidth="true" hidden="false" outlineLevel="0" max="7" min="7" style="0" width="14"/>
  </cols>
  <sheetData>
    <row r="1" customFormat="false" ht="19.7" hidden="false" customHeight="false" outlineLevel="0" collapsed="false">
      <c r="A1" s="1" t="s">
        <v>799</v>
      </c>
    </row>
    <row r="2" customFormat="false" ht="15" hidden="false" customHeight="false" outlineLevel="0" collapsed="false">
      <c r="A2" s="2" t="s">
        <v>800</v>
      </c>
    </row>
    <row r="4" customFormat="false" ht="15" hidden="false" customHeight="false" outlineLevel="0" collapsed="false">
      <c r="A4" s="3" t="s">
        <v>801</v>
      </c>
    </row>
    <row r="5" customFormat="false" ht="15" hidden="false" customHeight="false" outlineLevel="0" collapsed="false">
      <c r="A5" s="39" t="s">
        <v>802</v>
      </c>
      <c r="B5" s="39" t="s">
        <v>803</v>
      </c>
      <c r="C5" s="39" t="s">
        <v>804</v>
      </c>
    </row>
    <row r="6" customFormat="false" ht="15" hidden="false" customHeight="false" outlineLevel="0" collapsed="false">
      <c r="A6" s="14" t="s">
        <v>637</v>
      </c>
      <c r="B6" s="40" t="n">
        <v>124</v>
      </c>
      <c r="C6" s="14" t="s">
        <v>805</v>
      </c>
    </row>
    <row r="7" customFormat="false" ht="15" hidden="false" customHeight="false" outlineLevel="0" collapsed="false">
      <c r="A7" s="14" t="s">
        <v>636</v>
      </c>
      <c r="B7" s="40" t="n">
        <v>45837</v>
      </c>
      <c r="C7" s="14"/>
    </row>
    <row r="8" customFormat="false" ht="15" hidden="false" customHeight="false" outlineLevel="0" collapsed="false">
      <c r="A8" s="14" t="s">
        <v>81</v>
      </c>
      <c r="B8" s="32" t="n">
        <f aca="false">B6/B7</f>
        <v>0.00270523812640443</v>
      </c>
      <c r="C8" s="14" t="s">
        <v>25</v>
      </c>
    </row>
    <row r="9" customFormat="false" ht="15" hidden="false" customHeight="false" outlineLevel="0" collapsed="false">
      <c r="A9" s="14" t="s">
        <v>806</v>
      </c>
      <c r="B9" s="41" t="n">
        <v>17.8</v>
      </c>
      <c r="C9" s="14" t="s">
        <v>807</v>
      </c>
    </row>
    <row r="10" customFormat="false" ht="15" hidden="false" customHeight="false" outlineLevel="0" collapsed="false">
      <c r="A10" s="14" t="s">
        <v>808</v>
      </c>
      <c r="B10" s="40" t="n">
        <v>3</v>
      </c>
      <c r="C10" s="14" t="s">
        <v>809</v>
      </c>
    </row>
    <row r="11" customFormat="false" ht="15" hidden="false" customHeight="false" outlineLevel="0" collapsed="false">
      <c r="A11" s="14" t="s">
        <v>810</v>
      </c>
      <c r="B11" s="40" t="n">
        <v>137</v>
      </c>
      <c r="C11" s="14"/>
    </row>
    <row r="12" customFormat="false" ht="15" hidden="false" customHeight="false" outlineLevel="0" collapsed="false">
      <c r="A12" s="14" t="s">
        <v>811</v>
      </c>
      <c r="B12" s="31" t="n">
        <f aca="false">B6-B10</f>
        <v>121</v>
      </c>
      <c r="C12" s="14" t="s">
        <v>812</v>
      </c>
    </row>
    <row r="13" customFormat="false" ht="15" hidden="false" customHeight="false" outlineLevel="0" collapsed="false">
      <c r="A13" s="14" t="s">
        <v>813</v>
      </c>
      <c r="B13" s="40" t="n">
        <v>5774</v>
      </c>
      <c r="C13" s="14" t="s">
        <v>814</v>
      </c>
    </row>
    <row r="14" customFormat="false" ht="15" hidden="false" customHeight="false" outlineLevel="0" collapsed="false">
      <c r="A14" s="14" t="s">
        <v>815</v>
      </c>
      <c r="B14" s="40" t="n">
        <v>5221</v>
      </c>
      <c r="C14" s="14"/>
    </row>
    <row r="15" customFormat="false" ht="15" hidden="false" customHeight="false" outlineLevel="0" collapsed="false">
      <c r="A15" s="14" t="s">
        <v>816</v>
      </c>
      <c r="B15" s="40" t="n">
        <v>1343</v>
      </c>
      <c r="C15" s="14" t="s">
        <v>817</v>
      </c>
    </row>
    <row r="17" customFormat="false" ht="15" hidden="false" customHeight="false" outlineLevel="0" collapsed="false">
      <c r="A17" s="3" t="s">
        <v>818</v>
      </c>
    </row>
    <row r="18" customFormat="false" ht="15" hidden="false" customHeight="false" outlineLevel="0" collapsed="false">
      <c r="A18" s="39" t="s">
        <v>708</v>
      </c>
      <c r="B18" s="39" t="s">
        <v>637</v>
      </c>
      <c r="C18" s="39" t="s">
        <v>636</v>
      </c>
      <c r="D18" s="39" t="s">
        <v>81</v>
      </c>
      <c r="E18" s="39" t="s">
        <v>819</v>
      </c>
    </row>
    <row r="19" customFormat="false" ht="15" hidden="false" customHeight="false" outlineLevel="0" collapsed="false">
      <c r="A19" s="14" t="s">
        <v>820</v>
      </c>
      <c r="B19" s="40" t="n">
        <v>1</v>
      </c>
      <c r="C19" s="40" t="n">
        <v>235</v>
      </c>
      <c r="D19" s="32" t="n">
        <f aca="false">B19/C19</f>
        <v>0.00425531914893617</v>
      </c>
      <c r="E19" s="41" t="n">
        <v>14</v>
      </c>
    </row>
    <row r="20" customFormat="false" ht="15" hidden="false" customHeight="false" outlineLevel="0" collapsed="false">
      <c r="A20" s="14" t="s">
        <v>821</v>
      </c>
      <c r="B20" s="40" t="n">
        <v>4</v>
      </c>
      <c r="C20" s="40" t="n">
        <v>1393</v>
      </c>
      <c r="D20" s="32" t="n">
        <f aca="false">B20/C20</f>
        <v>0.00287150035893755</v>
      </c>
      <c r="E20" s="41" t="n">
        <v>15.4</v>
      </c>
    </row>
    <row r="21" customFormat="false" ht="15" hidden="false" customHeight="false" outlineLevel="0" collapsed="false">
      <c r="A21" s="14" t="s">
        <v>822</v>
      </c>
      <c r="B21" s="40" t="n">
        <v>7</v>
      </c>
      <c r="C21" s="40" t="n">
        <v>1267</v>
      </c>
      <c r="D21" s="32" t="n">
        <f aca="false">B21/C21</f>
        <v>0.00552486187845304</v>
      </c>
      <c r="E21" s="41" t="n">
        <v>19.4</v>
      </c>
    </row>
    <row r="22" customFormat="false" ht="15" hidden="false" customHeight="false" outlineLevel="0" collapsed="false">
      <c r="A22" s="14" t="s">
        <v>823</v>
      </c>
      <c r="B22" s="40" t="n">
        <v>14</v>
      </c>
      <c r="C22" s="40" t="n">
        <v>2025</v>
      </c>
      <c r="D22" s="32" t="n">
        <f aca="false">B22/C22</f>
        <v>0.00691358024691358</v>
      </c>
      <c r="E22" s="41" t="n">
        <v>11.7</v>
      </c>
    </row>
    <row r="23" customFormat="false" ht="15" hidden="false" customHeight="false" outlineLevel="0" collapsed="false">
      <c r="A23" s="14" t="s">
        <v>824</v>
      </c>
      <c r="B23" s="40" t="n">
        <v>6</v>
      </c>
      <c r="C23" s="40" t="n">
        <v>2152</v>
      </c>
      <c r="D23" s="32" t="n">
        <f aca="false">B23/C23</f>
        <v>0.00278810408921933</v>
      </c>
      <c r="E23" s="41" t="n">
        <v>14.4</v>
      </c>
    </row>
    <row r="24" customFormat="false" ht="15" hidden="false" customHeight="false" outlineLevel="0" collapsed="false">
      <c r="A24" s="14" t="s">
        <v>825</v>
      </c>
      <c r="B24" s="40" t="n">
        <v>2</v>
      </c>
      <c r="C24" s="40" t="n">
        <v>2105</v>
      </c>
      <c r="D24" s="32" t="n">
        <f aca="false">B24/C24</f>
        <v>0.000950118764845606</v>
      </c>
      <c r="E24" s="41" t="n">
        <v>13.9</v>
      </c>
    </row>
    <row r="25" customFormat="false" ht="15" hidden="false" customHeight="false" outlineLevel="0" collapsed="false">
      <c r="A25" s="14" t="s">
        <v>826</v>
      </c>
      <c r="B25" s="40" t="n">
        <v>22</v>
      </c>
      <c r="C25" s="40" t="n">
        <v>10127</v>
      </c>
      <c r="D25" s="32" t="n">
        <f aca="false">B25/C25</f>
        <v>0.00217241038807149</v>
      </c>
      <c r="E25" s="41" t="n">
        <v>19.4</v>
      </c>
    </row>
    <row r="26" customFormat="false" ht="15" hidden="false" customHeight="false" outlineLevel="0" collapsed="false">
      <c r="A26" s="14" t="s">
        <v>827</v>
      </c>
      <c r="B26" s="40" t="n">
        <v>32</v>
      </c>
      <c r="C26" s="40" t="n">
        <v>13978</v>
      </c>
      <c r="D26" s="32" t="n">
        <f aca="false">B26/C26</f>
        <v>0.00228931177564745</v>
      </c>
      <c r="E26" s="41" t="n">
        <v>20</v>
      </c>
    </row>
    <row r="27" customFormat="false" ht="15" hidden="false" customHeight="false" outlineLevel="0" collapsed="false">
      <c r="A27" s="14" t="s">
        <v>828</v>
      </c>
      <c r="B27" s="40" t="n">
        <v>35</v>
      </c>
      <c r="C27" s="40" t="n">
        <v>10936</v>
      </c>
      <c r="D27" s="32" t="n">
        <f aca="false">B27/C27</f>
        <v>0.00320043891733723</v>
      </c>
      <c r="E27" s="41" t="n">
        <v>16.5</v>
      </c>
    </row>
    <row r="28" customFormat="false" ht="15" hidden="false" customHeight="false" outlineLevel="0" collapsed="false">
      <c r="A28" s="14" t="s">
        <v>829</v>
      </c>
      <c r="B28" s="40" t="n">
        <v>1</v>
      </c>
      <c r="C28" s="40" t="n">
        <v>1619</v>
      </c>
      <c r="D28" s="32" t="n">
        <f aca="false">B28/C28</f>
        <v>0.000617665225447807</v>
      </c>
      <c r="E28" s="41" t="n">
        <v>16.8</v>
      </c>
    </row>
    <row r="29" customFormat="false" ht="15" hidden="false" customHeight="false" outlineLevel="0" collapsed="false">
      <c r="A29" s="2" t="s">
        <v>830</v>
      </c>
    </row>
    <row r="31" customFormat="false" ht="15" hidden="false" customHeight="false" outlineLevel="0" collapsed="false">
      <c r="A31" s="3" t="s">
        <v>831</v>
      </c>
    </row>
    <row r="32" customFormat="false" ht="23.85" hidden="false" customHeight="false" outlineLevel="0" collapsed="false">
      <c r="A32" s="39" t="s">
        <v>113</v>
      </c>
      <c r="B32" s="39" t="s">
        <v>637</v>
      </c>
      <c r="C32" s="39" t="s">
        <v>636</v>
      </c>
      <c r="D32" s="39" t="s">
        <v>81</v>
      </c>
      <c r="E32" s="39" t="s">
        <v>819</v>
      </c>
      <c r="F32" s="39" t="s">
        <v>657</v>
      </c>
      <c r="G32" s="39" t="s">
        <v>658</v>
      </c>
    </row>
    <row r="33" customFormat="false" ht="15" hidden="false" customHeight="false" outlineLevel="0" collapsed="false">
      <c r="A33" s="14" t="s">
        <v>384</v>
      </c>
      <c r="B33" s="40" t="n">
        <v>37</v>
      </c>
      <c r="C33" s="40" t="n">
        <v>13720</v>
      </c>
      <c r="D33" s="32" t="n">
        <f aca="false">B33/C33</f>
        <v>0.00269679300291545</v>
      </c>
      <c r="E33" s="41" t="n">
        <v>18.27</v>
      </c>
      <c r="F33" s="15" t="n">
        <f aca="false">C33/45837</f>
        <v>0.299321508824749</v>
      </c>
      <c r="G33" s="15" t="n">
        <f aca="false">B33/124</f>
        <v>0.298387096774194</v>
      </c>
    </row>
    <row r="34" customFormat="false" ht="15" hidden="false" customHeight="false" outlineLevel="0" collapsed="false">
      <c r="A34" s="14" t="s">
        <v>286</v>
      </c>
      <c r="B34" s="40" t="n">
        <v>15</v>
      </c>
      <c r="C34" s="40" t="n">
        <v>5037</v>
      </c>
      <c r="D34" s="32" t="n">
        <f aca="false">B34/C34</f>
        <v>0.00297796307325789</v>
      </c>
      <c r="E34" s="41" t="n">
        <v>24.48</v>
      </c>
      <c r="F34" s="15" t="n">
        <f aca="false">C34/45837</f>
        <v>0.109889390666928</v>
      </c>
      <c r="G34" s="15" t="n">
        <f aca="false">B34/124</f>
        <v>0.120967741935484</v>
      </c>
    </row>
    <row r="35" customFormat="false" ht="15" hidden="false" customHeight="false" outlineLevel="0" collapsed="false">
      <c r="A35" s="14" t="s">
        <v>249</v>
      </c>
      <c r="B35" s="40" t="n">
        <v>14</v>
      </c>
      <c r="C35" s="40" t="n">
        <v>7753</v>
      </c>
      <c r="D35" s="32" t="n">
        <f aca="false">B35/C35</f>
        <v>0.00180575261189217</v>
      </c>
      <c r="E35" s="41" t="n">
        <v>14.7</v>
      </c>
      <c r="F35" s="15" t="n">
        <f aca="false">C35/45837</f>
        <v>0.169142832209787</v>
      </c>
      <c r="G35" s="15" t="n">
        <f aca="false">B35/124</f>
        <v>0.112903225806452</v>
      </c>
    </row>
    <row r="36" customFormat="false" ht="15" hidden="false" customHeight="false" outlineLevel="0" collapsed="false">
      <c r="A36" s="14" t="s">
        <v>668</v>
      </c>
      <c r="B36" s="40" t="n">
        <v>10</v>
      </c>
      <c r="C36" s="40" t="n">
        <v>4176</v>
      </c>
      <c r="D36" s="32" t="n">
        <f aca="false">B36/C36</f>
        <v>0.00239463601532567</v>
      </c>
      <c r="E36" s="41" t="n">
        <v>11.3</v>
      </c>
      <c r="F36" s="15" t="n">
        <f aca="false">C36/45837</f>
        <v>0.0911054388376203</v>
      </c>
      <c r="G36" s="15" t="n">
        <f aca="false">B36/124</f>
        <v>0.0806451612903226</v>
      </c>
    </row>
    <row r="37" customFormat="false" ht="15" hidden="false" customHeight="false" outlineLevel="0" collapsed="false">
      <c r="A37" s="14" t="s">
        <v>670</v>
      </c>
      <c r="B37" s="40" t="n">
        <v>6</v>
      </c>
      <c r="C37" s="40" t="n">
        <v>1340</v>
      </c>
      <c r="D37" s="32" t="n">
        <f aca="false">B37/C37</f>
        <v>0.00447761194029851</v>
      </c>
      <c r="E37" s="41" t="n">
        <v>11.99</v>
      </c>
      <c r="F37" s="15" t="n">
        <f aca="false">C37/45837</f>
        <v>0.0292340249143705</v>
      </c>
      <c r="G37" s="15" t="n">
        <f aca="false">B37/124</f>
        <v>0.0483870967741936</v>
      </c>
    </row>
    <row r="38" customFormat="false" ht="15" hidden="false" customHeight="false" outlineLevel="0" collapsed="false">
      <c r="A38" s="14" t="s">
        <v>672</v>
      </c>
      <c r="B38" s="40" t="n">
        <v>4</v>
      </c>
      <c r="C38" s="40" t="n">
        <v>1376</v>
      </c>
      <c r="D38" s="32" t="n">
        <f aca="false">B38/C38</f>
        <v>0.00290697674418605</v>
      </c>
      <c r="E38" s="41" t="n">
        <v>11.68</v>
      </c>
      <c r="F38" s="15" t="n">
        <f aca="false">C38/45837</f>
        <v>0.0300194166284879</v>
      </c>
      <c r="G38" s="15" t="n">
        <f aca="false">B38/124</f>
        <v>0.032258064516129</v>
      </c>
    </row>
    <row r="39" customFormat="false" ht="15" hidden="false" customHeight="false" outlineLevel="0" collapsed="false">
      <c r="A39" s="14" t="s">
        <v>676</v>
      </c>
      <c r="B39" s="40" t="n">
        <v>4</v>
      </c>
      <c r="C39" s="40" t="n">
        <v>807</v>
      </c>
      <c r="D39" s="32" t="n">
        <f aca="false">B39/C39</f>
        <v>0.00495662949194548</v>
      </c>
      <c r="E39" s="41" t="n">
        <v>14.47</v>
      </c>
      <c r="F39" s="15" t="n">
        <f aca="false">C39/45837</f>
        <v>0.0176058642581321</v>
      </c>
      <c r="G39" s="15" t="n">
        <f aca="false">B39/124</f>
        <v>0.032258064516129</v>
      </c>
    </row>
    <row r="40" customFormat="false" ht="15" hidden="false" customHeight="false" outlineLevel="0" collapsed="false">
      <c r="A40" s="14" t="s">
        <v>678</v>
      </c>
      <c r="B40" s="40" t="n">
        <v>4</v>
      </c>
      <c r="C40" s="40" t="n">
        <v>446</v>
      </c>
      <c r="D40" s="32" t="n">
        <f aca="false">B40/C40</f>
        <v>0.00896860986547085</v>
      </c>
      <c r="E40" s="41" t="n">
        <v>10.39</v>
      </c>
      <c r="F40" s="15" t="n">
        <f aca="false">C40/45837</f>
        <v>0.00973013068045465</v>
      </c>
      <c r="G40" s="15" t="n">
        <f aca="false">B40/124</f>
        <v>0.032258064516129</v>
      </c>
    </row>
    <row r="41" customFormat="false" ht="15" hidden="false" customHeight="false" outlineLevel="0" collapsed="false">
      <c r="A41" s="14" t="s">
        <v>674</v>
      </c>
      <c r="B41" s="40" t="n">
        <v>3</v>
      </c>
      <c r="C41" s="40" t="n">
        <v>1116</v>
      </c>
      <c r="D41" s="32" t="n">
        <f aca="false">B41/C41</f>
        <v>0.00268817204301075</v>
      </c>
      <c r="E41" s="41" t="n">
        <v>11.66</v>
      </c>
      <c r="F41" s="15" t="n">
        <f aca="false">C41/45837</f>
        <v>0.0243471431376399</v>
      </c>
      <c r="G41" s="15" t="n">
        <f aca="false">B41/124</f>
        <v>0.0241935483870968</v>
      </c>
    </row>
    <row r="42" customFormat="false" ht="15" hidden="false" customHeight="false" outlineLevel="0" collapsed="false">
      <c r="A42" s="14" t="s">
        <v>832</v>
      </c>
      <c r="B42" s="40" t="n">
        <v>3</v>
      </c>
      <c r="C42" s="40" t="n">
        <v>621</v>
      </c>
      <c r="D42" s="32" t="n">
        <f aca="false">B42/C42</f>
        <v>0.00483091787439614</v>
      </c>
      <c r="E42" s="41" t="n">
        <v>28.01</v>
      </c>
      <c r="F42" s="15" t="n">
        <f aca="false">C42/45837</f>
        <v>0.0135480070685254</v>
      </c>
      <c r="G42" s="15" t="n">
        <f aca="false">B42/124</f>
        <v>0.0241935483870968</v>
      </c>
    </row>
    <row r="43" customFormat="false" ht="15" hidden="false" customHeight="false" outlineLevel="0" collapsed="false">
      <c r="A43" s="14" t="s">
        <v>833</v>
      </c>
      <c r="B43" s="40" t="n">
        <v>3</v>
      </c>
      <c r="C43" s="40" t="n">
        <v>413</v>
      </c>
      <c r="D43" s="32" t="n">
        <f aca="false">B43/C43</f>
        <v>0.00726392251815981</v>
      </c>
      <c r="E43" s="41" t="n">
        <v>28.38</v>
      </c>
      <c r="F43" s="15" t="n">
        <f aca="false">C43/45837</f>
        <v>0.00901018827584702</v>
      </c>
      <c r="G43" s="15" t="n">
        <f aca="false">B43/124</f>
        <v>0.0241935483870968</v>
      </c>
    </row>
    <row r="44" customFormat="false" ht="15" hidden="false" customHeight="false" outlineLevel="0" collapsed="false">
      <c r="A44" s="14" t="s">
        <v>834</v>
      </c>
      <c r="B44" s="40" t="n">
        <v>3</v>
      </c>
      <c r="C44" s="40" t="n">
        <v>345</v>
      </c>
      <c r="D44" s="32" t="n">
        <f aca="false">B44/C44</f>
        <v>0.00869565217391304</v>
      </c>
      <c r="E44" s="41" t="n">
        <v>12.17</v>
      </c>
      <c r="F44" s="15" t="n">
        <f aca="false">C44/45837</f>
        <v>0.00752667059362524</v>
      </c>
      <c r="G44" s="15" t="n">
        <f aca="false">B44/124</f>
        <v>0.0241935483870968</v>
      </c>
    </row>
    <row r="45" customFormat="false" ht="15" hidden="false" customHeight="false" outlineLevel="0" collapsed="false">
      <c r="A45" s="14" t="s">
        <v>835</v>
      </c>
      <c r="B45" s="40" t="n">
        <v>3</v>
      </c>
      <c r="C45" s="40" t="n">
        <v>263</v>
      </c>
      <c r="D45" s="32" t="n">
        <f aca="false">B45/C45</f>
        <v>0.0114068441064639</v>
      </c>
      <c r="E45" s="41" t="n">
        <v>10.55</v>
      </c>
      <c r="F45" s="15" t="n">
        <f aca="false">C45/45837</f>
        <v>0.00573772280035779</v>
      </c>
      <c r="G45" s="15" t="n">
        <f aca="false">B45/124</f>
        <v>0.0241935483870968</v>
      </c>
    </row>
    <row r="46" customFormat="false" ht="15" hidden="false" customHeight="false" outlineLevel="0" collapsed="false">
      <c r="A46" s="14" t="s">
        <v>680</v>
      </c>
      <c r="B46" s="40" t="n">
        <v>3</v>
      </c>
      <c r="C46" s="40" t="n">
        <v>244</v>
      </c>
      <c r="D46" s="32" t="n">
        <f aca="false">B46/C46</f>
        <v>0.0122950819672131</v>
      </c>
      <c r="E46" s="41" t="n">
        <v>9.83</v>
      </c>
      <c r="F46" s="15" t="n">
        <f aca="false">C46/45837</f>
        <v>0.00532321050679582</v>
      </c>
      <c r="G46" s="15" t="n">
        <f aca="false">B46/124</f>
        <v>0.0241935483870968</v>
      </c>
    </row>
    <row r="47" customFormat="false" ht="15" hidden="false" customHeight="false" outlineLevel="0" collapsed="false">
      <c r="A47" s="14" t="s">
        <v>836</v>
      </c>
      <c r="B47" s="40" t="n">
        <v>2</v>
      </c>
      <c r="C47" s="40" t="n">
        <v>217</v>
      </c>
      <c r="D47" s="32" t="n">
        <f aca="false">B47/C47</f>
        <v>0.00921658986175115</v>
      </c>
      <c r="E47" s="41" t="n">
        <v>9.66</v>
      </c>
      <c r="F47" s="15" t="n">
        <f aca="false">C47/45837</f>
        <v>0.00473416672120776</v>
      </c>
      <c r="G47" s="15" t="n">
        <f aca="false">B47/124</f>
        <v>0.0161290322580645</v>
      </c>
    </row>
    <row r="48" customFormat="false" ht="15" hidden="false" customHeight="false" outlineLevel="0" collapsed="false">
      <c r="A48" s="14" t="s">
        <v>837</v>
      </c>
      <c r="B48" s="40" t="n">
        <v>1</v>
      </c>
      <c r="C48" s="40" t="n">
        <v>615</v>
      </c>
      <c r="D48" s="32" t="n">
        <f aca="false">B48/C48</f>
        <v>0.0016260162601626</v>
      </c>
      <c r="E48" s="41" t="n">
        <v>10.69</v>
      </c>
      <c r="F48" s="15" t="n">
        <f aca="false">C48/45837</f>
        <v>0.0134171084495059</v>
      </c>
      <c r="G48" s="15" t="n">
        <f aca="false">B48/124</f>
        <v>0.00806451612903226</v>
      </c>
    </row>
    <row r="49" customFormat="false" ht="15" hidden="false" customHeight="false" outlineLevel="0" collapsed="false">
      <c r="A49" s="14" t="s">
        <v>838</v>
      </c>
      <c r="B49" s="40" t="n">
        <v>1</v>
      </c>
      <c r="C49" s="40" t="n">
        <v>391</v>
      </c>
      <c r="D49" s="32" t="n">
        <f aca="false">B49/C49</f>
        <v>0.00255754475703325</v>
      </c>
      <c r="E49" s="41" t="n">
        <v>28.62</v>
      </c>
      <c r="F49" s="15" t="n">
        <f aca="false">C49/45837</f>
        <v>0.00853022667277527</v>
      </c>
      <c r="G49" s="15" t="n">
        <f aca="false">B49/124</f>
        <v>0.00806451612903226</v>
      </c>
    </row>
    <row r="50" customFormat="false" ht="15" hidden="false" customHeight="false" outlineLevel="0" collapsed="false">
      <c r="A50" s="14" t="s">
        <v>839</v>
      </c>
      <c r="B50" s="40" t="n">
        <v>1</v>
      </c>
      <c r="C50" s="40" t="n">
        <v>150</v>
      </c>
      <c r="D50" s="32" t="n">
        <f aca="false">B50/C50</f>
        <v>0.00666666666666667</v>
      </c>
      <c r="E50" s="41" t="n">
        <v>33.81</v>
      </c>
      <c r="F50" s="15" t="n">
        <f aca="false">C50/45837</f>
        <v>0.00327246547548923</v>
      </c>
      <c r="G50" s="15" t="n">
        <f aca="false">B50/124</f>
        <v>0.00806451612903226</v>
      </c>
    </row>
    <row r="51" customFormat="false" ht="15" hidden="false" customHeight="false" outlineLevel="0" collapsed="false">
      <c r="A51" s="14" t="s">
        <v>840</v>
      </c>
      <c r="B51" s="40" t="n">
        <v>1</v>
      </c>
      <c r="C51" s="40" t="n">
        <v>114</v>
      </c>
      <c r="D51" s="32" t="n">
        <f aca="false">B51/C51</f>
        <v>0.0087719298245614</v>
      </c>
      <c r="E51" s="41" t="n">
        <v>28.54</v>
      </c>
      <c r="F51" s="15" t="n">
        <f aca="false">C51/45837</f>
        <v>0.00248707376137182</v>
      </c>
      <c r="G51" s="15" t="n">
        <f aca="false">B51/124</f>
        <v>0.00806451612903226</v>
      </c>
    </row>
    <row r="52" customFormat="false" ht="15" hidden="false" customHeight="false" outlineLevel="0" collapsed="false">
      <c r="A52" s="14" t="s">
        <v>841</v>
      </c>
      <c r="B52" s="40" t="n">
        <v>1</v>
      </c>
      <c r="C52" s="40" t="n">
        <v>102</v>
      </c>
      <c r="D52" s="32" t="n">
        <f aca="false">B52/C52</f>
        <v>0.00980392156862745</v>
      </c>
      <c r="E52" s="41" t="n">
        <v>9.52</v>
      </c>
      <c r="F52" s="15" t="n">
        <f aca="false">C52/45837</f>
        <v>0.00222527652333268</v>
      </c>
      <c r="G52" s="15" t="n">
        <f aca="false">B52/124</f>
        <v>0.00806451612903226</v>
      </c>
    </row>
    <row r="54" customFormat="false" ht="15" hidden="false" customHeight="false" outlineLevel="0" collapsed="false">
      <c r="A54" s="3" t="s">
        <v>842</v>
      </c>
    </row>
    <row r="55" customFormat="false" ht="15" hidden="false" customHeight="false" outlineLevel="0" collapsed="false">
      <c r="A55" s="39" t="s">
        <v>116</v>
      </c>
      <c r="B55" s="39" t="s">
        <v>843</v>
      </c>
      <c r="C55" s="39" t="s">
        <v>637</v>
      </c>
      <c r="D55" s="39" t="s">
        <v>636</v>
      </c>
      <c r="E55" s="39" t="s">
        <v>81</v>
      </c>
      <c r="F55" s="39" t="s">
        <v>819</v>
      </c>
    </row>
    <row r="56" customFormat="false" ht="15" hidden="false" customHeight="false" outlineLevel="0" collapsed="false">
      <c r="A56" s="14" t="s">
        <v>844</v>
      </c>
      <c r="B56" s="40" t="n">
        <v>11</v>
      </c>
      <c r="C56" s="40" t="n">
        <v>30</v>
      </c>
      <c r="D56" s="40" t="n">
        <v>8519</v>
      </c>
      <c r="E56" s="32" t="n">
        <f aca="false">C56/D56</f>
        <v>0.00352154008686466</v>
      </c>
      <c r="F56" s="41" t="n">
        <v>11.8</v>
      </c>
    </row>
    <row r="57" customFormat="false" ht="15" hidden="false" customHeight="false" outlineLevel="0" collapsed="false">
      <c r="A57" s="14" t="s">
        <v>845</v>
      </c>
      <c r="B57" s="40" t="n">
        <v>1</v>
      </c>
      <c r="C57" s="40" t="n">
        <v>17</v>
      </c>
      <c r="D57" s="40" t="n">
        <v>104</v>
      </c>
      <c r="E57" s="32" t="n">
        <f aca="false">C57/D57</f>
        <v>0.163461538461538</v>
      </c>
      <c r="F57" s="41" t="n">
        <v>6</v>
      </c>
    </row>
    <row r="58" customFormat="false" ht="15" hidden="false" customHeight="false" outlineLevel="0" collapsed="false">
      <c r="A58" s="14" t="s">
        <v>846</v>
      </c>
      <c r="B58" s="40" t="n">
        <v>2</v>
      </c>
      <c r="C58" s="40" t="n">
        <v>2</v>
      </c>
      <c r="D58" s="40" t="n">
        <v>836</v>
      </c>
      <c r="E58" s="32" t="n">
        <f aca="false">C58/D58</f>
        <v>0.00239234449760766</v>
      </c>
      <c r="F58" s="41" t="n">
        <v>14.9</v>
      </c>
    </row>
    <row r="59" customFormat="false" ht="15" hidden="false" customHeight="false" outlineLevel="0" collapsed="false">
      <c r="A59" s="14" t="s">
        <v>847</v>
      </c>
      <c r="B59" s="40" t="n">
        <v>31</v>
      </c>
      <c r="C59" s="40" t="n">
        <v>3</v>
      </c>
      <c r="D59" s="40" t="n">
        <v>1497</v>
      </c>
      <c r="E59" s="32" t="n">
        <f aca="false">C59/D59</f>
        <v>0.00200400801603206</v>
      </c>
      <c r="F59" s="41" t="n">
        <v>31.5</v>
      </c>
    </row>
    <row r="60" customFormat="false" ht="15" hidden="false" customHeight="false" outlineLevel="0" collapsed="false">
      <c r="A60" s="14" t="s">
        <v>848</v>
      </c>
      <c r="B60" s="40" t="n">
        <v>7</v>
      </c>
      <c r="C60" s="40" t="n">
        <v>3</v>
      </c>
      <c r="D60" s="40" t="n">
        <v>1789</v>
      </c>
      <c r="E60" s="32" t="n">
        <f aca="false">C60/D60</f>
        <v>0.00167691447736165</v>
      </c>
      <c r="F60" s="41" t="n">
        <v>16.2</v>
      </c>
    </row>
    <row r="61" customFormat="false" ht="15" hidden="false" customHeight="false" outlineLevel="0" collapsed="false">
      <c r="A61" s="14" t="s">
        <v>849</v>
      </c>
      <c r="B61" s="40" t="n">
        <v>818</v>
      </c>
      <c r="C61" s="40" t="n">
        <v>59</v>
      </c>
      <c r="D61" s="40" t="n">
        <v>19065</v>
      </c>
      <c r="E61" s="32" t="n">
        <f aca="false">C61/D61</f>
        <v>0.0030946761080514</v>
      </c>
      <c r="F61" s="41" t="n">
        <v>18.4</v>
      </c>
    </row>
    <row r="62" customFormat="false" ht="15" hidden="false" customHeight="false" outlineLevel="0" collapsed="false">
      <c r="A62" s="14" t="s">
        <v>850</v>
      </c>
      <c r="B62" s="40" t="n">
        <v>84</v>
      </c>
      <c r="C62" s="40" t="n">
        <v>8</v>
      </c>
      <c r="D62" s="40" t="n">
        <v>7082</v>
      </c>
      <c r="E62" s="32" t="n">
        <f aca="false">C62/D62</f>
        <v>0.00112962439988704</v>
      </c>
      <c r="F62" s="41" t="n">
        <v>22.8</v>
      </c>
    </row>
    <row r="63" customFormat="false" ht="15" hidden="false" customHeight="false" outlineLevel="0" collapsed="false">
      <c r="A63" s="14" t="s">
        <v>851</v>
      </c>
      <c r="B63" s="40" t="n">
        <v>13</v>
      </c>
      <c r="C63" s="40" t="n">
        <v>2</v>
      </c>
      <c r="D63" s="40" t="n">
        <v>383</v>
      </c>
      <c r="E63" s="32" t="n">
        <f aca="false">C63/D63</f>
        <v>0.00522193211488251</v>
      </c>
      <c r="F63" s="41" t="n">
        <v>15.7</v>
      </c>
    </row>
    <row r="64" customFormat="false" ht="15" hidden="false" customHeight="false" outlineLevel="0" collapsed="false">
      <c r="A64" s="14" t="s">
        <v>852</v>
      </c>
      <c r="B64" s="40" t="n">
        <v>30</v>
      </c>
      <c r="C64" s="40" t="n">
        <v>0</v>
      </c>
      <c r="D64" s="40" t="n">
        <v>1674</v>
      </c>
      <c r="E64" s="32" t="n">
        <f aca="false">C64/D64</f>
        <v>0</v>
      </c>
      <c r="F64" s="41" t="n">
        <v>19.1</v>
      </c>
    </row>
    <row r="65" customFormat="false" ht="15" hidden="false" customHeight="false" outlineLevel="0" collapsed="false">
      <c r="A65" s="14" t="s">
        <v>853</v>
      </c>
      <c r="B65" s="40" t="n">
        <v>1</v>
      </c>
      <c r="C65" s="40" t="n">
        <v>0</v>
      </c>
      <c r="D65" s="40" t="n">
        <v>95</v>
      </c>
      <c r="E65" s="32" t="n">
        <f aca="false">C65/D65</f>
        <v>0</v>
      </c>
      <c r="F65" s="41" t="n">
        <v>9.1</v>
      </c>
    </row>
    <row r="66" customFormat="false" ht="15" hidden="false" customHeight="false" outlineLevel="0" collapsed="false">
      <c r="A66" s="14" t="s">
        <v>854</v>
      </c>
      <c r="B66" s="40" t="n">
        <v>1</v>
      </c>
      <c r="C66" s="40" t="n">
        <v>0</v>
      </c>
      <c r="D66" s="40" t="n">
        <v>12</v>
      </c>
      <c r="E66" s="32" t="n">
        <f aca="false">C66/D66</f>
        <v>0</v>
      </c>
      <c r="F66" s="41" t="n">
        <v>30.1</v>
      </c>
    </row>
    <row r="67" customFormat="false" ht="15" hidden="false" customHeight="false" outlineLevel="0" collapsed="false">
      <c r="A67" s="14" t="s">
        <v>855</v>
      </c>
      <c r="B67" s="40" t="n">
        <v>1</v>
      </c>
      <c r="C67" s="40" t="n">
        <v>0</v>
      </c>
      <c r="D67" s="40" t="n">
        <v>10</v>
      </c>
      <c r="E67" s="32" t="n">
        <f aca="false">C67/D67</f>
        <v>0</v>
      </c>
      <c r="F67" s="41" t="n">
        <v>6.6</v>
      </c>
    </row>
    <row r="69" customFormat="false" ht="15" hidden="false" customHeight="false" outlineLevel="0" collapsed="false">
      <c r="A69" s="3" t="s">
        <v>856</v>
      </c>
    </row>
    <row r="70" customFormat="false" ht="15" hidden="false" customHeight="false" outlineLevel="0" collapsed="false">
      <c r="A70" s="39" t="s">
        <v>857</v>
      </c>
      <c r="B70" s="39" t="s">
        <v>637</v>
      </c>
      <c r="C70" s="39" t="s">
        <v>636</v>
      </c>
      <c r="D70" s="39" t="s">
        <v>81</v>
      </c>
      <c r="E70" s="39" t="s">
        <v>819</v>
      </c>
    </row>
    <row r="71" customFormat="false" ht="15" hidden="false" customHeight="false" outlineLevel="0" collapsed="false">
      <c r="A71" s="14" t="s">
        <v>858</v>
      </c>
      <c r="B71" s="40" t="n">
        <v>69</v>
      </c>
      <c r="C71" s="40" t="n">
        <v>17870</v>
      </c>
      <c r="D71" s="32" t="n">
        <f aca="false">B71/C71</f>
        <v>0.00386121992165641</v>
      </c>
      <c r="E71" s="41" t="n">
        <v>12.27</v>
      </c>
    </row>
    <row r="72" customFormat="false" ht="15" hidden="false" customHeight="false" outlineLevel="0" collapsed="false">
      <c r="A72" s="14" t="s">
        <v>859</v>
      </c>
      <c r="B72" s="40" t="n">
        <v>52</v>
      </c>
      <c r="C72" s="40" t="n">
        <v>27647</v>
      </c>
      <c r="D72" s="32" t="n">
        <f aca="false">B72/C72</f>
        <v>0.00188085506564908</v>
      </c>
      <c r="E72" s="41" t="n">
        <v>21.44</v>
      </c>
    </row>
    <row r="73" customFormat="false" ht="15" hidden="false" customHeight="false" outlineLevel="0" collapsed="false">
      <c r="A73" s="14" t="s">
        <v>860</v>
      </c>
      <c r="B73" s="40" t="n">
        <v>3</v>
      </c>
      <c r="C73" s="40" t="n">
        <v>320</v>
      </c>
      <c r="D73" s="32" t="n">
        <f aca="false">B73/C73</f>
        <v>0.009375</v>
      </c>
      <c r="E73" s="41" t="n">
        <v>12.51</v>
      </c>
    </row>
    <row r="75" customFormat="false" ht="15" hidden="false" customHeight="false" outlineLevel="0" collapsed="false">
      <c r="A75" s="3" t="s">
        <v>861</v>
      </c>
    </row>
    <row r="76" customFormat="false" ht="15" hidden="false" customHeight="false" outlineLevel="0" collapsed="false">
      <c r="A76" s="39" t="s">
        <v>862</v>
      </c>
      <c r="B76" s="39" t="s">
        <v>77</v>
      </c>
      <c r="C76" s="39" t="s">
        <v>863</v>
      </c>
      <c r="D76" s="39" t="s">
        <v>864</v>
      </c>
    </row>
    <row r="77" customFormat="false" ht="15" hidden="false" customHeight="false" outlineLevel="0" collapsed="false">
      <c r="A77" s="14" t="s">
        <v>865</v>
      </c>
      <c r="B77" s="14" t="s">
        <v>866</v>
      </c>
      <c r="C77" s="14" t="s">
        <v>867</v>
      </c>
      <c r="D77" s="40" t="n">
        <v>1646</v>
      </c>
    </row>
    <row r="78" customFormat="false" ht="15" hidden="false" customHeight="false" outlineLevel="0" collapsed="false">
      <c r="A78" s="14" t="s">
        <v>868</v>
      </c>
      <c r="B78" s="14" t="s">
        <v>866</v>
      </c>
      <c r="C78" s="14" t="s">
        <v>867</v>
      </c>
      <c r="D78" s="40" t="n">
        <v>492</v>
      </c>
    </row>
    <row r="79" customFormat="false" ht="15" hidden="false" customHeight="false" outlineLevel="0" collapsed="false">
      <c r="A79" s="14" t="s">
        <v>869</v>
      </c>
      <c r="B79" s="14" t="s">
        <v>866</v>
      </c>
      <c r="C79" s="14" t="s">
        <v>867</v>
      </c>
      <c r="D79" s="40" t="n">
        <v>120</v>
      </c>
    </row>
    <row r="80" customFormat="false" ht="15" hidden="false" customHeight="false" outlineLevel="0" collapsed="false">
      <c r="A80" s="14" t="s">
        <v>870</v>
      </c>
      <c r="B80" s="14" t="s">
        <v>866</v>
      </c>
      <c r="C80" s="14" t="s">
        <v>867</v>
      </c>
      <c r="D80" s="40" t="n">
        <v>65</v>
      </c>
    </row>
    <row r="81" customFormat="false" ht="15" hidden="false" customHeight="false" outlineLevel="0" collapsed="false">
      <c r="A81" s="14" t="s">
        <v>871</v>
      </c>
      <c r="B81" s="14" t="s">
        <v>866</v>
      </c>
      <c r="C81" s="14" t="s">
        <v>867</v>
      </c>
      <c r="D81" s="40" t="n">
        <v>2</v>
      </c>
    </row>
    <row r="82" customFormat="false" ht="15" hidden="false" customHeight="false" outlineLevel="0" collapsed="false">
      <c r="A82" s="14" t="s">
        <v>872</v>
      </c>
      <c r="B82" s="14" t="s">
        <v>866</v>
      </c>
      <c r="C82" s="14" t="s">
        <v>867</v>
      </c>
      <c r="D82" s="40" t="n">
        <v>2</v>
      </c>
    </row>
    <row r="83" customFormat="false" ht="15" hidden="false" customHeight="false" outlineLevel="0" collapsed="false">
      <c r="A83" s="14" t="s">
        <v>873</v>
      </c>
      <c r="B83" s="14" t="s">
        <v>874</v>
      </c>
      <c r="C83" s="14" t="s">
        <v>867</v>
      </c>
      <c r="D83" s="40" t="n">
        <v>1963</v>
      </c>
    </row>
    <row r="84" customFormat="false" ht="15" hidden="false" customHeight="false" outlineLevel="0" collapsed="false">
      <c r="A84" s="14" t="s">
        <v>875</v>
      </c>
      <c r="B84" s="14" t="s">
        <v>874</v>
      </c>
      <c r="C84" s="14" t="s">
        <v>867</v>
      </c>
      <c r="D84" s="40" t="n">
        <v>931</v>
      </c>
    </row>
    <row r="85" customFormat="false" ht="15" hidden="false" customHeight="false" outlineLevel="0" collapsed="false">
      <c r="A85" s="14" t="s">
        <v>876</v>
      </c>
      <c r="B85" s="14" t="s">
        <v>866</v>
      </c>
      <c r="C85" s="14" t="s">
        <v>867</v>
      </c>
      <c r="D85" s="40" t="n">
        <v>46</v>
      </c>
    </row>
    <row r="87" customFormat="false" ht="15" hidden="false" customHeight="false" outlineLevel="0" collapsed="false">
      <c r="A87" s="3" t="s">
        <v>877</v>
      </c>
    </row>
    <row r="88" customFormat="false" ht="23.85" hidden="false" customHeight="false" outlineLevel="0" collapsed="false">
      <c r="A88" s="39" t="s">
        <v>113</v>
      </c>
      <c r="B88" s="39" t="s">
        <v>878</v>
      </c>
      <c r="C88" s="39" t="s">
        <v>879</v>
      </c>
    </row>
    <row r="89" customFormat="false" ht="15" hidden="false" customHeight="false" outlineLevel="0" collapsed="false">
      <c r="A89" s="14" t="s">
        <v>384</v>
      </c>
      <c r="B89" s="40" t="n">
        <v>304</v>
      </c>
      <c r="C89" s="15" t="n">
        <f aca="false">B89/1343</f>
        <v>0.226358897989576</v>
      </c>
    </row>
    <row r="90" customFormat="false" ht="15" hidden="false" customHeight="false" outlineLevel="0" collapsed="false">
      <c r="A90" s="14" t="s">
        <v>249</v>
      </c>
      <c r="B90" s="40" t="n">
        <v>238</v>
      </c>
      <c r="C90" s="15" t="n">
        <f aca="false">B90/1343</f>
        <v>0.177215189873418</v>
      </c>
    </row>
    <row r="91" customFormat="false" ht="15" hidden="false" customHeight="false" outlineLevel="0" collapsed="false">
      <c r="A91" s="14" t="s">
        <v>668</v>
      </c>
      <c r="B91" s="40" t="n">
        <v>170</v>
      </c>
      <c r="C91" s="15" t="n">
        <f aca="false">B91/1343</f>
        <v>0.126582278481013</v>
      </c>
    </row>
    <row r="92" customFormat="false" ht="15" hidden="false" customHeight="false" outlineLevel="0" collapsed="false">
      <c r="A92" s="14" t="s">
        <v>670</v>
      </c>
      <c r="B92" s="40" t="n">
        <v>89</v>
      </c>
      <c r="C92" s="15" t="n">
        <f aca="false">B92/1343</f>
        <v>0.0662695457930008</v>
      </c>
    </row>
    <row r="93" customFormat="false" ht="15" hidden="false" customHeight="false" outlineLevel="0" collapsed="false">
      <c r="A93" s="14" t="s">
        <v>286</v>
      </c>
      <c r="B93" s="40" t="n">
        <v>75</v>
      </c>
      <c r="C93" s="15" t="n">
        <f aca="false">B93/1343</f>
        <v>0.0558451228592703</v>
      </c>
    </row>
    <row r="94" customFormat="false" ht="15" hidden="false" customHeight="false" outlineLevel="0" collapsed="false">
      <c r="A94" s="14" t="s">
        <v>672</v>
      </c>
      <c r="B94" s="40" t="n">
        <v>69</v>
      </c>
      <c r="C94" s="15" t="n">
        <f aca="false">B94/1343</f>
        <v>0.0513775130305287</v>
      </c>
    </row>
    <row r="95" customFormat="false" ht="15" hidden="false" customHeight="false" outlineLevel="0" collapsed="false">
      <c r="A95" s="14" t="s">
        <v>674</v>
      </c>
      <c r="B95" s="40" t="n">
        <v>67</v>
      </c>
      <c r="C95" s="15" t="n">
        <f aca="false">B95/1343</f>
        <v>0.0498883097542815</v>
      </c>
    </row>
    <row r="96" customFormat="false" ht="15" hidden="false" customHeight="false" outlineLevel="0" collapsed="false">
      <c r="A96" s="14" t="s">
        <v>676</v>
      </c>
      <c r="B96" s="40" t="n">
        <v>34</v>
      </c>
      <c r="C96" s="15" t="n">
        <f aca="false">B96/1343</f>
        <v>0.0253164556962025</v>
      </c>
    </row>
    <row r="97" customFormat="false" ht="15" hidden="false" customHeight="false" outlineLevel="0" collapsed="false">
      <c r="A97" s="14" t="s">
        <v>678</v>
      </c>
      <c r="B97" s="40" t="n">
        <v>31</v>
      </c>
      <c r="C97" s="15" t="n">
        <f aca="false">B97/1343</f>
        <v>0.0230826507818317</v>
      </c>
    </row>
    <row r="98" customFormat="false" ht="15" hidden="false" customHeight="false" outlineLevel="0" collapsed="false">
      <c r="A98" s="14" t="s">
        <v>837</v>
      </c>
      <c r="B98" s="40" t="n">
        <v>30</v>
      </c>
      <c r="C98" s="15" t="n">
        <f aca="false">B98/1343</f>
        <v>0.0223380491437081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44"/>
  </cols>
  <sheetData>
    <row r="1" customFormat="false" ht="19.7" hidden="false" customHeight="false" outlineLevel="0" collapsed="false">
      <c r="A1" s="1" t="s">
        <v>880</v>
      </c>
    </row>
    <row r="2" customFormat="false" ht="15" hidden="false" customHeight="false" outlineLevel="0" collapsed="false">
      <c r="A2" s="2" t="s">
        <v>881</v>
      </c>
    </row>
    <row r="4" customFormat="false" ht="31.5" hidden="false" customHeight="true" outlineLevel="0" collapsed="false">
      <c r="A4" s="9" t="s">
        <v>882</v>
      </c>
      <c r="B4" s="9" t="s">
        <v>637</v>
      </c>
      <c r="C4" s="9" t="s">
        <v>636</v>
      </c>
      <c r="D4" s="9" t="s">
        <v>81</v>
      </c>
      <c r="E4" s="9" t="s">
        <v>819</v>
      </c>
      <c r="F4" s="9" t="s">
        <v>883</v>
      </c>
    </row>
    <row r="5" customFormat="false" ht="15" hidden="false" customHeight="false" outlineLevel="0" collapsed="false">
      <c r="A5" s="14" t="s">
        <v>884</v>
      </c>
      <c r="B5" s="14" t="n">
        <v>4</v>
      </c>
      <c r="C5" s="14" t="n">
        <v>94</v>
      </c>
      <c r="D5" s="42" t="n">
        <v>0.0426</v>
      </c>
      <c r="E5" s="41" t="n">
        <v>4.43</v>
      </c>
      <c r="F5" s="5" t="str">
        <f aca="false">IF(AND(E5&gt;=5,E5&lt;=20,C5&gt;=80,B5&lt;=1),"Opportunity (pos 5-20, 80+ impr, 0-1 click)","")</f>
        <v/>
      </c>
    </row>
    <row r="6" customFormat="false" ht="15" hidden="false" customHeight="false" outlineLevel="0" collapsed="false">
      <c r="A6" s="14" t="s">
        <v>885</v>
      </c>
      <c r="B6" s="14" t="n">
        <v>3</v>
      </c>
      <c r="C6" s="14" t="n">
        <v>7</v>
      </c>
      <c r="D6" s="42" t="n">
        <v>0.4286</v>
      </c>
      <c r="E6" s="41" t="n">
        <v>7.57</v>
      </c>
      <c r="F6" s="5" t="str">
        <f aca="false">IF(AND(E6&gt;=5,E6&lt;=20,C6&gt;=80,B6&lt;=1),"Opportunity (pos 5-20, 80+ impr, 0-1 click)","")</f>
        <v/>
      </c>
    </row>
    <row r="7" customFormat="false" ht="15" hidden="false" customHeight="false" outlineLevel="0" collapsed="false">
      <c r="A7" s="14" t="s">
        <v>886</v>
      </c>
      <c r="B7" s="14" t="n">
        <v>2</v>
      </c>
      <c r="C7" s="14" t="n">
        <v>142</v>
      </c>
      <c r="D7" s="42" t="n">
        <v>0.0141</v>
      </c>
      <c r="E7" s="41" t="n">
        <v>6.91</v>
      </c>
      <c r="F7" s="5" t="str">
        <f aca="false">IF(AND(E7&gt;=5,E7&lt;=20,C7&gt;=80,B7&lt;=1),"Opportunity (pos 5-20, 80+ impr, 0-1 click)","")</f>
        <v/>
      </c>
    </row>
    <row r="8" customFormat="false" ht="15" hidden="false" customHeight="false" outlineLevel="0" collapsed="false">
      <c r="A8" s="14" t="s">
        <v>887</v>
      </c>
      <c r="B8" s="14" t="n">
        <v>1</v>
      </c>
      <c r="C8" s="14" t="n">
        <v>369</v>
      </c>
      <c r="D8" s="42" t="n">
        <v>0.0027</v>
      </c>
      <c r="E8" s="41" t="n">
        <v>11.41</v>
      </c>
      <c r="F8" s="5" t="str">
        <f aca="false">IF(AND(E8&gt;=5,E8&lt;=20,C8&gt;=80,B8&lt;=1),"Opportunity (pos 5-20, 80+ impr, 0-1 click)","")</f>
        <v>Opportunity (pos 5-20, 80+ impr, 0-1 click)</v>
      </c>
    </row>
    <row r="9" customFormat="false" ht="15" hidden="false" customHeight="false" outlineLevel="0" collapsed="false">
      <c r="A9" s="14" t="s">
        <v>888</v>
      </c>
      <c r="B9" s="14" t="n">
        <v>1</v>
      </c>
      <c r="C9" s="14" t="n">
        <v>114</v>
      </c>
      <c r="D9" s="42" t="n">
        <v>0.0088</v>
      </c>
      <c r="E9" s="41" t="n">
        <v>10.66</v>
      </c>
      <c r="F9" s="5" t="str">
        <f aca="false">IF(AND(E9&gt;=5,E9&lt;=20,C9&gt;=80,B9&lt;=1),"Opportunity (pos 5-20, 80+ impr, 0-1 click)","")</f>
        <v>Opportunity (pos 5-20, 80+ impr, 0-1 click)</v>
      </c>
    </row>
    <row r="10" customFormat="false" ht="15" hidden="false" customHeight="false" outlineLevel="0" collapsed="false">
      <c r="A10" s="14" t="s">
        <v>889</v>
      </c>
      <c r="B10" s="14" t="n">
        <v>1</v>
      </c>
      <c r="C10" s="14" t="n">
        <v>42</v>
      </c>
      <c r="D10" s="42" t="n">
        <v>0.0238</v>
      </c>
      <c r="E10" s="41" t="n">
        <v>16.4</v>
      </c>
      <c r="F10" s="5" t="str">
        <f aca="false">IF(AND(E10&gt;=5,E10&lt;=20,C10&gt;=80,B10&lt;=1),"Opportunity (pos 5-20, 80+ impr, 0-1 click)","")</f>
        <v/>
      </c>
    </row>
    <row r="11" customFormat="false" ht="15" hidden="false" customHeight="false" outlineLevel="0" collapsed="false">
      <c r="A11" s="14" t="s">
        <v>890</v>
      </c>
      <c r="B11" s="14" t="n">
        <v>1</v>
      </c>
      <c r="C11" s="14" t="n">
        <v>19</v>
      </c>
      <c r="D11" s="42" t="n">
        <v>0.0526</v>
      </c>
      <c r="E11" s="41" t="n">
        <v>7.74</v>
      </c>
      <c r="F11" s="5" t="str">
        <f aca="false">IF(AND(E11&gt;=5,E11&lt;=20,C11&gt;=80,B11&lt;=1),"Opportunity (pos 5-20, 80+ impr, 0-1 click)","")</f>
        <v/>
      </c>
    </row>
    <row r="12" customFormat="false" ht="15" hidden="false" customHeight="false" outlineLevel="0" collapsed="false">
      <c r="A12" s="14" t="s">
        <v>891</v>
      </c>
      <c r="B12" s="14" t="n">
        <v>1</v>
      </c>
      <c r="C12" s="14" t="n">
        <v>2</v>
      </c>
      <c r="D12" s="42" t="n">
        <v>0.5</v>
      </c>
      <c r="E12" s="41" t="n">
        <v>7</v>
      </c>
      <c r="F12" s="5" t="str">
        <f aca="false">IF(AND(E12&gt;=5,E12&lt;=20,C12&gt;=80,B12&lt;=1),"Opportunity (pos 5-20, 80+ impr, 0-1 click)","")</f>
        <v/>
      </c>
    </row>
    <row r="13" customFormat="false" ht="15" hidden="false" customHeight="false" outlineLevel="0" collapsed="false">
      <c r="A13" s="14" t="s">
        <v>892</v>
      </c>
      <c r="B13" s="14" t="n">
        <v>1</v>
      </c>
      <c r="C13" s="14" t="n">
        <v>1</v>
      </c>
      <c r="D13" s="42" t="n">
        <v>1</v>
      </c>
      <c r="E13" s="41" t="n">
        <v>23</v>
      </c>
      <c r="F13" s="5" t="str">
        <f aca="false">IF(AND(E13&gt;=5,E13&lt;=20,C13&gt;=80,B13&lt;=1),"Opportunity (pos 5-20, 80+ impr, 0-1 click)","")</f>
        <v/>
      </c>
    </row>
    <row r="14" customFormat="false" ht="15" hidden="false" customHeight="false" outlineLevel="0" collapsed="false">
      <c r="A14" s="14" t="s">
        <v>893</v>
      </c>
      <c r="B14" s="14" t="n">
        <v>0</v>
      </c>
      <c r="C14" s="14" t="n">
        <v>1283</v>
      </c>
      <c r="D14" s="42" t="n">
        <v>0</v>
      </c>
      <c r="E14" s="41" t="n">
        <v>10.89</v>
      </c>
      <c r="F14" s="5" t="str">
        <f aca="false">IF(AND(E14&gt;=5,E14&lt;=20,C14&gt;=80,B14&lt;=1),"Opportunity (pos 5-20, 80+ impr, 0-1 click)","")</f>
        <v>Opportunity (pos 5-20, 80+ impr, 0-1 click)</v>
      </c>
    </row>
    <row r="15" customFormat="false" ht="15" hidden="false" customHeight="false" outlineLevel="0" collapsed="false">
      <c r="A15" s="14" t="s">
        <v>894</v>
      </c>
      <c r="B15" s="14" t="n">
        <v>0</v>
      </c>
      <c r="C15" s="14" t="n">
        <v>354</v>
      </c>
      <c r="D15" s="42" t="n">
        <v>0</v>
      </c>
      <c r="E15" s="41" t="n">
        <v>10.91</v>
      </c>
      <c r="F15" s="5" t="str">
        <f aca="false">IF(AND(E15&gt;=5,E15&lt;=20,C15&gt;=80,B15&lt;=1),"Opportunity (pos 5-20, 80+ impr, 0-1 click)","")</f>
        <v>Opportunity (pos 5-20, 80+ impr, 0-1 click)</v>
      </c>
    </row>
    <row r="16" customFormat="false" ht="15" hidden="false" customHeight="false" outlineLevel="0" collapsed="false">
      <c r="A16" s="14" t="s">
        <v>895</v>
      </c>
      <c r="B16" s="14" t="n">
        <v>0</v>
      </c>
      <c r="C16" s="14" t="n">
        <v>337</v>
      </c>
      <c r="D16" s="42" t="n">
        <v>0</v>
      </c>
      <c r="E16" s="41" t="n">
        <v>10.36</v>
      </c>
      <c r="F16" s="5" t="str">
        <f aca="false">IF(AND(E16&gt;=5,E16&lt;=20,C16&gt;=80,B16&lt;=1),"Opportunity (pos 5-20, 80+ impr, 0-1 click)","")</f>
        <v>Opportunity (pos 5-20, 80+ impr, 0-1 click)</v>
      </c>
    </row>
    <row r="17" customFormat="false" ht="15" hidden="false" customHeight="false" outlineLevel="0" collapsed="false">
      <c r="A17" s="14" t="s">
        <v>896</v>
      </c>
      <c r="B17" s="14" t="n">
        <v>0</v>
      </c>
      <c r="C17" s="14" t="n">
        <v>328</v>
      </c>
      <c r="D17" s="42" t="n">
        <v>0</v>
      </c>
      <c r="E17" s="41" t="n">
        <v>11.67</v>
      </c>
      <c r="F17" s="5" t="str">
        <f aca="false">IF(AND(E17&gt;=5,E17&lt;=20,C17&gt;=80,B17&lt;=1),"Opportunity (pos 5-20, 80+ impr, 0-1 click)","")</f>
        <v>Opportunity (pos 5-20, 80+ impr, 0-1 click)</v>
      </c>
    </row>
    <row r="18" customFormat="false" ht="15" hidden="false" customHeight="false" outlineLevel="0" collapsed="false">
      <c r="A18" s="14" t="s">
        <v>897</v>
      </c>
      <c r="B18" s="14" t="n">
        <v>0</v>
      </c>
      <c r="C18" s="14" t="n">
        <v>327</v>
      </c>
      <c r="D18" s="42" t="n">
        <v>0</v>
      </c>
      <c r="E18" s="41" t="n">
        <v>11.41</v>
      </c>
      <c r="F18" s="5" t="str">
        <f aca="false">IF(AND(E18&gt;=5,E18&lt;=20,C18&gt;=80,B18&lt;=1),"Opportunity (pos 5-20, 80+ impr, 0-1 click)","")</f>
        <v>Opportunity (pos 5-20, 80+ impr, 0-1 click)</v>
      </c>
    </row>
    <row r="19" customFormat="false" ht="15" hidden="false" customHeight="false" outlineLevel="0" collapsed="false">
      <c r="A19" s="14" t="s">
        <v>898</v>
      </c>
      <c r="B19" s="14" t="n">
        <v>0</v>
      </c>
      <c r="C19" s="14" t="n">
        <v>276</v>
      </c>
      <c r="D19" s="42" t="n">
        <v>0</v>
      </c>
      <c r="E19" s="41" t="n">
        <v>11.21</v>
      </c>
      <c r="F19" s="5" t="str">
        <f aca="false">IF(AND(E19&gt;=5,E19&lt;=20,C19&gt;=80,B19&lt;=1),"Opportunity (pos 5-20, 80+ impr, 0-1 click)","")</f>
        <v>Opportunity (pos 5-20, 80+ impr, 0-1 click)</v>
      </c>
    </row>
    <row r="20" customFormat="false" ht="15" hidden="false" customHeight="false" outlineLevel="0" collapsed="false">
      <c r="A20" s="14" t="s">
        <v>899</v>
      </c>
      <c r="B20" s="14" t="n">
        <v>0</v>
      </c>
      <c r="C20" s="14" t="n">
        <v>269</v>
      </c>
      <c r="D20" s="42" t="n">
        <v>0</v>
      </c>
      <c r="E20" s="41" t="n">
        <v>20.56</v>
      </c>
      <c r="F20" s="5" t="str">
        <f aca="false">IF(AND(E20&gt;=5,E20&lt;=20,C20&gt;=80,B20&lt;=1),"Opportunity (pos 5-20, 80+ impr, 0-1 click)","")</f>
        <v/>
      </c>
    </row>
    <row r="21" customFormat="false" ht="15" hidden="false" customHeight="false" outlineLevel="0" collapsed="false">
      <c r="A21" s="14" t="s">
        <v>900</v>
      </c>
      <c r="B21" s="14" t="n">
        <v>0</v>
      </c>
      <c r="C21" s="14" t="n">
        <v>250</v>
      </c>
      <c r="D21" s="42" t="n">
        <v>0</v>
      </c>
      <c r="E21" s="41" t="n">
        <v>19.82</v>
      </c>
      <c r="F21" s="5" t="str">
        <f aca="false">IF(AND(E21&gt;=5,E21&lt;=20,C21&gt;=80,B21&lt;=1),"Opportunity (pos 5-20, 80+ impr, 0-1 click)","")</f>
        <v>Opportunity (pos 5-20, 80+ impr, 0-1 click)</v>
      </c>
    </row>
    <row r="22" customFormat="false" ht="15" hidden="false" customHeight="false" outlineLevel="0" collapsed="false">
      <c r="A22" s="14" t="s">
        <v>901</v>
      </c>
      <c r="B22" s="14" t="n">
        <v>0</v>
      </c>
      <c r="C22" s="14" t="n">
        <v>230</v>
      </c>
      <c r="D22" s="42" t="n">
        <v>0</v>
      </c>
      <c r="E22" s="41" t="n">
        <v>12.3</v>
      </c>
      <c r="F22" s="5" t="str">
        <f aca="false">IF(AND(E22&gt;=5,E22&lt;=20,C22&gt;=80,B22&lt;=1),"Opportunity (pos 5-20, 80+ impr, 0-1 click)","")</f>
        <v>Opportunity (pos 5-20, 80+ impr, 0-1 click)</v>
      </c>
    </row>
    <row r="23" customFormat="false" ht="15" hidden="false" customHeight="false" outlineLevel="0" collapsed="false">
      <c r="A23" s="14" t="s">
        <v>902</v>
      </c>
      <c r="B23" s="14" t="n">
        <v>0</v>
      </c>
      <c r="C23" s="14" t="n">
        <v>229</v>
      </c>
      <c r="D23" s="42" t="n">
        <v>0</v>
      </c>
      <c r="E23" s="41" t="n">
        <v>11.5</v>
      </c>
      <c r="F23" s="5" t="str">
        <f aca="false">IF(AND(E23&gt;=5,E23&lt;=20,C23&gt;=80,B23&lt;=1),"Opportunity (pos 5-20, 80+ impr, 0-1 click)","")</f>
        <v>Opportunity (pos 5-20, 80+ impr, 0-1 click)</v>
      </c>
    </row>
    <row r="24" customFormat="false" ht="15" hidden="false" customHeight="false" outlineLevel="0" collapsed="false">
      <c r="A24" s="14" t="s">
        <v>903</v>
      </c>
      <c r="B24" s="14" t="n">
        <v>0</v>
      </c>
      <c r="C24" s="14" t="n">
        <v>191</v>
      </c>
      <c r="D24" s="42" t="n">
        <v>0</v>
      </c>
      <c r="E24" s="41" t="n">
        <v>10.84</v>
      </c>
      <c r="F24" s="5" t="str">
        <f aca="false">IF(AND(E24&gt;=5,E24&lt;=20,C24&gt;=80,B24&lt;=1),"Opportunity (pos 5-20, 80+ impr, 0-1 click)","")</f>
        <v>Opportunity (pos 5-20, 80+ impr, 0-1 click)</v>
      </c>
    </row>
    <row r="25" customFormat="false" ht="15" hidden="false" customHeight="false" outlineLevel="0" collapsed="false">
      <c r="A25" s="14" t="s">
        <v>904</v>
      </c>
      <c r="B25" s="14" t="n">
        <v>0</v>
      </c>
      <c r="C25" s="14" t="n">
        <v>185</v>
      </c>
      <c r="D25" s="42" t="n">
        <v>0</v>
      </c>
      <c r="E25" s="41" t="n">
        <v>54.1</v>
      </c>
      <c r="F25" s="5" t="str">
        <f aca="false">IF(AND(E25&gt;=5,E25&lt;=20,C25&gt;=80,B25&lt;=1),"Opportunity (pos 5-20, 80+ impr, 0-1 click)","")</f>
        <v/>
      </c>
    </row>
    <row r="26" customFormat="false" ht="15" hidden="false" customHeight="false" outlineLevel="0" collapsed="false">
      <c r="A26" s="14" t="s">
        <v>905</v>
      </c>
      <c r="B26" s="14" t="n">
        <v>0</v>
      </c>
      <c r="C26" s="14" t="n">
        <v>183</v>
      </c>
      <c r="D26" s="42" t="n">
        <v>0</v>
      </c>
      <c r="E26" s="41" t="n">
        <v>24.02</v>
      </c>
      <c r="F26" s="5" t="str">
        <f aca="false">IF(AND(E26&gt;=5,E26&lt;=20,C26&gt;=80,B26&lt;=1),"Opportunity (pos 5-20, 80+ impr, 0-1 click)","")</f>
        <v/>
      </c>
    </row>
    <row r="27" customFormat="false" ht="15" hidden="false" customHeight="false" outlineLevel="0" collapsed="false">
      <c r="A27" s="14" t="s">
        <v>906</v>
      </c>
      <c r="B27" s="14" t="n">
        <v>0</v>
      </c>
      <c r="C27" s="14" t="n">
        <v>180</v>
      </c>
      <c r="D27" s="42" t="n">
        <v>0</v>
      </c>
      <c r="E27" s="41" t="n">
        <v>4.7</v>
      </c>
      <c r="F27" s="5" t="str">
        <f aca="false">IF(AND(E27&gt;=5,E27&lt;=20,C27&gt;=80,B27&lt;=1),"Opportunity (pos 5-20, 80+ impr, 0-1 click)","")</f>
        <v/>
      </c>
    </row>
    <row r="28" customFormat="false" ht="15" hidden="false" customHeight="false" outlineLevel="0" collapsed="false">
      <c r="A28" s="14" t="s">
        <v>907</v>
      </c>
      <c r="B28" s="14" t="n">
        <v>0</v>
      </c>
      <c r="C28" s="14" t="n">
        <v>164</v>
      </c>
      <c r="D28" s="42" t="n">
        <v>0</v>
      </c>
      <c r="E28" s="41" t="n">
        <v>7.31</v>
      </c>
      <c r="F28" s="5" t="str">
        <f aca="false">IF(AND(E28&gt;=5,E28&lt;=20,C28&gt;=80,B28&lt;=1),"Opportunity (pos 5-20, 80+ impr, 0-1 click)","")</f>
        <v>Opportunity (pos 5-20, 80+ impr, 0-1 click)</v>
      </c>
    </row>
    <row r="29" customFormat="false" ht="15" hidden="false" customHeight="false" outlineLevel="0" collapsed="false">
      <c r="A29" s="14" t="s">
        <v>908</v>
      </c>
      <c r="B29" s="14" t="n">
        <v>0</v>
      </c>
      <c r="C29" s="14" t="n">
        <v>150</v>
      </c>
      <c r="D29" s="42" t="n">
        <v>0</v>
      </c>
      <c r="E29" s="41" t="n">
        <v>14.01</v>
      </c>
      <c r="F29" s="5" t="str">
        <f aca="false">IF(AND(E29&gt;=5,E29&lt;=20,C29&gt;=80,B29&lt;=1),"Opportunity (pos 5-20, 80+ impr, 0-1 click)","")</f>
        <v>Opportunity (pos 5-20, 80+ impr, 0-1 click)</v>
      </c>
    </row>
    <row r="30" customFormat="false" ht="15" hidden="false" customHeight="false" outlineLevel="0" collapsed="false">
      <c r="A30" s="14" t="s">
        <v>909</v>
      </c>
      <c r="B30" s="14" t="n">
        <v>0</v>
      </c>
      <c r="C30" s="14" t="n">
        <v>150</v>
      </c>
      <c r="D30" s="42" t="n">
        <v>0</v>
      </c>
      <c r="E30" s="41" t="n">
        <v>33.87</v>
      </c>
      <c r="F30" s="5" t="str">
        <f aca="false">IF(AND(E30&gt;=5,E30&lt;=20,C30&gt;=80,B30&lt;=1),"Opportunity (pos 5-20, 80+ impr, 0-1 click)","")</f>
        <v/>
      </c>
    </row>
    <row r="31" customFormat="false" ht="15" hidden="false" customHeight="false" outlineLevel="0" collapsed="false">
      <c r="A31" s="14" t="s">
        <v>910</v>
      </c>
      <c r="B31" s="14" t="n">
        <v>0</v>
      </c>
      <c r="C31" s="14" t="n">
        <v>147</v>
      </c>
      <c r="D31" s="42" t="n">
        <v>0</v>
      </c>
      <c r="E31" s="41" t="n">
        <v>19.1</v>
      </c>
      <c r="F31" s="5" t="str">
        <f aca="false">IF(AND(E31&gt;=5,E31&lt;=20,C31&gt;=80,B31&lt;=1),"Opportunity (pos 5-20, 80+ impr, 0-1 click)","")</f>
        <v>Opportunity (pos 5-20, 80+ impr, 0-1 click)</v>
      </c>
    </row>
    <row r="32" customFormat="false" ht="15" hidden="false" customHeight="false" outlineLevel="0" collapsed="false">
      <c r="A32" s="14" t="s">
        <v>911</v>
      </c>
      <c r="B32" s="14" t="n">
        <v>0</v>
      </c>
      <c r="C32" s="14" t="n">
        <v>137</v>
      </c>
      <c r="D32" s="42" t="n">
        <v>0</v>
      </c>
      <c r="E32" s="41" t="n">
        <v>10.2</v>
      </c>
      <c r="F32" s="5" t="str">
        <f aca="false">IF(AND(E32&gt;=5,E32&lt;=20,C32&gt;=80,B32&lt;=1),"Opportunity (pos 5-20, 80+ impr, 0-1 click)","")</f>
        <v>Opportunity (pos 5-20, 80+ impr, 0-1 click)</v>
      </c>
    </row>
    <row r="33" customFormat="false" ht="15" hidden="false" customHeight="false" outlineLevel="0" collapsed="false">
      <c r="A33" s="14" t="s">
        <v>912</v>
      </c>
      <c r="B33" s="14" t="n">
        <v>0</v>
      </c>
      <c r="C33" s="14" t="n">
        <v>123</v>
      </c>
      <c r="D33" s="42" t="n">
        <v>0</v>
      </c>
      <c r="E33" s="41" t="n">
        <v>28.54</v>
      </c>
      <c r="F33" s="5" t="str">
        <f aca="false">IF(AND(E33&gt;=5,E33&lt;=20,C33&gt;=80,B33&lt;=1),"Opportunity (pos 5-20, 80+ impr, 0-1 click)","")</f>
        <v/>
      </c>
    </row>
    <row r="34" customFormat="false" ht="15" hidden="false" customHeight="false" outlineLevel="0" collapsed="false">
      <c r="A34" s="14" t="s">
        <v>913</v>
      </c>
      <c r="B34" s="14" t="n">
        <v>0</v>
      </c>
      <c r="C34" s="14" t="n">
        <v>115</v>
      </c>
      <c r="D34" s="42" t="n">
        <v>0</v>
      </c>
      <c r="E34" s="41" t="n">
        <v>9.21</v>
      </c>
      <c r="F34" s="5" t="str">
        <f aca="false">IF(AND(E34&gt;=5,E34&lt;=20,C34&gt;=80,B34&lt;=1),"Opportunity (pos 5-20, 80+ impr, 0-1 click)","")</f>
        <v>Opportunity (pos 5-20, 80+ impr, 0-1 click)</v>
      </c>
    </row>
    <row r="35" customFormat="false" ht="15" hidden="false" customHeight="false" outlineLevel="0" collapsed="false">
      <c r="A35" s="14" t="s">
        <v>914</v>
      </c>
      <c r="B35" s="14" t="n">
        <v>0</v>
      </c>
      <c r="C35" s="14" t="n">
        <v>112</v>
      </c>
      <c r="D35" s="42" t="n">
        <v>0</v>
      </c>
      <c r="E35" s="41" t="n">
        <v>7.61</v>
      </c>
      <c r="F35" s="5" t="str">
        <f aca="false">IF(AND(E35&gt;=5,E35&lt;=20,C35&gt;=80,B35&lt;=1),"Opportunity (pos 5-20, 80+ impr, 0-1 click)","")</f>
        <v>Opportunity (pos 5-20, 80+ impr, 0-1 click)</v>
      </c>
    </row>
    <row r="36" customFormat="false" ht="15" hidden="false" customHeight="false" outlineLevel="0" collapsed="false">
      <c r="A36" s="14" t="s">
        <v>915</v>
      </c>
      <c r="B36" s="14" t="n">
        <v>0</v>
      </c>
      <c r="C36" s="14" t="n">
        <v>106</v>
      </c>
      <c r="D36" s="42" t="n">
        <v>0</v>
      </c>
      <c r="E36" s="41" t="n">
        <v>9.01</v>
      </c>
      <c r="F36" s="5" t="str">
        <f aca="false">IF(AND(E36&gt;=5,E36&lt;=20,C36&gt;=80,B36&lt;=1),"Opportunity (pos 5-20, 80+ impr, 0-1 click)","")</f>
        <v>Opportunity (pos 5-20, 80+ impr, 0-1 click)</v>
      </c>
    </row>
    <row r="37" customFormat="false" ht="15" hidden="false" customHeight="false" outlineLevel="0" collapsed="false">
      <c r="A37" s="14" t="s">
        <v>916</v>
      </c>
      <c r="B37" s="14" t="n">
        <v>0</v>
      </c>
      <c r="C37" s="14" t="n">
        <v>101</v>
      </c>
      <c r="D37" s="42" t="n">
        <v>0</v>
      </c>
      <c r="E37" s="41" t="n">
        <v>8.56</v>
      </c>
      <c r="F37" s="5" t="str">
        <f aca="false">IF(AND(E37&gt;=5,E37&lt;=20,C37&gt;=80,B37&lt;=1),"Opportunity (pos 5-20, 80+ impr, 0-1 click)","")</f>
        <v>Opportunity (pos 5-20, 80+ impr, 0-1 click)</v>
      </c>
    </row>
    <row r="38" customFormat="false" ht="15" hidden="false" customHeight="false" outlineLevel="0" collapsed="false">
      <c r="A38" s="14" t="s">
        <v>917</v>
      </c>
      <c r="B38" s="14" t="n">
        <v>0</v>
      </c>
      <c r="C38" s="14" t="n">
        <v>85</v>
      </c>
      <c r="D38" s="42" t="n">
        <v>0</v>
      </c>
      <c r="E38" s="41" t="n">
        <v>14.41</v>
      </c>
      <c r="F38" s="5" t="str">
        <f aca="false">IF(AND(E38&gt;=5,E38&lt;=20,C38&gt;=80,B38&lt;=1),"Opportunity (pos 5-20, 80+ impr, 0-1 click)","")</f>
        <v>Opportunity (pos 5-20, 80+ impr, 0-1 click)</v>
      </c>
    </row>
    <row r="39" customFormat="false" ht="15" hidden="false" customHeight="false" outlineLevel="0" collapsed="false">
      <c r="A39" s="14" t="s">
        <v>918</v>
      </c>
      <c r="B39" s="14" t="n">
        <v>0</v>
      </c>
      <c r="C39" s="14" t="n">
        <v>84</v>
      </c>
      <c r="D39" s="42" t="n">
        <v>0</v>
      </c>
      <c r="E39" s="41" t="n">
        <v>45.11</v>
      </c>
      <c r="F39" s="5" t="str">
        <f aca="false">IF(AND(E39&gt;=5,E39&lt;=20,C39&gt;=80,B39&lt;=1),"Opportunity (pos 5-20, 80+ impr, 0-1 click)","")</f>
        <v/>
      </c>
    </row>
    <row r="40" customFormat="false" ht="15" hidden="false" customHeight="false" outlineLevel="0" collapsed="false">
      <c r="A40" s="14" t="s">
        <v>919</v>
      </c>
      <c r="B40" s="14" t="n">
        <v>0</v>
      </c>
      <c r="C40" s="14" t="n">
        <v>82</v>
      </c>
      <c r="D40" s="42" t="n">
        <v>0</v>
      </c>
      <c r="E40" s="41" t="n">
        <v>36.96</v>
      </c>
      <c r="F40" s="5" t="str">
        <f aca="false">IF(AND(E40&gt;=5,E40&lt;=20,C40&gt;=80,B40&lt;=1),"Opportunity (pos 5-20, 80+ impr, 0-1 click)","")</f>
        <v/>
      </c>
    </row>
    <row r="41" customFormat="false" ht="15" hidden="false" customHeight="false" outlineLevel="0" collapsed="false">
      <c r="A41" s="14" t="s">
        <v>920</v>
      </c>
      <c r="B41" s="14" t="n">
        <v>0</v>
      </c>
      <c r="C41" s="14" t="n">
        <v>80</v>
      </c>
      <c r="D41" s="42" t="n">
        <v>0</v>
      </c>
      <c r="E41" s="41" t="n">
        <v>13.7</v>
      </c>
      <c r="F41" s="5" t="str">
        <f aca="false">IF(AND(E41&gt;=5,E41&lt;=20,C41&gt;=80,B41&lt;=1),"Opportunity (pos 5-20, 80+ impr, 0-1 click)","")</f>
        <v>Opportunity (pos 5-20, 80+ impr, 0-1 click)</v>
      </c>
    </row>
    <row r="42" customFormat="false" ht="15" hidden="false" customHeight="false" outlineLevel="0" collapsed="false">
      <c r="A42" s="14" t="s">
        <v>921</v>
      </c>
      <c r="B42" s="14" t="n">
        <v>0</v>
      </c>
      <c r="C42" s="14" t="n">
        <v>80</v>
      </c>
      <c r="D42" s="42" t="n">
        <v>0</v>
      </c>
      <c r="E42" s="41" t="n">
        <v>23.9</v>
      </c>
      <c r="F42" s="5" t="str">
        <f aca="false">IF(AND(E42&gt;=5,E42&lt;=20,C42&gt;=80,B42&lt;=1),"Opportunity (pos 5-20, 80+ impr, 0-1 click)","")</f>
        <v/>
      </c>
    </row>
    <row r="43" customFormat="false" ht="15" hidden="false" customHeight="false" outlineLevel="0" collapsed="false">
      <c r="A43" s="14" t="s">
        <v>922</v>
      </c>
      <c r="B43" s="14" t="n">
        <v>0</v>
      </c>
      <c r="C43" s="14" t="n">
        <v>78</v>
      </c>
      <c r="D43" s="42" t="n">
        <v>0</v>
      </c>
      <c r="E43" s="41" t="n">
        <v>16.4</v>
      </c>
      <c r="F43" s="5" t="str">
        <f aca="false">IF(AND(E43&gt;=5,E43&lt;=20,C43&gt;=80,B43&lt;=1),"Opportunity (pos 5-20, 80+ impr, 0-1 click)","")</f>
        <v/>
      </c>
    </row>
    <row r="44" customFormat="false" ht="15" hidden="false" customHeight="false" outlineLevel="0" collapsed="false">
      <c r="A44" s="14" t="s">
        <v>923</v>
      </c>
      <c r="B44" s="14" t="n">
        <v>0</v>
      </c>
      <c r="C44" s="14" t="n">
        <v>76</v>
      </c>
      <c r="D44" s="42" t="n">
        <v>0</v>
      </c>
      <c r="E44" s="41" t="n">
        <v>4.5</v>
      </c>
      <c r="F44" s="5" t="str">
        <f aca="false">IF(AND(E44&gt;=5,E44&lt;=20,C44&gt;=80,B44&lt;=1),"Opportunity (pos 5-20, 80+ impr, 0-1 click)","")</f>
        <v/>
      </c>
    </row>
    <row r="45" customFormat="false" ht="15" hidden="false" customHeight="false" outlineLevel="0" collapsed="false">
      <c r="A45" s="14" t="s">
        <v>924</v>
      </c>
      <c r="B45" s="14" t="n">
        <v>0</v>
      </c>
      <c r="C45" s="14" t="n">
        <v>75</v>
      </c>
      <c r="D45" s="42" t="n">
        <v>0</v>
      </c>
      <c r="E45" s="41" t="n">
        <v>10.05</v>
      </c>
      <c r="F45" s="5" t="str">
        <f aca="false">IF(AND(E45&gt;=5,E45&lt;=20,C45&gt;=80,B45&lt;=1),"Opportunity (pos 5-20, 80+ impr, 0-1 click)","")</f>
        <v/>
      </c>
    </row>
    <row r="46" customFormat="false" ht="15" hidden="false" customHeight="false" outlineLevel="0" collapsed="false">
      <c r="A46" s="14" t="s">
        <v>925</v>
      </c>
      <c r="B46" s="14" t="n">
        <v>0</v>
      </c>
      <c r="C46" s="14" t="n">
        <v>75</v>
      </c>
      <c r="D46" s="42" t="n">
        <v>0</v>
      </c>
      <c r="E46" s="41" t="n">
        <v>12.52</v>
      </c>
      <c r="F46" s="5" t="str">
        <f aca="false">IF(AND(E46&gt;=5,E46&lt;=20,C46&gt;=80,B46&lt;=1),"Opportunity (pos 5-20, 80+ impr, 0-1 click)","")</f>
        <v/>
      </c>
    </row>
    <row r="47" customFormat="false" ht="15" hidden="false" customHeight="false" outlineLevel="0" collapsed="false">
      <c r="A47" s="14" t="s">
        <v>926</v>
      </c>
      <c r="B47" s="14" t="n">
        <v>0</v>
      </c>
      <c r="C47" s="14" t="n">
        <v>74</v>
      </c>
      <c r="D47" s="42" t="n">
        <v>0</v>
      </c>
      <c r="E47" s="41" t="n">
        <v>23.99</v>
      </c>
      <c r="F47" s="5" t="str">
        <f aca="false">IF(AND(E47&gt;=5,E47&lt;=20,C47&gt;=80,B47&lt;=1),"Opportunity (pos 5-20, 80+ impr, 0-1 click)","")</f>
        <v/>
      </c>
    </row>
    <row r="48" customFormat="false" ht="15" hidden="false" customHeight="false" outlineLevel="0" collapsed="false">
      <c r="A48" s="14" t="s">
        <v>927</v>
      </c>
      <c r="B48" s="14" t="n">
        <v>0</v>
      </c>
      <c r="C48" s="14" t="n">
        <v>69</v>
      </c>
      <c r="D48" s="42" t="n">
        <v>0</v>
      </c>
      <c r="E48" s="41" t="n">
        <v>17.65</v>
      </c>
      <c r="F48" s="5" t="str">
        <f aca="false">IF(AND(E48&gt;=5,E48&lt;=20,C48&gt;=80,B48&lt;=1),"Opportunity (pos 5-20, 80+ impr, 0-1 click)","")</f>
        <v/>
      </c>
    </row>
    <row r="49" customFormat="false" ht="15" hidden="false" customHeight="false" outlineLevel="0" collapsed="false">
      <c r="A49" s="14" t="s">
        <v>928</v>
      </c>
      <c r="B49" s="14" t="n">
        <v>0</v>
      </c>
      <c r="C49" s="14" t="n">
        <v>68</v>
      </c>
      <c r="D49" s="42" t="n">
        <v>0</v>
      </c>
      <c r="E49" s="41" t="n">
        <v>10.56</v>
      </c>
      <c r="F49" s="5" t="str">
        <f aca="false">IF(AND(E49&gt;=5,E49&lt;=20,C49&gt;=80,B49&lt;=1),"Opportunity (pos 5-20, 80+ impr, 0-1 click)","")</f>
        <v/>
      </c>
    </row>
    <row r="50" customFormat="false" ht="15" hidden="false" customHeight="false" outlineLevel="0" collapsed="false">
      <c r="A50" s="14" t="s">
        <v>929</v>
      </c>
      <c r="B50" s="14" t="n">
        <v>0</v>
      </c>
      <c r="C50" s="14" t="n">
        <v>66</v>
      </c>
      <c r="D50" s="42" t="n">
        <v>0</v>
      </c>
      <c r="E50" s="41" t="n">
        <v>12.44</v>
      </c>
      <c r="F50" s="5" t="str">
        <f aca="false">IF(AND(E50&gt;=5,E50&lt;=20,C50&gt;=80,B50&lt;=1),"Opportunity (pos 5-20, 80+ impr, 0-1 click)","")</f>
        <v/>
      </c>
    </row>
    <row r="51" customFormat="false" ht="15" hidden="false" customHeight="false" outlineLevel="0" collapsed="false">
      <c r="A51" s="14" t="s">
        <v>930</v>
      </c>
      <c r="B51" s="14" t="n">
        <v>0</v>
      </c>
      <c r="C51" s="14" t="n">
        <v>66</v>
      </c>
      <c r="D51" s="42" t="n">
        <v>0</v>
      </c>
      <c r="E51" s="41" t="n">
        <v>24.85</v>
      </c>
      <c r="F51" s="5" t="str">
        <f aca="false">IF(AND(E51&gt;=5,E51&lt;=20,C51&gt;=80,B51&lt;=1),"Opportunity (pos 5-20, 80+ impr, 0-1 click)","")</f>
        <v/>
      </c>
    </row>
    <row r="52" customFormat="false" ht="15" hidden="false" customHeight="false" outlineLevel="0" collapsed="false">
      <c r="A52" s="14" t="s">
        <v>931</v>
      </c>
      <c r="B52" s="14" t="n">
        <v>0</v>
      </c>
      <c r="C52" s="14" t="n">
        <v>65</v>
      </c>
      <c r="D52" s="42" t="n">
        <v>0</v>
      </c>
      <c r="E52" s="41" t="n">
        <v>10.03</v>
      </c>
      <c r="F52" s="5" t="str">
        <f aca="false">IF(AND(E52&gt;=5,E52&lt;=20,C52&gt;=80,B52&lt;=1),"Opportunity (pos 5-20, 80+ impr, 0-1 click)","")</f>
        <v/>
      </c>
    </row>
    <row r="53" customFormat="false" ht="15" hidden="false" customHeight="false" outlineLevel="0" collapsed="false">
      <c r="A53" s="14" t="s">
        <v>932</v>
      </c>
      <c r="B53" s="14" t="n">
        <v>0</v>
      </c>
      <c r="C53" s="14" t="n">
        <v>65</v>
      </c>
      <c r="D53" s="42" t="n">
        <v>0</v>
      </c>
      <c r="E53" s="41" t="n">
        <v>12.18</v>
      </c>
      <c r="F53" s="5" t="str">
        <f aca="false">IF(AND(E53&gt;=5,E53&lt;=20,C53&gt;=80,B53&lt;=1),"Opportunity (pos 5-20, 80+ impr, 0-1 click)","")</f>
        <v/>
      </c>
    </row>
    <row r="54" customFormat="false" ht="15" hidden="false" customHeight="false" outlineLevel="0" collapsed="false">
      <c r="A54" s="14" t="s">
        <v>933</v>
      </c>
      <c r="B54" s="14" t="n">
        <v>0</v>
      </c>
      <c r="C54" s="14" t="n">
        <v>64</v>
      </c>
      <c r="D54" s="42" t="n">
        <v>0</v>
      </c>
      <c r="E54" s="41" t="n">
        <v>11.52</v>
      </c>
      <c r="F54" s="5" t="str">
        <f aca="false">IF(AND(E54&gt;=5,E54&lt;=20,C54&gt;=80,B54&lt;=1),"Opportunity (pos 5-20, 80+ impr, 0-1 click)","")</f>
        <v/>
      </c>
    </row>
    <row r="55" customFormat="false" ht="15" hidden="false" customHeight="false" outlineLevel="0" collapsed="false">
      <c r="A55" s="14" t="s">
        <v>934</v>
      </c>
      <c r="B55" s="14" t="n">
        <v>0</v>
      </c>
      <c r="C55" s="14" t="n">
        <v>63</v>
      </c>
      <c r="D55" s="42" t="n">
        <v>0</v>
      </c>
      <c r="E55" s="41" t="n">
        <v>12.94</v>
      </c>
      <c r="F55" s="5" t="str">
        <f aca="false">IF(AND(E55&gt;=5,E55&lt;=20,C55&gt;=80,B55&lt;=1),"Opportunity (pos 5-20, 80+ impr, 0-1 click)","")</f>
        <v/>
      </c>
    </row>
    <row r="56" customFormat="false" ht="15" hidden="false" customHeight="false" outlineLevel="0" collapsed="false">
      <c r="A56" s="14" t="s">
        <v>935</v>
      </c>
      <c r="B56" s="14" t="n">
        <v>0</v>
      </c>
      <c r="C56" s="14" t="n">
        <v>62</v>
      </c>
      <c r="D56" s="42" t="n">
        <v>0</v>
      </c>
      <c r="E56" s="41" t="n">
        <v>7.26</v>
      </c>
      <c r="F56" s="5" t="str">
        <f aca="false">IF(AND(E56&gt;=5,E56&lt;=20,C56&gt;=80,B56&lt;=1),"Opportunity (pos 5-20, 80+ impr, 0-1 click)","")</f>
        <v/>
      </c>
    </row>
    <row r="57" customFormat="false" ht="15" hidden="false" customHeight="false" outlineLevel="0" collapsed="false">
      <c r="A57" s="14" t="s">
        <v>936</v>
      </c>
      <c r="B57" s="14" t="n">
        <v>0</v>
      </c>
      <c r="C57" s="14" t="n">
        <v>60</v>
      </c>
      <c r="D57" s="42" t="n">
        <v>0</v>
      </c>
      <c r="E57" s="41" t="n">
        <v>9.58</v>
      </c>
      <c r="F57" s="5" t="str">
        <f aca="false">IF(AND(E57&gt;=5,E57&lt;=20,C57&gt;=80,B57&lt;=1),"Opportunity (pos 5-20, 80+ impr, 0-1 click)","")</f>
        <v/>
      </c>
    </row>
    <row r="58" customFormat="false" ht="15" hidden="false" customHeight="false" outlineLevel="0" collapsed="false">
      <c r="A58" s="14" t="s">
        <v>937</v>
      </c>
      <c r="B58" s="14" t="n">
        <v>0</v>
      </c>
      <c r="C58" s="14" t="n">
        <v>59</v>
      </c>
      <c r="D58" s="42" t="n">
        <v>0</v>
      </c>
      <c r="E58" s="41" t="n">
        <v>31.32</v>
      </c>
      <c r="F58" s="5" t="str">
        <f aca="false">IF(AND(E58&gt;=5,E58&lt;=20,C58&gt;=80,B58&lt;=1),"Opportunity (pos 5-20, 80+ impr, 0-1 click)","")</f>
        <v/>
      </c>
    </row>
    <row r="59" customFormat="false" ht="15" hidden="false" customHeight="false" outlineLevel="0" collapsed="false">
      <c r="A59" s="14" t="s">
        <v>938</v>
      </c>
      <c r="B59" s="14" t="n">
        <v>0</v>
      </c>
      <c r="C59" s="14" t="n">
        <v>58</v>
      </c>
      <c r="D59" s="42" t="n">
        <v>0</v>
      </c>
      <c r="E59" s="41" t="n">
        <v>12.33</v>
      </c>
      <c r="F59" s="5" t="str">
        <f aca="false">IF(AND(E59&gt;=5,E59&lt;=20,C59&gt;=80,B59&lt;=1),"Opportunity (pos 5-20, 80+ impr, 0-1 click)","")</f>
        <v/>
      </c>
    </row>
    <row r="60" customFormat="false" ht="15" hidden="false" customHeight="false" outlineLevel="0" collapsed="false">
      <c r="A60" s="14" t="s">
        <v>939</v>
      </c>
      <c r="B60" s="14" t="n">
        <v>0</v>
      </c>
      <c r="C60" s="14" t="n">
        <v>57</v>
      </c>
      <c r="D60" s="42" t="n">
        <v>0</v>
      </c>
      <c r="E60" s="41" t="n">
        <v>18.96</v>
      </c>
      <c r="F60" s="5" t="str">
        <f aca="false">IF(AND(E60&gt;=5,E60&lt;=20,C60&gt;=80,B60&lt;=1),"Opportunity (pos 5-20, 80+ impr, 0-1 click)","")</f>
        <v/>
      </c>
    </row>
    <row r="61" customFormat="false" ht="15" hidden="false" customHeight="false" outlineLevel="0" collapsed="false">
      <c r="A61" s="14" t="s">
        <v>940</v>
      </c>
      <c r="B61" s="14" t="n">
        <v>0</v>
      </c>
      <c r="C61" s="14" t="n">
        <v>57</v>
      </c>
      <c r="D61" s="42" t="n">
        <v>0</v>
      </c>
      <c r="E61" s="41" t="n">
        <v>21.46</v>
      </c>
      <c r="F61" s="5" t="str">
        <f aca="false">IF(AND(E61&gt;=5,E61&lt;=20,C61&gt;=80,B61&lt;=1),"Opportunity (pos 5-20, 80+ impr, 0-1 click)","")</f>
        <v/>
      </c>
    </row>
    <row r="62" customFormat="false" ht="15" hidden="false" customHeight="false" outlineLevel="0" collapsed="false">
      <c r="A62" s="14" t="s">
        <v>941</v>
      </c>
      <c r="B62" s="14" t="n">
        <v>0</v>
      </c>
      <c r="C62" s="14" t="n">
        <v>55</v>
      </c>
      <c r="D62" s="42" t="n">
        <v>0</v>
      </c>
      <c r="E62" s="41" t="n">
        <v>21.09</v>
      </c>
      <c r="F62" s="5" t="str">
        <f aca="false">IF(AND(E62&gt;=5,E62&lt;=20,C62&gt;=80,B62&lt;=1),"Opportunity (pos 5-20, 80+ impr, 0-1 click)","")</f>
        <v/>
      </c>
    </row>
    <row r="63" customFormat="false" ht="15" hidden="false" customHeight="false" outlineLevel="0" collapsed="false">
      <c r="A63" s="14" t="s">
        <v>942</v>
      </c>
      <c r="B63" s="14" t="n">
        <v>0</v>
      </c>
      <c r="C63" s="14" t="n">
        <v>54</v>
      </c>
      <c r="D63" s="42" t="n">
        <v>0</v>
      </c>
      <c r="E63" s="41" t="n">
        <v>28.8</v>
      </c>
      <c r="F63" s="5" t="str">
        <f aca="false">IF(AND(E63&gt;=5,E63&lt;=20,C63&gt;=80,B63&lt;=1),"Opportunity (pos 5-20, 80+ impr, 0-1 click)","")</f>
        <v/>
      </c>
    </row>
    <row r="64" customFormat="false" ht="15" hidden="false" customHeight="false" outlineLevel="0" collapsed="false">
      <c r="A64" s="14" t="s">
        <v>943</v>
      </c>
      <c r="B64" s="14" t="n">
        <v>0</v>
      </c>
      <c r="C64" s="14" t="n">
        <v>54</v>
      </c>
      <c r="D64" s="42" t="n">
        <v>0</v>
      </c>
      <c r="E64" s="41" t="n">
        <v>44.93</v>
      </c>
      <c r="F64" s="5" t="str">
        <f aca="false">IF(AND(E64&gt;=5,E64&lt;=20,C64&gt;=80,B64&lt;=1),"Opportunity (pos 5-20, 80+ impr, 0-1 click)","")</f>
        <v/>
      </c>
    </row>
    <row r="65" customFormat="false" ht="15" hidden="false" customHeight="false" outlineLevel="0" collapsed="false">
      <c r="A65" s="14" t="s">
        <v>944</v>
      </c>
      <c r="B65" s="14" t="n">
        <v>0</v>
      </c>
      <c r="C65" s="14" t="n">
        <v>52</v>
      </c>
      <c r="D65" s="42" t="n">
        <v>0</v>
      </c>
      <c r="E65" s="41" t="n">
        <v>16.4</v>
      </c>
      <c r="F65" s="5" t="str">
        <f aca="false">IF(AND(E65&gt;=5,E65&lt;=20,C65&gt;=80,B65&lt;=1),"Opportunity (pos 5-20, 80+ impr, 0-1 click)","")</f>
        <v/>
      </c>
    </row>
    <row r="66" customFormat="false" ht="15" hidden="false" customHeight="false" outlineLevel="0" collapsed="false">
      <c r="A66" s="14" t="s">
        <v>945</v>
      </c>
      <c r="B66" s="14" t="n">
        <v>0</v>
      </c>
      <c r="C66" s="14" t="n">
        <v>51</v>
      </c>
      <c r="D66" s="42" t="n">
        <v>0</v>
      </c>
      <c r="E66" s="41" t="n">
        <v>9.8</v>
      </c>
      <c r="F66" s="5" t="str">
        <f aca="false">IF(AND(E66&gt;=5,E66&lt;=20,C66&gt;=80,B66&lt;=1),"Opportunity (pos 5-20, 80+ impr, 0-1 click)","")</f>
        <v/>
      </c>
    </row>
    <row r="67" customFormat="false" ht="15" hidden="false" customHeight="false" outlineLevel="0" collapsed="false">
      <c r="A67" s="14" t="s">
        <v>946</v>
      </c>
      <c r="B67" s="14" t="n">
        <v>0</v>
      </c>
      <c r="C67" s="14" t="n">
        <v>50</v>
      </c>
      <c r="D67" s="42" t="n">
        <v>0</v>
      </c>
      <c r="E67" s="41" t="n">
        <v>10.64</v>
      </c>
      <c r="F67" s="5" t="str">
        <f aca="false">IF(AND(E67&gt;=5,E67&lt;=20,C67&gt;=80,B67&lt;=1),"Opportunity (pos 5-20, 80+ impr, 0-1 click)","")</f>
        <v/>
      </c>
    </row>
    <row r="68" customFormat="false" ht="15" hidden="false" customHeight="false" outlineLevel="0" collapsed="false">
      <c r="A68" s="14" t="s">
        <v>947</v>
      </c>
      <c r="B68" s="14" t="n">
        <v>0</v>
      </c>
      <c r="C68" s="14" t="n">
        <v>50</v>
      </c>
      <c r="D68" s="42" t="n">
        <v>0</v>
      </c>
      <c r="E68" s="41" t="n">
        <v>11.2</v>
      </c>
      <c r="F68" s="5" t="str">
        <f aca="false">IF(AND(E68&gt;=5,E68&lt;=20,C68&gt;=80,B68&lt;=1),"Opportunity (pos 5-20, 80+ impr, 0-1 click)","")</f>
        <v/>
      </c>
    </row>
    <row r="69" customFormat="false" ht="15" hidden="false" customHeight="false" outlineLevel="0" collapsed="false">
      <c r="A69" s="14" t="s">
        <v>948</v>
      </c>
      <c r="B69" s="14" t="n">
        <v>0</v>
      </c>
      <c r="C69" s="14" t="n">
        <v>50</v>
      </c>
      <c r="D69" s="42" t="n">
        <v>0</v>
      </c>
      <c r="E69" s="41" t="n">
        <v>13.26</v>
      </c>
      <c r="F69" s="5" t="str">
        <f aca="false">IF(AND(E69&gt;=5,E69&lt;=20,C69&gt;=80,B69&lt;=1),"Opportunity (pos 5-20, 80+ impr, 0-1 click)","")</f>
        <v/>
      </c>
    </row>
    <row r="70" customFormat="false" ht="15" hidden="false" customHeight="false" outlineLevel="0" collapsed="false">
      <c r="A70" s="14" t="s">
        <v>949</v>
      </c>
      <c r="B70" s="14" t="n">
        <v>0</v>
      </c>
      <c r="C70" s="14" t="n">
        <v>49</v>
      </c>
      <c r="D70" s="42" t="n">
        <v>0</v>
      </c>
      <c r="E70" s="41" t="n">
        <v>14.59</v>
      </c>
      <c r="F70" s="5" t="str">
        <f aca="false">IF(AND(E70&gt;=5,E70&lt;=20,C70&gt;=80,B70&lt;=1),"Opportunity (pos 5-20, 80+ impr, 0-1 click)","")</f>
        <v/>
      </c>
    </row>
    <row r="71" customFormat="false" ht="15" hidden="false" customHeight="false" outlineLevel="0" collapsed="false">
      <c r="A71" s="14" t="s">
        <v>950</v>
      </c>
      <c r="B71" s="14" t="n">
        <v>0</v>
      </c>
      <c r="C71" s="14" t="n">
        <v>49</v>
      </c>
      <c r="D71" s="42" t="n">
        <v>0</v>
      </c>
      <c r="E71" s="41" t="n">
        <v>28.49</v>
      </c>
      <c r="F71" s="5" t="str">
        <f aca="false">IF(AND(E71&gt;=5,E71&lt;=20,C71&gt;=80,B71&lt;=1),"Opportunity (pos 5-20, 80+ impr, 0-1 click)","")</f>
        <v/>
      </c>
    </row>
    <row r="72" customFormat="false" ht="15" hidden="false" customHeight="false" outlineLevel="0" collapsed="false">
      <c r="A72" s="14" t="s">
        <v>951</v>
      </c>
      <c r="B72" s="14" t="n">
        <v>0</v>
      </c>
      <c r="C72" s="14" t="n">
        <v>49</v>
      </c>
      <c r="D72" s="42" t="n">
        <v>0</v>
      </c>
      <c r="E72" s="41" t="n">
        <v>47.98</v>
      </c>
      <c r="F72" s="5" t="str">
        <f aca="false">IF(AND(E72&gt;=5,E72&lt;=20,C72&gt;=80,B72&lt;=1),"Opportunity (pos 5-20, 80+ impr, 0-1 click)","")</f>
        <v/>
      </c>
    </row>
    <row r="73" customFormat="false" ht="15" hidden="false" customHeight="false" outlineLevel="0" collapsed="false">
      <c r="A73" s="14" t="s">
        <v>952</v>
      </c>
      <c r="B73" s="14" t="n">
        <v>0</v>
      </c>
      <c r="C73" s="14" t="n">
        <v>48</v>
      </c>
      <c r="D73" s="42" t="n">
        <v>0</v>
      </c>
      <c r="E73" s="41" t="n">
        <v>9.46</v>
      </c>
      <c r="F73" s="5" t="str">
        <f aca="false">IF(AND(E73&gt;=5,E73&lt;=20,C73&gt;=80,B73&lt;=1),"Opportunity (pos 5-20, 80+ impr, 0-1 click)","")</f>
        <v/>
      </c>
    </row>
    <row r="74" customFormat="false" ht="15" hidden="false" customHeight="false" outlineLevel="0" collapsed="false">
      <c r="A74" s="14" t="s">
        <v>953</v>
      </c>
      <c r="B74" s="14" t="n">
        <v>0</v>
      </c>
      <c r="C74" s="14" t="n">
        <v>47</v>
      </c>
      <c r="D74" s="42" t="n">
        <v>0</v>
      </c>
      <c r="E74" s="41" t="n">
        <v>16.72</v>
      </c>
      <c r="F74" s="5" t="str">
        <f aca="false">IF(AND(E74&gt;=5,E74&lt;=20,C74&gt;=80,B74&lt;=1),"Opportunity (pos 5-20, 80+ impr, 0-1 click)","")</f>
        <v/>
      </c>
    </row>
    <row r="75" customFormat="false" ht="15" hidden="false" customHeight="false" outlineLevel="0" collapsed="false">
      <c r="A75" s="14" t="s">
        <v>954</v>
      </c>
      <c r="B75" s="14" t="n">
        <v>0</v>
      </c>
      <c r="C75" s="14" t="n">
        <v>46</v>
      </c>
      <c r="D75" s="42" t="n">
        <v>0</v>
      </c>
      <c r="E75" s="41" t="n">
        <v>10.33</v>
      </c>
      <c r="F75" s="5" t="str">
        <f aca="false">IF(AND(E75&gt;=5,E75&lt;=20,C75&gt;=80,B75&lt;=1),"Opportunity (pos 5-20, 80+ impr, 0-1 click)","")</f>
        <v/>
      </c>
    </row>
    <row r="76" customFormat="false" ht="15" hidden="false" customHeight="false" outlineLevel="0" collapsed="false">
      <c r="A76" s="14" t="s">
        <v>955</v>
      </c>
      <c r="B76" s="14" t="n">
        <v>0</v>
      </c>
      <c r="C76" s="14" t="n">
        <v>46</v>
      </c>
      <c r="D76" s="42" t="n">
        <v>0</v>
      </c>
      <c r="E76" s="41" t="n">
        <v>27.63</v>
      </c>
      <c r="F76" s="5" t="str">
        <f aca="false">IF(AND(E76&gt;=5,E76&lt;=20,C76&gt;=80,B76&lt;=1),"Opportunity (pos 5-20, 80+ impr, 0-1 click)","")</f>
        <v/>
      </c>
    </row>
    <row r="77" customFormat="false" ht="15" hidden="false" customHeight="false" outlineLevel="0" collapsed="false">
      <c r="A77" s="14" t="s">
        <v>956</v>
      </c>
      <c r="B77" s="14" t="n">
        <v>0</v>
      </c>
      <c r="C77" s="14" t="n">
        <v>45</v>
      </c>
      <c r="D77" s="42" t="n">
        <v>0</v>
      </c>
      <c r="E77" s="41" t="n">
        <v>7.62</v>
      </c>
      <c r="F77" s="5" t="str">
        <f aca="false">IF(AND(E77&gt;=5,E77&lt;=20,C77&gt;=80,B77&lt;=1),"Opportunity (pos 5-20, 80+ impr, 0-1 click)","")</f>
        <v/>
      </c>
    </row>
    <row r="78" customFormat="false" ht="15" hidden="false" customHeight="false" outlineLevel="0" collapsed="false">
      <c r="A78" s="14" t="s">
        <v>957</v>
      </c>
      <c r="B78" s="14" t="n">
        <v>0</v>
      </c>
      <c r="C78" s="14" t="n">
        <v>45</v>
      </c>
      <c r="D78" s="42" t="n">
        <v>0</v>
      </c>
      <c r="E78" s="41" t="n">
        <v>28.44</v>
      </c>
      <c r="F78" s="5" t="str">
        <f aca="false">IF(AND(E78&gt;=5,E78&lt;=20,C78&gt;=80,B78&lt;=1),"Opportunity (pos 5-20, 80+ impr, 0-1 click)","")</f>
        <v/>
      </c>
    </row>
    <row r="79" customFormat="false" ht="15" hidden="false" customHeight="false" outlineLevel="0" collapsed="false">
      <c r="A79" s="14" t="s">
        <v>958</v>
      </c>
      <c r="B79" s="14" t="n">
        <v>0</v>
      </c>
      <c r="C79" s="14" t="n">
        <v>45</v>
      </c>
      <c r="D79" s="42" t="n">
        <v>0</v>
      </c>
      <c r="E79" s="41" t="n">
        <v>50.58</v>
      </c>
      <c r="F79" s="5" t="str">
        <f aca="false">IF(AND(E79&gt;=5,E79&lt;=20,C79&gt;=80,B79&lt;=1),"Opportunity (pos 5-20, 80+ impr, 0-1 click)","")</f>
        <v/>
      </c>
    </row>
    <row r="80" customFormat="false" ht="15" hidden="false" customHeight="false" outlineLevel="0" collapsed="false">
      <c r="A80" s="14" t="s">
        <v>959</v>
      </c>
      <c r="B80" s="14" t="n">
        <v>0</v>
      </c>
      <c r="C80" s="14" t="n">
        <v>44</v>
      </c>
      <c r="D80" s="42" t="n">
        <v>0</v>
      </c>
      <c r="E80" s="41" t="n">
        <v>7.98</v>
      </c>
      <c r="F80" s="5" t="str">
        <f aca="false">IF(AND(E80&gt;=5,E80&lt;=20,C80&gt;=80,B80&lt;=1),"Opportunity (pos 5-20, 80+ impr, 0-1 click)","")</f>
        <v/>
      </c>
    </row>
    <row r="81" customFormat="false" ht="15" hidden="false" customHeight="false" outlineLevel="0" collapsed="false">
      <c r="A81" s="14" t="s">
        <v>960</v>
      </c>
      <c r="B81" s="14" t="n">
        <v>0</v>
      </c>
      <c r="C81" s="14" t="n">
        <v>44</v>
      </c>
      <c r="D81" s="42" t="n">
        <v>0</v>
      </c>
      <c r="E81" s="41" t="n">
        <v>13.64</v>
      </c>
      <c r="F81" s="5" t="str">
        <f aca="false">IF(AND(E81&gt;=5,E81&lt;=20,C81&gt;=80,B81&lt;=1),"Opportunity (pos 5-20, 80+ impr, 0-1 click)","")</f>
        <v/>
      </c>
    </row>
    <row r="82" customFormat="false" ht="15" hidden="false" customHeight="false" outlineLevel="0" collapsed="false">
      <c r="A82" s="14" t="s">
        <v>961</v>
      </c>
      <c r="B82" s="14" t="n">
        <v>0</v>
      </c>
      <c r="C82" s="14" t="n">
        <v>44</v>
      </c>
      <c r="D82" s="42" t="n">
        <v>0</v>
      </c>
      <c r="E82" s="41" t="n">
        <v>19.41</v>
      </c>
      <c r="F82" s="5" t="str">
        <f aca="false">IF(AND(E82&gt;=5,E82&lt;=20,C82&gt;=80,B82&lt;=1),"Opportunity (pos 5-20, 80+ impr, 0-1 click)","")</f>
        <v/>
      </c>
    </row>
    <row r="83" customFormat="false" ht="15" hidden="false" customHeight="false" outlineLevel="0" collapsed="false">
      <c r="A83" s="14" t="s">
        <v>962</v>
      </c>
      <c r="B83" s="14" t="n">
        <v>0</v>
      </c>
      <c r="C83" s="14" t="n">
        <v>42</v>
      </c>
      <c r="D83" s="42" t="n">
        <v>0</v>
      </c>
      <c r="E83" s="41" t="n">
        <v>9.31</v>
      </c>
      <c r="F83" s="5" t="str">
        <f aca="false">IF(AND(E83&gt;=5,E83&lt;=20,C83&gt;=80,B83&lt;=1),"Opportunity (pos 5-20, 80+ impr, 0-1 click)","")</f>
        <v/>
      </c>
    </row>
    <row r="84" customFormat="false" ht="15" hidden="false" customHeight="false" outlineLevel="0" collapsed="false">
      <c r="A84" s="14" t="s">
        <v>963</v>
      </c>
      <c r="B84" s="14" t="n">
        <v>0</v>
      </c>
      <c r="C84" s="14" t="n">
        <v>42</v>
      </c>
      <c r="D84" s="42" t="n">
        <v>0</v>
      </c>
      <c r="E84" s="41" t="n">
        <v>27.12</v>
      </c>
      <c r="F84" s="5" t="str">
        <f aca="false">IF(AND(E84&gt;=5,E84&lt;=20,C84&gt;=80,B84&lt;=1),"Opportunity (pos 5-20, 80+ impr, 0-1 click)","")</f>
        <v/>
      </c>
    </row>
    <row r="85" customFormat="false" ht="15" hidden="false" customHeight="false" outlineLevel="0" collapsed="false">
      <c r="A85" s="14" t="s">
        <v>964</v>
      </c>
      <c r="B85" s="14" t="n">
        <v>0</v>
      </c>
      <c r="C85" s="14" t="n">
        <v>41</v>
      </c>
      <c r="D85" s="42" t="n">
        <v>0</v>
      </c>
      <c r="E85" s="41" t="n">
        <v>12.66</v>
      </c>
      <c r="F85" s="5" t="str">
        <f aca="false">IF(AND(E85&gt;=5,E85&lt;=20,C85&gt;=80,B85&lt;=1),"Opportunity (pos 5-20, 80+ impr, 0-1 click)","")</f>
        <v/>
      </c>
    </row>
    <row r="86" customFormat="false" ht="15" hidden="false" customHeight="false" outlineLevel="0" collapsed="false">
      <c r="A86" s="14" t="s">
        <v>965</v>
      </c>
      <c r="B86" s="14" t="n">
        <v>0</v>
      </c>
      <c r="C86" s="14" t="n">
        <v>41</v>
      </c>
      <c r="D86" s="42" t="n">
        <v>0</v>
      </c>
      <c r="E86" s="41" t="n">
        <v>15.24</v>
      </c>
      <c r="F86" s="5" t="str">
        <f aca="false">IF(AND(E86&gt;=5,E86&lt;=20,C86&gt;=80,B86&lt;=1),"Opportunity (pos 5-20, 80+ impr, 0-1 click)","")</f>
        <v/>
      </c>
    </row>
    <row r="87" customFormat="false" ht="15" hidden="false" customHeight="false" outlineLevel="0" collapsed="false">
      <c r="A87" s="14" t="s">
        <v>966</v>
      </c>
      <c r="B87" s="14" t="n">
        <v>0</v>
      </c>
      <c r="C87" s="14" t="n">
        <v>39</v>
      </c>
      <c r="D87" s="42" t="n">
        <v>0</v>
      </c>
      <c r="E87" s="41" t="n">
        <v>15.21</v>
      </c>
      <c r="F87" s="5" t="str">
        <f aca="false">IF(AND(E87&gt;=5,E87&lt;=20,C87&gt;=80,B87&lt;=1),"Opportunity (pos 5-20, 80+ impr, 0-1 click)","")</f>
        <v/>
      </c>
    </row>
    <row r="88" customFormat="false" ht="15" hidden="false" customHeight="false" outlineLevel="0" collapsed="false">
      <c r="A88" s="14" t="s">
        <v>967</v>
      </c>
      <c r="B88" s="14" t="n">
        <v>0</v>
      </c>
      <c r="C88" s="14" t="n">
        <v>39</v>
      </c>
      <c r="D88" s="42" t="n">
        <v>0</v>
      </c>
      <c r="E88" s="41" t="n">
        <v>15.72</v>
      </c>
      <c r="F88" s="5" t="str">
        <f aca="false">IF(AND(E88&gt;=5,E88&lt;=20,C88&gt;=80,B88&lt;=1),"Opportunity (pos 5-20, 80+ impr, 0-1 click)","")</f>
        <v/>
      </c>
    </row>
    <row r="89" customFormat="false" ht="15" hidden="false" customHeight="false" outlineLevel="0" collapsed="false">
      <c r="A89" s="14" t="s">
        <v>968</v>
      </c>
      <c r="B89" s="14" t="n">
        <v>0</v>
      </c>
      <c r="C89" s="14" t="n">
        <v>38</v>
      </c>
      <c r="D89" s="42" t="n">
        <v>0</v>
      </c>
      <c r="E89" s="41" t="n">
        <v>8.21</v>
      </c>
      <c r="F89" s="5" t="str">
        <f aca="false">IF(AND(E89&gt;=5,E89&lt;=20,C89&gt;=80,B89&lt;=1),"Opportunity (pos 5-20, 80+ impr, 0-1 click)","")</f>
        <v/>
      </c>
    </row>
    <row r="90" customFormat="false" ht="15" hidden="false" customHeight="false" outlineLevel="0" collapsed="false">
      <c r="A90" s="14" t="s">
        <v>969</v>
      </c>
      <c r="B90" s="14" t="n">
        <v>0</v>
      </c>
      <c r="C90" s="14" t="n">
        <v>38</v>
      </c>
      <c r="D90" s="42" t="n">
        <v>0</v>
      </c>
      <c r="E90" s="41" t="n">
        <v>9.68</v>
      </c>
      <c r="F90" s="5" t="str">
        <f aca="false">IF(AND(E90&gt;=5,E90&lt;=20,C90&gt;=80,B90&lt;=1),"Opportunity (pos 5-20, 80+ impr, 0-1 click)","")</f>
        <v/>
      </c>
    </row>
    <row r="91" customFormat="false" ht="15" hidden="false" customHeight="false" outlineLevel="0" collapsed="false">
      <c r="A91" s="14" t="s">
        <v>970</v>
      </c>
      <c r="B91" s="14" t="n">
        <v>0</v>
      </c>
      <c r="C91" s="14" t="n">
        <v>38</v>
      </c>
      <c r="D91" s="42" t="n">
        <v>0</v>
      </c>
      <c r="E91" s="41" t="n">
        <v>15.89</v>
      </c>
      <c r="F91" s="5" t="str">
        <f aca="false">IF(AND(E91&gt;=5,E91&lt;=20,C91&gt;=80,B91&lt;=1),"Opportunity (pos 5-20, 80+ impr, 0-1 click)","")</f>
        <v/>
      </c>
    </row>
    <row r="92" customFormat="false" ht="15" hidden="false" customHeight="false" outlineLevel="0" collapsed="false">
      <c r="A92" s="14" t="s">
        <v>971</v>
      </c>
      <c r="B92" s="14" t="n">
        <v>0</v>
      </c>
      <c r="C92" s="14" t="n">
        <v>38</v>
      </c>
      <c r="D92" s="42" t="n">
        <v>0</v>
      </c>
      <c r="E92" s="41" t="n">
        <v>23.61</v>
      </c>
      <c r="F92" s="5" t="str">
        <f aca="false">IF(AND(E92&gt;=5,E92&lt;=20,C92&gt;=80,B92&lt;=1),"Opportunity (pos 5-20, 80+ impr, 0-1 click)","")</f>
        <v/>
      </c>
    </row>
    <row r="93" customFormat="false" ht="15" hidden="false" customHeight="false" outlineLevel="0" collapsed="false">
      <c r="A93" s="14" t="s">
        <v>972</v>
      </c>
      <c r="B93" s="14" t="n">
        <v>0</v>
      </c>
      <c r="C93" s="14" t="n">
        <v>37</v>
      </c>
      <c r="D93" s="42" t="n">
        <v>0</v>
      </c>
      <c r="E93" s="41" t="n">
        <v>16.92</v>
      </c>
      <c r="F93" s="5" t="str">
        <f aca="false">IF(AND(E93&gt;=5,E93&lt;=20,C93&gt;=80,B93&lt;=1),"Opportunity (pos 5-20, 80+ impr, 0-1 click)","")</f>
        <v/>
      </c>
    </row>
    <row r="94" customFormat="false" ht="15" hidden="false" customHeight="false" outlineLevel="0" collapsed="false">
      <c r="A94" s="14" t="s">
        <v>973</v>
      </c>
      <c r="B94" s="14" t="n">
        <v>0</v>
      </c>
      <c r="C94" s="14" t="n">
        <v>37</v>
      </c>
      <c r="D94" s="42" t="n">
        <v>0</v>
      </c>
      <c r="E94" s="41" t="n">
        <v>19.35</v>
      </c>
      <c r="F94" s="5" t="str">
        <f aca="false">IF(AND(E94&gt;=5,E94&lt;=20,C94&gt;=80,B94&lt;=1),"Opportunity (pos 5-20, 80+ impr, 0-1 click)","")</f>
        <v/>
      </c>
    </row>
    <row r="95" customFormat="false" ht="15" hidden="false" customHeight="false" outlineLevel="0" collapsed="false">
      <c r="A95" s="14" t="s">
        <v>974</v>
      </c>
      <c r="B95" s="14" t="n">
        <v>0</v>
      </c>
      <c r="C95" s="14" t="n">
        <v>37</v>
      </c>
      <c r="D95" s="42" t="n">
        <v>0</v>
      </c>
      <c r="E95" s="41" t="n">
        <v>27.16</v>
      </c>
      <c r="F95" s="5" t="str">
        <f aca="false">IF(AND(E95&gt;=5,E95&lt;=20,C95&gt;=80,B95&lt;=1),"Opportunity (pos 5-20, 80+ impr, 0-1 click)","")</f>
        <v/>
      </c>
    </row>
    <row r="96" customFormat="false" ht="15" hidden="false" customHeight="false" outlineLevel="0" collapsed="false">
      <c r="A96" s="14" t="s">
        <v>975</v>
      </c>
      <c r="B96" s="14" t="n">
        <v>0</v>
      </c>
      <c r="C96" s="14" t="n">
        <v>36</v>
      </c>
      <c r="D96" s="42" t="n">
        <v>0</v>
      </c>
      <c r="E96" s="41" t="n">
        <v>9.5</v>
      </c>
      <c r="F96" s="5" t="str">
        <f aca="false">IF(AND(E96&gt;=5,E96&lt;=20,C96&gt;=80,B96&lt;=1),"Opportunity (pos 5-20, 80+ impr, 0-1 click)","")</f>
        <v/>
      </c>
    </row>
    <row r="97" customFormat="false" ht="15" hidden="false" customHeight="false" outlineLevel="0" collapsed="false">
      <c r="A97" s="14" t="s">
        <v>976</v>
      </c>
      <c r="B97" s="14" t="n">
        <v>0</v>
      </c>
      <c r="C97" s="14" t="n">
        <v>36</v>
      </c>
      <c r="D97" s="42" t="n">
        <v>0</v>
      </c>
      <c r="E97" s="41" t="n">
        <v>17.25</v>
      </c>
      <c r="F97" s="5" t="str">
        <f aca="false">IF(AND(E97&gt;=5,E97&lt;=20,C97&gt;=80,B97&lt;=1),"Opportunity (pos 5-20, 80+ impr, 0-1 click)","")</f>
        <v/>
      </c>
    </row>
    <row r="98" customFormat="false" ht="15" hidden="false" customHeight="false" outlineLevel="0" collapsed="false">
      <c r="A98" s="14" t="s">
        <v>977</v>
      </c>
      <c r="B98" s="14" t="n">
        <v>0</v>
      </c>
      <c r="C98" s="14" t="n">
        <v>36</v>
      </c>
      <c r="D98" s="42" t="n">
        <v>0</v>
      </c>
      <c r="E98" s="41" t="n">
        <v>28.39</v>
      </c>
      <c r="F98" s="5" t="str">
        <f aca="false">IF(AND(E98&gt;=5,E98&lt;=20,C98&gt;=80,B98&lt;=1),"Opportunity (pos 5-20, 80+ impr, 0-1 click)","")</f>
        <v/>
      </c>
    </row>
    <row r="99" customFormat="false" ht="15" hidden="false" customHeight="false" outlineLevel="0" collapsed="false">
      <c r="A99" s="14" t="s">
        <v>978</v>
      </c>
      <c r="B99" s="14" t="n">
        <v>0</v>
      </c>
      <c r="C99" s="14" t="n">
        <v>35</v>
      </c>
      <c r="D99" s="42" t="n">
        <v>0</v>
      </c>
      <c r="E99" s="41" t="n">
        <v>61.31</v>
      </c>
      <c r="F99" s="5" t="str">
        <f aca="false">IF(AND(E99&gt;=5,E99&lt;=20,C99&gt;=80,B99&lt;=1),"Opportunity (pos 5-20, 80+ impr, 0-1 click)","")</f>
        <v/>
      </c>
    </row>
    <row r="100" customFormat="false" ht="15" hidden="false" customHeight="false" outlineLevel="0" collapsed="false">
      <c r="A100" s="14" t="s">
        <v>979</v>
      </c>
      <c r="B100" s="14" t="n">
        <v>0</v>
      </c>
      <c r="C100" s="14" t="n">
        <v>34</v>
      </c>
      <c r="D100" s="42" t="n">
        <v>0</v>
      </c>
      <c r="E100" s="41" t="n">
        <v>31.91</v>
      </c>
      <c r="F100" s="5" t="str">
        <f aca="false">IF(AND(E100&gt;=5,E100&lt;=20,C100&gt;=80,B100&lt;=1),"Opportunity (pos 5-20, 80+ impr, 0-1 click)","")</f>
        <v/>
      </c>
    </row>
    <row r="101" customFormat="false" ht="15" hidden="false" customHeight="false" outlineLevel="0" collapsed="false">
      <c r="A101" s="14" t="s">
        <v>980</v>
      </c>
      <c r="B101" s="14" t="n">
        <v>0</v>
      </c>
      <c r="C101" s="14" t="n">
        <v>34</v>
      </c>
      <c r="D101" s="42" t="n">
        <v>0</v>
      </c>
      <c r="E101" s="41" t="n">
        <v>34.21</v>
      </c>
      <c r="F101" s="5" t="str">
        <f aca="false">IF(AND(E101&gt;=5,E101&lt;=20,C101&gt;=80,B101&lt;=1),"Opportunity (pos 5-20, 80+ impr, 0-1 click)","")</f>
        <v/>
      </c>
    </row>
    <row r="102" customFormat="false" ht="15" hidden="false" customHeight="false" outlineLevel="0" collapsed="false">
      <c r="A102" s="14" t="s">
        <v>981</v>
      </c>
      <c r="B102" s="14" t="n">
        <v>0</v>
      </c>
      <c r="C102" s="14" t="n">
        <v>33</v>
      </c>
      <c r="D102" s="42" t="n">
        <v>0</v>
      </c>
      <c r="E102" s="41" t="n">
        <v>14.67</v>
      </c>
      <c r="F102" s="5" t="str">
        <f aca="false">IF(AND(E102&gt;=5,E102&lt;=20,C102&gt;=80,B102&lt;=1),"Opportunity (pos 5-20, 80+ impr, 0-1 click)","")</f>
        <v/>
      </c>
    </row>
    <row r="103" customFormat="false" ht="15" hidden="false" customHeight="false" outlineLevel="0" collapsed="false">
      <c r="A103" s="14" t="s">
        <v>982</v>
      </c>
      <c r="B103" s="14" t="n">
        <v>0</v>
      </c>
      <c r="C103" s="14" t="n">
        <v>33</v>
      </c>
      <c r="D103" s="42" t="n">
        <v>0</v>
      </c>
      <c r="E103" s="41" t="n">
        <v>28.76</v>
      </c>
      <c r="F103" s="5" t="str">
        <f aca="false">IF(AND(E103&gt;=5,E103&lt;=20,C103&gt;=80,B103&lt;=1),"Opportunity (pos 5-20, 80+ impr, 0-1 click)","")</f>
        <v/>
      </c>
    </row>
    <row r="104" customFormat="false" ht="15" hidden="false" customHeight="false" outlineLevel="0" collapsed="false">
      <c r="A104" s="14" t="s">
        <v>983</v>
      </c>
      <c r="B104" s="14" t="n">
        <v>0</v>
      </c>
      <c r="C104" s="14" t="n">
        <v>33</v>
      </c>
      <c r="D104" s="42" t="n">
        <v>0</v>
      </c>
      <c r="E104" s="41" t="n">
        <v>55.39</v>
      </c>
      <c r="F104" s="5" t="str">
        <f aca="false">IF(AND(E104&gt;=5,E104&lt;=20,C104&gt;=80,B104&lt;=1),"Opportunity (pos 5-20, 80+ impr, 0-1 click)","")</f>
        <v/>
      </c>
    </row>
    <row r="105" customFormat="false" ht="15" hidden="false" customHeight="false" outlineLevel="0" collapsed="false">
      <c r="A105" s="14" t="s">
        <v>984</v>
      </c>
      <c r="B105" s="14" t="n">
        <v>0</v>
      </c>
      <c r="C105" s="14" t="n">
        <v>33</v>
      </c>
      <c r="D105" s="42" t="n">
        <v>0</v>
      </c>
      <c r="E105" s="41" t="n">
        <v>66.88</v>
      </c>
      <c r="F105" s="5" t="str">
        <f aca="false">IF(AND(E105&gt;=5,E105&lt;=20,C105&gt;=80,B105&lt;=1),"Opportunity (pos 5-20, 80+ impr, 0-1 click)","")</f>
        <v/>
      </c>
    </row>
    <row r="106" customFormat="false" ht="15" hidden="false" customHeight="false" outlineLevel="0" collapsed="false">
      <c r="A106" s="14" t="s">
        <v>985</v>
      </c>
      <c r="B106" s="14" t="n">
        <v>0</v>
      </c>
      <c r="C106" s="14" t="n">
        <v>32</v>
      </c>
      <c r="D106" s="42" t="n">
        <v>0</v>
      </c>
      <c r="E106" s="41" t="n">
        <v>8.53</v>
      </c>
      <c r="F106" s="5" t="str">
        <f aca="false">IF(AND(E106&gt;=5,E106&lt;=20,C106&gt;=80,B106&lt;=1),"Opportunity (pos 5-20, 80+ impr, 0-1 click)","")</f>
        <v/>
      </c>
    </row>
    <row r="107" customFormat="false" ht="15" hidden="false" customHeight="false" outlineLevel="0" collapsed="false">
      <c r="A107" s="14" t="s">
        <v>986</v>
      </c>
      <c r="B107" s="14" t="n">
        <v>0</v>
      </c>
      <c r="C107" s="14" t="n">
        <v>32</v>
      </c>
      <c r="D107" s="42" t="n">
        <v>0</v>
      </c>
      <c r="E107" s="41" t="n">
        <v>10.47</v>
      </c>
      <c r="F107" s="5" t="str">
        <f aca="false">IF(AND(E107&gt;=5,E107&lt;=20,C107&gt;=80,B107&lt;=1),"Opportunity (pos 5-20, 80+ impr, 0-1 click)","")</f>
        <v/>
      </c>
    </row>
    <row r="108" customFormat="false" ht="15" hidden="false" customHeight="false" outlineLevel="0" collapsed="false">
      <c r="A108" s="14" t="s">
        <v>987</v>
      </c>
      <c r="B108" s="14" t="n">
        <v>0</v>
      </c>
      <c r="C108" s="14" t="n">
        <v>32</v>
      </c>
      <c r="D108" s="42" t="n">
        <v>0</v>
      </c>
      <c r="E108" s="41" t="n">
        <v>23</v>
      </c>
      <c r="F108" s="5" t="str">
        <f aca="false">IF(AND(E108&gt;=5,E108&lt;=20,C108&gt;=80,B108&lt;=1),"Opportunity (pos 5-20, 80+ impr, 0-1 click)","")</f>
        <v/>
      </c>
    </row>
    <row r="109" customFormat="false" ht="15" hidden="false" customHeight="false" outlineLevel="0" collapsed="false">
      <c r="A109" s="14" t="s">
        <v>988</v>
      </c>
      <c r="B109" s="14" t="n">
        <v>0</v>
      </c>
      <c r="C109" s="14" t="n">
        <v>31</v>
      </c>
      <c r="D109" s="42" t="n">
        <v>0</v>
      </c>
      <c r="E109" s="41" t="n">
        <v>11.9</v>
      </c>
      <c r="F109" s="5" t="str">
        <f aca="false">IF(AND(E109&gt;=5,E109&lt;=20,C109&gt;=80,B109&lt;=1),"Opportunity (pos 5-20, 80+ impr, 0-1 click)","")</f>
        <v/>
      </c>
    </row>
    <row r="110" customFormat="false" ht="15" hidden="false" customHeight="false" outlineLevel="0" collapsed="false">
      <c r="A110" s="14" t="s">
        <v>989</v>
      </c>
      <c r="B110" s="14" t="n">
        <v>0</v>
      </c>
      <c r="C110" s="14" t="n">
        <v>31</v>
      </c>
      <c r="D110" s="42" t="n">
        <v>0</v>
      </c>
      <c r="E110" s="41" t="n">
        <v>20.74</v>
      </c>
      <c r="F110" s="5" t="str">
        <f aca="false">IF(AND(E110&gt;=5,E110&lt;=20,C110&gt;=80,B110&lt;=1),"Opportunity (pos 5-20, 80+ impr, 0-1 click)","")</f>
        <v/>
      </c>
    </row>
    <row r="111" customFormat="false" ht="15" hidden="false" customHeight="false" outlineLevel="0" collapsed="false">
      <c r="A111" s="14" t="s">
        <v>990</v>
      </c>
      <c r="B111" s="14" t="n">
        <v>0</v>
      </c>
      <c r="C111" s="14" t="n">
        <v>31</v>
      </c>
      <c r="D111" s="42" t="n">
        <v>0</v>
      </c>
      <c r="E111" s="41" t="n">
        <v>27.94</v>
      </c>
      <c r="F111" s="5" t="str">
        <f aca="false">IF(AND(E111&gt;=5,E111&lt;=20,C111&gt;=80,B111&lt;=1),"Opportunity (pos 5-20, 80+ impr, 0-1 click)","")</f>
        <v/>
      </c>
    </row>
    <row r="112" customFormat="false" ht="15" hidden="false" customHeight="false" outlineLevel="0" collapsed="false">
      <c r="A112" s="14" t="s">
        <v>991</v>
      </c>
      <c r="B112" s="14" t="n">
        <v>0</v>
      </c>
      <c r="C112" s="14" t="n">
        <v>30</v>
      </c>
      <c r="D112" s="42" t="n">
        <v>0</v>
      </c>
      <c r="E112" s="41" t="n">
        <v>9.93</v>
      </c>
      <c r="F112" s="5" t="str">
        <f aca="false">IF(AND(E112&gt;=5,E112&lt;=20,C112&gt;=80,B112&lt;=1),"Opportunity (pos 5-20, 80+ impr, 0-1 click)","")</f>
        <v/>
      </c>
    </row>
    <row r="113" customFormat="false" ht="15" hidden="false" customHeight="false" outlineLevel="0" collapsed="false">
      <c r="A113" s="14" t="s">
        <v>992</v>
      </c>
      <c r="B113" s="14" t="n">
        <v>0</v>
      </c>
      <c r="C113" s="14" t="n">
        <v>30</v>
      </c>
      <c r="D113" s="42" t="n">
        <v>0</v>
      </c>
      <c r="E113" s="41" t="n">
        <v>15.07</v>
      </c>
      <c r="F113" s="5" t="str">
        <f aca="false">IF(AND(E113&gt;=5,E113&lt;=20,C113&gt;=80,B113&lt;=1),"Opportunity (pos 5-20, 80+ impr, 0-1 click)","")</f>
        <v/>
      </c>
    </row>
    <row r="114" customFormat="false" ht="15" hidden="false" customHeight="false" outlineLevel="0" collapsed="false">
      <c r="A114" s="14" t="s">
        <v>993</v>
      </c>
      <c r="B114" s="14" t="n">
        <v>0</v>
      </c>
      <c r="C114" s="14" t="n">
        <v>30</v>
      </c>
      <c r="D114" s="42" t="n">
        <v>0</v>
      </c>
      <c r="E114" s="41" t="n">
        <v>23.13</v>
      </c>
      <c r="F114" s="5" t="str">
        <f aca="false">IF(AND(E114&gt;=5,E114&lt;=20,C114&gt;=80,B114&lt;=1),"Opportunity (pos 5-20, 80+ impr, 0-1 click)","")</f>
        <v/>
      </c>
    </row>
    <row r="115" customFormat="false" ht="15" hidden="false" customHeight="false" outlineLevel="0" collapsed="false">
      <c r="A115" s="14" t="s">
        <v>994</v>
      </c>
      <c r="B115" s="14" t="n">
        <v>0</v>
      </c>
      <c r="C115" s="14" t="n">
        <v>30</v>
      </c>
      <c r="D115" s="42" t="n">
        <v>0</v>
      </c>
      <c r="E115" s="41" t="n">
        <v>25.5</v>
      </c>
      <c r="F115" s="5" t="str">
        <f aca="false">IF(AND(E115&gt;=5,E115&lt;=20,C115&gt;=80,B115&lt;=1),"Opportunity (pos 5-20, 80+ impr, 0-1 click)","")</f>
        <v/>
      </c>
    </row>
    <row r="116" customFormat="false" ht="15" hidden="false" customHeight="false" outlineLevel="0" collapsed="false">
      <c r="A116" s="14" t="s">
        <v>995</v>
      </c>
      <c r="B116" s="14" t="n">
        <v>0</v>
      </c>
      <c r="C116" s="14" t="n">
        <v>30</v>
      </c>
      <c r="D116" s="42" t="n">
        <v>0</v>
      </c>
      <c r="E116" s="41" t="n">
        <v>29.83</v>
      </c>
      <c r="F116" s="5" t="str">
        <f aca="false">IF(AND(E116&gt;=5,E116&lt;=20,C116&gt;=80,B116&lt;=1),"Opportunity (pos 5-20, 80+ impr, 0-1 click)","")</f>
        <v/>
      </c>
    </row>
    <row r="117" customFormat="false" ht="15" hidden="false" customHeight="false" outlineLevel="0" collapsed="false">
      <c r="A117" s="14" t="s">
        <v>996</v>
      </c>
      <c r="B117" s="14" t="n">
        <v>0</v>
      </c>
      <c r="C117" s="14" t="n">
        <v>30</v>
      </c>
      <c r="D117" s="42" t="n">
        <v>0</v>
      </c>
      <c r="E117" s="41" t="n">
        <v>32.37</v>
      </c>
      <c r="F117" s="5" t="str">
        <f aca="false">IF(AND(E117&gt;=5,E117&lt;=20,C117&gt;=80,B117&lt;=1),"Opportunity (pos 5-20, 80+ impr, 0-1 click)","")</f>
        <v/>
      </c>
    </row>
    <row r="118" customFormat="false" ht="15" hidden="false" customHeight="false" outlineLevel="0" collapsed="false">
      <c r="A118" s="14" t="s">
        <v>997</v>
      </c>
      <c r="B118" s="14" t="n">
        <v>0</v>
      </c>
      <c r="C118" s="14" t="n">
        <v>30</v>
      </c>
      <c r="D118" s="42" t="n">
        <v>0</v>
      </c>
      <c r="E118" s="41" t="n">
        <v>58.2</v>
      </c>
      <c r="F118" s="5" t="str">
        <f aca="false">IF(AND(E118&gt;=5,E118&lt;=20,C118&gt;=80,B118&lt;=1),"Opportunity (pos 5-20, 80+ impr, 0-1 click)","")</f>
        <v/>
      </c>
    </row>
    <row r="119" customFormat="false" ht="15" hidden="false" customHeight="false" outlineLevel="0" collapsed="false">
      <c r="A119" s="14" t="s">
        <v>998</v>
      </c>
      <c r="B119" s="14" t="n">
        <v>0</v>
      </c>
      <c r="C119" s="14" t="n">
        <v>29</v>
      </c>
      <c r="D119" s="42" t="n">
        <v>0</v>
      </c>
      <c r="E119" s="41" t="n">
        <v>6.17</v>
      </c>
      <c r="F119" s="5" t="str">
        <f aca="false">IF(AND(E119&gt;=5,E119&lt;=20,C119&gt;=80,B119&lt;=1),"Opportunity (pos 5-20, 80+ impr, 0-1 click)","")</f>
        <v/>
      </c>
    </row>
    <row r="120" customFormat="false" ht="15" hidden="false" customHeight="false" outlineLevel="0" collapsed="false">
      <c r="A120" s="14" t="s">
        <v>999</v>
      </c>
      <c r="B120" s="14" t="n">
        <v>0</v>
      </c>
      <c r="C120" s="14" t="n">
        <v>29</v>
      </c>
      <c r="D120" s="42" t="n">
        <v>0</v>
      </c>
      <c r="E120" s="41" t="n">
        <v>9.31</v>
      </c>
      <c r="F120" s="5" t="str">
        <f aca="false">IF(AND(E120&gt;=5,E120&lt;=20,C120&gt;=80,B120&lt;=1),"Opportunity (pos 5-20, 80+ impr, 0-1 click)","")</f>
        <v/>
      </c>
    </row>
    <row r="121" customFormat="false" ht="15" hidden="false" customHeight="false" outlineLevel="0" collapsed="false">
      <c r="A121" s="14" t="s">
        <v>1000</v>
      </c>
      <c r="B121" s="14" t="n">
        <v>0</v>
      </c>
      <c r="C121" s="14" t="n">
        <v>29</v>
      </c>
      <c r="D121" s="42" t="n">
        <v>0</v>
      </c>
      <c r="E121" s="41" t="n">
        <v>15.31</v>
      </c>
      <c r="F121" s="5" t="str">
        <f aca="false">IF(AND(E121&gt;=5,E121&lt;=20,C121&gt;=80,B121&lt;=1),"Opportunity (pos 5-20, 80+ impr, 0-1 click)","")</f>
        <v/>
      </c>
    </row>
    <row r="122" customFormat="false" ht="15" hidden="false" customHeight="false" outlineLevel="0" collapsed="false">
      <c r="A122" s="14" t="s">
        <v>1001</v>
      </c>
      <c r="B122" s="14" t="n">
        <v>0</v>
      </c>
      <c r="C122" s="14" t="n">
        <v>29</v>
      </c>
      <c r="D122" s="42" t="n">
        <v>0</v>
      </c>
      <c r="E122" s="41" t="n">
        <v>70.17</v>
      </c>
      <c r="F122" s="5" t="str">
        <f aca="false">IF(AND(E122&gt;=5,E122&lt;=20,C122&gt;=80,B122&lt;=1),"Opportunity (pos 5-20, 80+ impr, 0-1 click)","")</f>
        <v/>
      </c>
    </row>
    <row r="123" customFormat="false" ht="15" hidden="false" customHeight="false" outlineLevel="0" collapsed="false">
      <c r="A123" s="14" t="s">
        <v>1002</v>
      </c>
      <c r="B123" s="14" t="n">
        <v>0</v>
      </c>
      <c r="C123" s="14" t="n">
        <v>28</v>
      </c>
      <c r="D123" s="42" t="n">
        <v>0</v>
      </c>
      <c r="E123" s="41" t="n">
        <v>7.25</v>
      </c>
      <c r="F123" s="5" t="str">
        <f aca="false">IF(AND(E123&gt;=5,E123&lt;=20,C123&gt;=80,B123&lt;=1),"Opportunity (pos 5-20, 80+ impr, 0-1 click)","")</f>
        <v/>
      </c>
    </row>
    <row r="124" customFormat="false" ht="15" hidden="false" customHeight="false" outlineLevel="0" collapsed="false">
      <c r="A124" s="14" t="s">
        <v>1003</v>
      </c>
      <c r="B124" s="14" t="n">
        <v>0</v>
      </c>
      <c r="C124" s="14" t="n">
        <v>28</v>
      </c>
      <c r="D124" s="42" t="n">
        <v>0</v>
      </c>
      <c r="E124" s="41" t="n">
        <v>8.68</v>
      </c>
      <c r="F124" s="5" t="str">
        <f aca="false">IF(AND(E124&gt;=5,E124&lt;=20,C124&gt;=80,B124&lt;=1),"Opportunity (pos 5-20, 80+ impr, 0-1 click)","")</f>
        <v/>
      </c>
    </row>
    <row r="125" customFormat="false" ht="15" hidden="false" customHeight="false" outlineLevel="0" collapsed="false">
      <c r="A125" s="14" t="s">
        <v>1004</v>
      </c>
      <c r="B125" s="14" t="n">
        <v>0</v>
      </c>
      <c r="C125" s="14" t="n">
        <v>28</v>
      </c>
      <c r="D125" s="42" t="n">
        <v>0</v>
      </c>
      <c r="E125" s="41" t="n">
        <v>13.04</v>
      </c>
      <c r="F125" s="5" t="str">
        <f aca="false">IF(AND(E125&gt;=5,E125&lt;=20,C125&gt;=80,B125&lt;=1),"Opportunity (pos 5-20, 80+ impr, 0-1 click)","")</f>
        <v/>
      </c>
    </row>
    <row r="126" customFormat="false" ht="15" hidden="false" customHeight="false" outlineLevel="0" collapsed="false">
      <c r="A126" s="14" t="s">
        <v>1005</v>
      </c>
      <c r="B126" s="14" t="n">
        <v>0</v>
      </c>
      <c r="C126" s="14" t="n">
        <v>28</v>
      </c>
      <c r="D126" s="42" t="n">
        <v>0</v>
      </c>
      <c r="E126" s="41" t="n">
        <v>18.71</v>
      </c>
      <c r="F126" s="5" t="str">
        <f aca="false">IF(AND(E126&gt;=5,E126&lt;=20,C126&gt;=80,B126&lt;=1),"Opportunity (pos 5-20, 80+ impr, 0-1 click)","")</f>
        <v/>
      </c>
    </row>
    <row r="127" customFormat="false" ht="15" hidden="false" customHeight="false" outlineLevel="0" collapsed="false">
      <c r="A127" s="14" t="s">
        <v>1006</v>
      </c>
      <c r="B127" s="14" t="n">
        <v>0</v>
      </c>
      <c r="C127" s="14" t="n">
        <v>28</v>
      </c>
      <c r="D127" s="42" t="n">
        <v>0</v>
      </c>
      <c r="E127" s="41" t="n">
        <v>23.54</v>
      </c>
      <c r="F127" s="5" t="str">
        <f aca="false">IF(AND(E127&gt;=5,E127&lt;=20,C127&gt;=80,B127&lt;=1),"Opportunity (pos 5-20, 80+ impr, 0-1 click)","")</f>
        <v/>
      </c>
    </row>
    <row r="128" customFormat="false" ht="15" hidden="false" customHeight="false" outlineLevel="0" collapsed="false">
      <c r="A128" s="14" t="s">
        <v>1007</v>
      </c>
      <c r="B128" s="14" t="n">
        <v>0</v>
      </c>
      <c r="C128" s="14" t="n">
        <v>27</v>
      </c>
      <c r="D128" s="42" t="n">
        <v>0</v>
      </c>
      <c r="E128" s="41" t="n">
        <v>6.96</v>
      </c>
      <c r="F128" s="5" t="str">
        <f aca="false">IF(AND(E128&gt;=5,E128&lt;=20,C128&gt;=80,B128&lt;=1),"Opportunity (pos 5-20, 80+ impr, 0-1 click)","")</f>
        <v/>
      </c>
    </row>
    <row r="129" customFormat="false" ht="15" hidden="false" customHeight="false" outlineLevel="0" collapsed="false">
      <c r="A129" s="14" t="s">
        <v>1008</v>
      </c>
      <c r="B129" s="14" t="n">
        <v>0</v>
      </c>
      <c r="C129" s="14" t="n">
        <v>27</v>
      </c>
      <c r="D129" s="42" t="n">
        <v>0</v>
      </c>
      <c r="E129" s="41" t="n">
        <v>7.48</v>
      </c>
      <c r="F129" s="5" t="str">
        <f aca="false">IF(AND(E129&gt;=5,E129&lt;=20,C129&gt;=80,B129&lt;=1),"Opportunity (pos 5-20, 80+ impr, 0-1 click)","")</f>
        <v/>
      </c>
    </row>
    <row r="130" customFormat="false" ht="15" hidden="false" customHeight="false" outlineLevel="0" collapsed="false">
      <c r="A130" s="14" t="s">
        <v>1009</v>
      </c>
      <c r="B130" s="14" t="n">
        <v>0</v>
      </c>
      <c r="C130" s="14" t="n">
        <v>27</v>
      </c>
      <c r="D130" s="42" t="n">
        <v>0</v>
      </c>
      <c r="E130" s="41" t="n">
        <v>10.44</v>
      </c>
      <c r="F130" s="5" t="str">
        <f aca="false">IF(AND(E130&gt;=5,E130&lt;=20,C130&gt;=80,B130&lt;=1),"Opportunity (pos 5-20, 80+ impr, 0-1 click)","")</f>
        <v/>
      </c>
    </row>
    <row r="131" customFormat="false" ht="15" hidden="false" customHeight="false" outlineLevel="0" collapsed="false">
      <c r="A131" s="14" t="s">
        <v>1010</v>
      </c>
      <c r="B131" s="14" t="n">
        <v>0</v>
      </c>
      <c r="C131" s="14" t="n">
        <v>27</v>
      </c>
      <c r="D131" s="42" t="n">
        <v>0</v>
      </c>
      <c r="E131" s="41" t="n">
        <v>11.04</v>
      </c>
      <c r="F131" s="5" t="str">
        <f aca="false">IF(AND(E131&gt;=5,E131&lt;=20,C131&gt;=80,B131&lt;=1),"Opportunity (pos 5-20, 80+ impr, 0-1 click)","")</f>
        <v/>
      </c>
    </row>
    <row r="132" customFormat="false" ht="15" hidden="false" customHeight="false" outlineLevel="0" collapsed="false">
      <c r="A132" s="14" t="s">
        <v>1011</v>
      </c>
      <c r="B132" s="14" t="n">
        <v>0</v>
      </c>
      <c r="C132" s="14" t="n">
        <v>27</v>
      </c>
      <c r="D132" s="42" t="n">
        <v>0</v>
      </c>
      <c r="E132" s="41" t="n">
        <v>28.15</v>
      </c>
      <c r="F132" s="5" t="str">
        <f aca="false">IF(AND(E132&gt;=5,E132&lt;=20,C132&gt;=80,B132&lt;=1),"Opportunity (pos 5-20, 80+ impr, 0-1 click)","")</f>
        <v/>
      </c>
    </row>
    <row r="133" customFormat="false" ht="15" hidden="false" customHeight="false" outlineLevel="0" collapsed="false">
      <c r="A133" s="14" t="s">
        <v>1012</v>
      </c>
      <c r="B133" s="14" t="n">
        <v>0</v>
      </c>
      <c r="C133" s="14" t="n">
        <v>27</v>
      </c>
      <c r="D133" s="42" t="n">
        <v>0</v>
      </c>
      <c r="E133" s="41" t="n">
        <v>30.59</v>
      </c>
      <c r="F133" s="5" t="str">
        <f aca="false">IF(AND(E133&gt;=5,E133&lt;=20,C133&gt;=80,B133&lt;=1),"Opportunity (pos 5-20, 80+ impr, 0-1 click)","")</f>
        <v/>
      </c>
    </row>
    <row r="134" customFormat="false" ht="15" hidden="false" customHeight="false" outlineLevel="0" collapsed="false">
      <c r="A134" s="14" t="s">
        <v>1013</v>
      </c>
      <c r="B134" s="14" t="n">
        <v>0</v>
      </c>
      <c r="C134" s="14" t="n">
        <v>26</v>
      </c>
      <c r="D134" s="42" t="n">
        <v>0</v>
      </c>
      <c r="E134" s="41" t="n">
        <v>14.5</v>
      </c>
      <c r="F134" s="5" t="str">
        <f aca="false">IF(AND(E134&gt;=5,E134&lt;=20,C134&gt;=80,B134&lt;=1),"Opportunity (pos 5-20, 80+ impr, 0-1 click)","")</f>
        <v/>
      </c>
    </row>
    <row r="135" customFormat="false" ht="15" hidden="false" customHeight="false" outlineLevel="0" collapsed="false">
      <c r="A135" s="14" t="s">
        <v>1014</v>
      </c>
      <c r="B135" s="14" t="n">
        <v>0</v>
      </c>
      <c r="C135" s="14" t="n">
        <v>26</v>
      </c>
      <c r="D135" s="42" t="n">
        <v>0</v>
      </c>
      <c r="E135" s="41" t="n">
        <v>15.62</v>
      </c>
      <c r="F135" s="5" t="str">
        <f aca="false">IF(AND(E135&gt;=5,E135&lt;=20,C135&gt;=80,B135&lt;=1),"Opportunity (pos 5-20, 80+ impr, 0-1 click)","")</f>
        <v/>
      </c>
    </row>
    <row r="136" customFormat="false" ht="15" hidden="false" customHeight="false" outlineLevel="0" collapsed="false">
      <c r="A136" s="14" t="s">
        <v>1015</v>
      </c>
      <c r="B136" s="14" t="n">
        <v>0</v>
      </c>
      <c r="C136" s="14" t="n">
        <v>26</v>
      </c>
      <c r="D136" s="42" t="n">
        <v>0</v>
      </c>
      <c r="E136" s="41" t="n">
        <v>21.54</v>
      </c>
      <c r="F136" s="5" t="str">
        <f aca="false">IF(AND(E136&gt;=5,E136&lt;=20,C136&gt;=80,B136&lt;=1),"Opportunity (pos 5-20, 80+ impr, 0-1 click)","")</f>
        <v/>
      </c>
    </row>
    <row r="137" customFormat="false" ht="15" hidden="false" customHeight="false" outlineLevel="0" collapsed="false">
      <c r="A137" s="14" t="s">
        <v>1016</v>
      </c>
      <c r="B137" s="14" t="n">
        <v>0</v>
      </c>
      <c r="C137" s="14" t="n">
        <v>26</v>
      </c>
      <c r="D137" s="42" t="n">
        <v>0</v>
      </c>
      <c r="E137" s="41" t="n">
        <v>39.23</v>
      </c>
      <c r="F137" s="5" t="str">
        <f aca="false">IF(AND(E137&gt;=5,E137&lt;=20,C137&gt;=80,B137&lt;=1),"Opportunity (pos 5-20, 80+ impr, 0-1 click)","")</f>
        <v/>
      </c>
    </row>
    <row r="138" customFormat="false" ht="15" hidden="false" customHeight="false" outlineLevel="0" collapsed="false">
      <c r="A138" s="14" t="s">
        <v>1017</v>
      </c>
      <c r="B138" s="14" t="n">
        <v>0</v>
      </c>
      <c r="C138" s="14" t="n">
        <v>25</v>
      </c>
      <c r="D138" s="42" t="n">
        <v>0</v>
      </c>
      <c r="E138" s="41" t="n">
        <v>8.36</v>
      </c>
      <c r="F138" s="5" t="str">
        <f aca="false">IF(AND(E138&gt;=5,E138&lt;=20,C138&gt;=80,B138&lt;=1),"Opportunity (pos 5-20, 80+ impr, 0-1 click)","")</f>
        <v/>
      </c>
    </row>
    <row r="139" customFormat="false" ht="15" hidden="false" customHeight="false" outlineLevel="0" collapsed="false">
      <c r="A139" s="14" t="s">
        <v>1018</v>
      </c>
      <c r="B139" s="14" t="n">
        <v>0</v>
      </c>
      <c r="C139" s="14" t="n">
        <v>25</v>
      </c>
      <c r="D139" s="42" t="n">
        <v>0</v>
      </c>
      <c r="E139" s="41" t="n">
        <v>18.88</v>
      </c>
      <c r="F139" s="5" t="str">
        <f aca="false">IF(AND(E139&gt;=5,E139&lt;=20,C139&gt;=80,B139&lt;=1),"Opportunity (pos 5-20, 80+ impr, 0-1 click)","")</f>
        <v/>
      </c>
    </row>
    <row r="140" customFormat="false" ht="15" hidden="false" customHeight="false" outlineLevel="0" collapsed="false">
      <c r="A140" s="14" t="s">
        <v>1019</v>
      </c>
      <c r="B140" s="14" t="n">
        <v>0</v>
      </c>
      <c r="C140" s="14" t="n">
        <v>25</v>
      </c>
      <c r="D140" s="42" t="n">
        <v>0</v>
      </c>
      <c r="E140" s="41" t="n">
        <v>51.48</v>
      </c>
      <c r="F140" s="5" t="str">
        <f aca="false">IF(AND(E140&gt;=5,E140&lt;=20,C140&gt;=80,B140&lt;=1),"Opportunity (pos 5-20, 80+ impr, 0-1 click)","")</f>
        <v/>
      </c>
    </row>
    <row r="141" customFormat="false" ht="15" hidden="false" customHeight="false" outlineLevel="0" collapsed="false">
      <c r="A141" s="14" t="s">
        <v>1020</v>
      </c>
      <c r="B141" s="14" t="n">
        <v>0</v>
      </c>
      <c r="C141" s="14" t="n">
        <v>24</v>
      </c>
      <c r="D141" s="42" t="n">
        <v>0</v>
      </c>
      <c r="E141" s="41" t="n">
        <v>11.21</v>
      </c>
      <c r="F141" s="5" t="str">
        <f aca="false">IF(AND(E141&gt;=5,E141&lt;=20,C141&gt;=80,B141&lt;=1),"Opportunity (pos 5-20, 80+ impr, 0-1 click)","")</f>
        <v/>
      </c>
    </row>
    <row r="142" customFormat="false" ht="15" hidden="false" customHeight="false" outlineLevel="0" collapsed="false">
      <c r="A142" s="14" t="s">
        <v>1021</v>
      </c>
      <c r="B142" s="14" t="n">
        <v>0</v>
      </c>
      <c r="C142" s="14" t="n">
        <v>24</v>
      </c>
      <c r="D142" s="42" t="n">
        <v>0</v>
      </c>
      <c r="E142" s="41" t="n">
        <v>24.92</v>
      </c>
      <c r="F142" s="5" t="str">
        <f aca="false">IF(AND(E142&gt;=5,E142&lt;=20,C142&gt;=80,B142&lt;=1),"Opportunity (pos 5-20, 80+ impr, 0-1 click)","")</f>
        <v/>
      </c>
    </row>
    <row r="143" customFormat="false" ht="15" hidden="false" customHeight="false" outlineLevel="0" collapsed="false">
      <c r="A143" s="14" t="s">
        <v>1022</v>
      </c>
      <c r="B143" s="14" t="n">
        <v>0</v>
      </c>
      <c r="C143" s="14" t="n">
        <v>24</v>
      </c>
      <c r="D143" s="42" t="n">
        <v>0</v>
      </c>
      <c r="E143" s="41" t="n">
        <v>26.92</v>
      </c>
      <c r="F143" s="5" t="str">
        <f aca="false">IF(AND(E143&gt;=5,E143&lt;=20,C143&gt;=80,B143&lt;=1),"Opportunity (pos 5-20, 80+ impr, 0-1 click)","")</f>
        <v/>
      </c>
    </row>
    <row r="144" customFormat="false" ht="15" hidden="false" customHeight="false" outlineLevel="0" collapsed="false">
      <c r="A144" s="14" t="s">
        <v>1023</v>
      </c>
      <c r="B144" s="14" t="n">
        <v>0</v>
      </c>
      <c r="C144" s="14" t="n">
        <v>24</v>
      </c>
      <c r="D144" s="42" t="n">
        <v>0</v>
      </c>
      <c r="E144" s="41" t="n">
        <v>41.17</v>
      </c>
      <c r="F144" s="5" t="str">
        <f aca="false">IF(AND(E144&gt;=5,E144&lt;=20,C144&gt;=80,B144&lt;=1),"Opportunity (pos 5-20, 80+ impr, 0-1 click)","")</f>
        <v/>
      </c>
    </row>
    <row r="145" customFormat="false" ht="15" hidden="false" customHeight="false" outlineLevel="0" collapsed="false">
      <c r="A145" s="14" t="s">
        <v>1024</v>
      </c>
      <c r="B145" s="14" t="n">
        <v>0</v>
      </c>
      <c r="C145" s="14" t="n">
        <v>23</v>
      </c>
      <c r="D145" s="42" t="n">
        <v>0</v>
      </c>
      <c r="E145" s="41" t="n">
        <v>15.7</v>
      </c>
      <c r="F145" s="5" t="str">
        <f aca="false">IF(AND(E145&gt;=5,E145&lt;=20,C145&gt;=80,B145&lt;=1),"Opportunity (pos 5-20, 80+ impr, 0-1 click)","")</f>
        <v/>
      </c>
    </row>
    <row r="146" customFormat="false" ht="15" hidden="false" customHeight="false" outlineLevel="0" collapsed="false">
      <c r="A146" s="14" t="s">
        <v>1025</v>
      </c>
      <c r="B146" s="14" t="n">
        <v>0</v>
      </c>
      <c r="C146" s="14" t="n">
        <v>23</v>
      </c>
      <c r="D146" s="42" t="n">
        <v>0</v>
      </c>
      <c r="E146" s="41" t="n">
        <v>19.74</v>
      </c>
      <c r="F146" s="5" t="str">
        <f aca="false">IF(AND(E146&gt;=5,E146&lt;=20,C146&gt;=80,B146&lt;=1),"Opportunity (pos 5-20, 80+ impr, 0-1 click)","")</f>
        <v/>
      </c>
    </row>
    <row r="147" customFormat="false" ht="15" hidden="false" customHeight="false" outlineLevel="0" collapsed="false">
      <c r="A147" s="14" t="s">
        <v>1026</v>
      </c>
      <c r="B147" s="14" t="n">
        <v>0</v>
      </c>
      <c r="C147" s="14" t="n">
        <v>23</v>
      </c>
      <c r="D147" s="42" t="n">
        <v>0</v>
      </c>
      <c r="E147" s="41" t="n">
        <v>22.13</v>
      </c>
      <c r="F147" s="5" t="str">
        <f aca="false">IF(AND(E147&gt;=5,E147&lt;=20,C147&gt;=80,B147&lt;=1),"Opportunity (pos 5-20, 80+ impr, 0-1 click)","")</f>
        <v/>
      </c>
    </row>
    <row r="148" customFormat="false" ht="15" hidden="false" customHeight="false" outlineLevel="0" collapsed="false">
      <c r="A148" s="14" t="s">
        <v>1027</v>
      </c>
      <c r="B148" s="14" t="n">
        <v>0</v>
      </c>
      <c r="C148" s="14" t="n">
        <v>23</v>
      </c>
      <c r="D148" s="42" t="n">
        <v>0</v>
      </c>
      <c r="E148" s="41" t="n">
        <v>28.57</v>
      </c>
      <c r="F148" s="5" t="str">
        <f aca="false">IF(AND(E148&gt;=5,E148&lt;=20,C148&gt;=80,B148&lt;=1),"Opportunity (pos 5-20, 80+ impr, 0-1 click)","")</f>
        <v/>
      </c>
    </row>
    <row r="149" customFormat="false" ht="15" hidden="false" customHeight="false" outlineLevel="0" collapsed="false">
      <c r="A149" s="14" t="s">
        <v>1028</v>
      </c>
      <c r="B149" s="14" t="n">
        <v>0</v>
      </c>
      <c r="C149" s="14" t="n">
        <v>23</v>
      </c>
      <c r="D149" s="42" t="n">
        <v>0</v>
      </c>
      <c r="E149" s="41" t="n">
        <v>35.65</v>
      </c>
      <c r="F149" s="5" t="str">
        <f aca="false">IF(AND(E149&gt;=5,E149&lt;=20,C149&gt;=80,B149&lt;=1),"Opportunity (pos 5-20, 80+ impr, 0-1 click)","")</f>
        <v/>
      </c>
    </row>
    <row r="150" customFormat="false" ht="15" hidden="false" customHeight="false" outlineLevel="0" collapsed="false">
      <c r="A150" s="14" t="s">
        <v>1029</v>
      </c>
      <c r="B150" s="14" t="n">
        <v>0</v>
      </c>
      <c r="C150" s="14" t="n">
        <v>22</v>
      </c>
      <c r="D150" s="42" t="n">
        <v>0</v>
      </c>
      <c r="E150" s="41" t="n">
        <v>10.36</v>
      </c>
      <c r="F150" s="5" t="str">
        <f aca="false">IF(AND(E150&gt;=5,E150&lt;=20,C150&gt;=80,B150&lt;=1),"Opportunity (pos 5-20, 80+ impr, 0-1 click)","")</f>
        <v/>
      </c>
    </row>
    <row r="151" customFormat="false" ht="15" hidden="false" customHeight="false" outlineLevel="0" collapsed="false">
      <c r="A151" s="14" t="s">
        <v>1030</v>
      </c>
      <c r="B151" s="14" t="n">
        <v>0</v>
      </c>
      <c r="C151" s="14" t="n">
        <v>22</v>
      </c>
      <c r="D151" s="42" t="n">
        <v>0</v>
      </c>
      <c r="E151" s="41" t="n">
        <v>10.95</v>
      </c>
      <c r="F151" s="5" t="str">
        <f aca="false">IF(AND(E151&gt;=5,E151&lt;=20,C151&gt;=80,B151&lt;=1),"Opportunity (pos 5-20, 80+ impr, 0-1 click)","")</f>
        <v/>
      </c>
    </row>
    <row r="152" customFormat="false" ht="15" hidden="false" customHeight="false" outlineLevel="0" collapsed="false">
      <c r="A152" s="14" t="s">
        <v>1031</v>
      </c>
      <c r="B152" s="14" t="n">
        <v>0</v>
      </c>
      <c r="C152" s="14" t="n">
        <v>22</v>
      </c>
      <c r="D152" s="42" t="n">
        <v>0</v>
      </c>
      <c r="E152" s="41" t="n">
        <v>14.45</v>
      </c>
      <c r="F152" s="5" t="str">
        <f aca="false">IF(AND(E152&gt;=5,E152&lt;=20,C152&gt;=80,B152&lt;=1),"Opportunity (pos 5-20, 80+ impr, 0-1 click)","")</f>
        <v/>
      </c>
    </row>
    <row r="153" customFormat="false" ht="15" hidden="false" customHeight="false" outlineLevel="0" collapsed="false">
      <c r="A153" s="14" t="s">
        <v>1032</v>
      </c>
      <c r="B153" s="14" t="n">
        <v>0</v>
      </c>
      <c r="C153" s="14" t="n">
        <v>22</v>
      </c>
      <c r="D153" s="42" t="n">
        <v>0</v>
      </c>
      <c r="E153" s="41" t="n">
        <v>20.5</v>
      </c>
      <c r="F153" s="5" t="str">
        <f aca="false">IF(AND(E153&gt;=5,E153&lt;=20,C153&gt;=80,B153&lt;=1),"Opportunity (pos 5-20, 80+ impr, 0-1 click)","")</f>
        <v/>
      </c>
    </row>
    <row r="154" customFormat="false" ht="15" hidden="false" customHeight="false" outlineLevel="0" collapsed="false">
      <c r="A154" s="14" t="s">
        <v>1033</v>
      </c>
      <c r="B154" s="14" t="n">
        <v>0</v>
      </c>
      <c r="C154" s="14" t="n">
        <v>22</v>
      </c>
      <c r="D154" s="42" t="n">
        <v>0</v>
      </c>
      <c r="E154" s="41" t="n">
        <v>20.82</v>
      </c>
      <c r="F154" s="5" t="str">
        <f aca="false">IF(AND(E154&gt;=5,E154&lt;=20,C154&gt;=80,B154&lt;=1),"Opportunity (pos 5-20, 80+ impr, 0-1 click)","")</f>
        <v/>
      </c>
    </row>
    <row r="155" customFormat="false" ht="15" hidden="false" customHeight="false" outlineLevel="0" collapsed="false">
      <c r="A155" s="14" t="s">
        <v>1034</v>
      </c>
      <c r="B155" s="14" t="n">
        <v>0</v>
      </c>
      <c r="C155" s="14" t="n">
        <v>22</v>
      </c>
      <c r="D155" s="42" t="n">
        <v>0</v>
      </c>
      <c r="E155" s="41" t="n">
        <v>21.05</v>
      </c>
      <c r="F155" s="5" t="str">
        <f aca="false">IF(AND(E155&gt;=5,E155&lt;=20,C155&gt;=80,B155&lt;=1),"Opportunity (pos 5-20, 80+ impr, 0-1 click)","")</f>
        <v/>
      </c>
    </row>
    <row r="156" customFormat="false" ht="15" hidden="false" customHeight="false" outlineLevel="0" collapsed="false">
      <c r="A156" s="14" t="s">
        <v>1035</v>
      </c>
      <c r="B156" s="14" t="n">
        <v>0</v>
      </c>
      <c r="C156" s="14" t="n">
        <v>22</v>
      </c>
      <c r="D156" s="42" t="n">
        <v>0</v>
      </c>
      <c r="E156" s="41" t="n">
        <v>23.77</v>
      </c>
      <c r="F156" s="5" t="str">
        <f aca="false">IF(AND(E156&gt;=5,E156&lt;=20,C156&gt;=80,B156&lt;=1),"Opportunity (pos 5-20, 80+ impr, 0-1 click)","")</f>
        <v/>
      </c>
    </row>
    <row r="157" customFormat="false" ht="15" hidden="false" customHeight="false" outlineLevel="0" collapsed="false">
      <c r="A157" s="14" t="s">
        <v>1036</v>
      </c>
      <c r="B157" s="14" t="n">
        <v>0</v>
      </c>
      <c r="C157" s="14" t="n">
        <v>22</v>
      </c>
      <c r="D157" s="42" t="n">
        <v>0</v>
      </c>
      <c r="E157" s="41" t="n">
        <v>26.23</v>
      </c>
      <c r="F157" s="5" t="str">
        <f aca="false">IF(AND(E157&gt;=5,E157&lt;=20,C157&gt;=80,B157&lt;=1),"Opportunity (pos 5-20, 80+ impr, 0-1 click)","")</f>
        <v/>
      </c>
    </row>
    <row r="158" customFormat="false" ht="15" hidden="false" customHeight="false" outlineLevel="0" collapsed="false">
      <c r="A158" s="14" t="s">
        <v>1037</v>
      </c>
      <c r="B158" s="14" t="n">
        <v>0</v>
      </c>
      <c r="C158" s="14" t="n">
        <v>22</v>
      </c>
      <c r="D158" s="42" t="n">
        <v>0</v>
      </c>
      <c r="E158" s="41" t="n">
        <v>29.55</v>
      </c>
      <c r="F158" s="5" t="str">
        <f aca="false">IF(AND(E158&gt;=5,E158&lt;=20,C158&gt;=80,B158&lt;=1),"Opportunity (pos 5-20, 80+ impr, 0-1 click)","")</f>
        <v/>
      </c>
    </row>
    <row r="159" customFormat="false" ht="15" hidden="false" customHeight="false" outlineLevel="0" collapsed="false">
      <c r="A159" s="14" t="s">
        <v>1038</v>
      </c>
      <c r="B159" s="14" t="n">
        <v>0</v>
      </c>
      <c r="C159" s="14" t="n">
        <v>22</v>
      </c>
      <c r="D159" s="42" t="n">
        <v>0</v>
      </c>
      <c r="E159" s="41" t="n">
        <v>31.59</v>
      </c>
      <c r="F159" s="5" t="str">
        <f aca="false">IF(AND(E159&gt;=5,E159&lt;=20,C159&gt;=80,B159&lt;=1),"Opportunity (pos 5-20, 80+ impr, 0-1 click)","")</f>
        <v/>
      </c>
    </row>
    <row r="160" customFormat="false" ht="15" hidden="false" customHeight="false" outlineLevel="0" collapsed="false">
      <c r="A160" s="14" t="s">
        <v>1039</v>
      </c>
      <c r="B160" s="14" t="n">
        <v>0</v>
      </c>
      <c r="C160" s="14" t="n">
        <v>22</v>
      </c>
      <c r="D160" s="42" t="n">
        <v>0</v>
      </c>
      <c r="E160" s="41" t="n">
        <v>32.5</v>
      </c>
      <c r="F160" s="5" t="str">
        <f aca="false">IF(AND(E160&gt;=5,E160&lt;=20,C160&gt;=80,B160&lt;=1),"Opportunity (pos 5-20, 80+ impr, 0-1 click)","")</f>
        <v/>
      </c>
    </row>
    <row r="161" customFormat="false" ht="15" hidden="false" customHeight="false" outlineLevel="0" collapsed="false">
      <c r="A161" s="14" t="s">
        <v>1040</v>
      </c>
      <c r="B161" s="14" t="n">
        <v>0</v>
      </c>
      <c r="C161" s="14" t="n">
        <v>22</v>
      </c>
      <c r="D161" s="42" t="n">
        <v>0</v>
      </c>
      <c r="E161" s="41" t="n">
        <v>35.23</v>
      </c>
      <c r="F161" s="5" t="str">
        <f aca="false">IF(AND(E161&gt;=5,E161&lt;=20,C161&gt;=80,B161&lt;=1),"Opportunity (pos 5-20, 80+ impr, 0-1 click)","")</f>
        <v/>
      </c>
    </row>
    <row r="162" customFormat="false" ht="15" hidden="false" customHeight="false" outlineLevel="0" collapsed="false">
      <c r="A162" s="14" t="s">
        <v>1041</v>
      </c>
      <c r="B162" s="14" t="n">
        <v>0</v>
      </c>
      <c r="C162" s="14" t="n">
        <v>22</v>
      </c>
      <c r="D162" s="42" t="n">
        <v>0</v>
      </c>
      <c r="E162" s="41" t="n">
        <v>47.14</v>
      </c>
      <c r="F162" s="5" t="str">
        <f aca="false">IF(AND(E162&gt;=5,E162&lt;=20,C162&gt;=80,B162&lt;=1),"Opportunity (pos 5-20, 80+ impr, 0-1 click)","")</f>
        <v/>
      </c>
    </row>
    <row r="163" customFormat="false" ht="15" hidden="false" customHeight="false" outlineLevel="0" collapsed="false">
      <c r="A163" s="14" t="s">
        <v>1042</v>
      </c>
      <c r="B163" s="14" t="n">
        <v>0</v>
      </c>
      <c r="C163" s="14" t="n">
        <v>21</v>
      </c>
      <c r="D163" s="42" t="n">
        <v>0</v>
      </c>
      <c r="E163" s="41" t="n">
        <v>9</v>
      </c>
      <c r="F163" s="5" t="str">
        <f aca="false">IF(AND(E163&gt;=5,E163&lt;=20,C163&gt;=80,B163&lt;=1),"Opportunity (pos 5-20, 80+ impr, 0-1 click)","")</f>
        <v/>
      </c>
    </row>
    <row r="164" customFormat="false" ht="15" hidden="false" customHeight="false" outlineLevel="0" collapsed="false">
      <c r="A164" s="14" t="s">
        <v>1043</v>
      </c>
      <c r="B164" s="14" t="n">
        <v>0</v>
      </c>
      <c r="C164" s="14" t="n">
        <v>21</v>
      </c>
      <c r="D164" s="42" t="n">
        <v>0</v>
      </c>
      <c r="E164" s="41" t="n">
        <v>10.05</v>
      </c>
      <c r="F164" s="5" t="str">
        <f aca="false">IF(AND(E164&gt;=5,E164&lt;=20,C164&gt;=80,B164&lt;=1),"Opportunity (pos 5-20, 80+ impr, 0-1 click)","")</f>
        <v/>
      </c>
    </row>
    <row r="165" customFormat="false" ht="15" hidden="false" customHeight="false" outlineLevel="0" collapsed="false">
      <c r="A165" s="14" t="s">
        <v>1044</v>
      </c>
      <c r="B165" s="14" t="n">
        <v>0</v>
      </c>
      <c r="C165" s="14" t="n">
        <v>21</v>
      </c>
      <c r="D165" s="42" t="n">
        <v>0</v>
      </c>
      <c r="E165" s="41" t="n">
        <v>10.14</v>
      </c>
      <c r="F165" s="5" t="str">
        <f aca="false">IF(AND(E165&gt;=5,E165&lt;=20,C165&gt;=80,B165&lt;=1),"Opportunity (pos 5-20, 80+ impr, 0-1 click)","")</f>
        <v/>
      </c>
    </row>
    <row r="166" customFormat="false" ht="15" hidden="false" customHeight="false" outlineLevel="0" collapsed="false">
      <c r="A166" s="14" t="s">
        <v>1045</v>
      </c>
      <c r="B166" s="14" t="n">
        <v>0</v>
      </c>
      <c r="C166" s="14" t="n">
        <v>21</v>
      </c>
      <c r="D166" s="42" t="n">
        <v>0</v>
      </c>
      <c r="E166" s="41" t="n">
        <v>12.19</v>
      </c>
      <c r="F166" s="5" t="str">
        <f aca="false">IF(AND(E166&gt;=5,E166&lt;=20,C166&gt;=80,B166&lt;=1),"Opportunity (pos 5-20, 80+ impr, 0-1 click)","")</f>
        <v/>
      </c>
    </row>
    <row r="167" customFormat="false" ht="15" hidden="false" customHeight="false" outlineLevel="0" collapsed="false">
      <c r="A167" s="14" t="s">
        <v>1046</v>
      </c>
      <c r="B167" s="14" t="n">
        <v>0</v>
      </c>
      <c r="C167" s="14" t="n">
        <v>21</v>
      </c>
      <c r="D167" s="42" t="n">
        <v>0</v>
      </c>
      <c r="E167" s="41" t="n">
        <v>60.19</v>
      </c>
      <c r="F167" s="5" t="str">
        <f aca="false">IF(AND(E167&gt;=5,E167&lt;=20,C167&gt;=80,B167&lt;=1),"Opportunity (pos 5-20, 80+ impr, 0-1 click)","")</f>
        <v/>
      </c>
    </row>
    <row r="168" customFormat="false" ht="15" hidden="false" customHeight="false" outlineLevel="0" collapsed="false">
      <c r="A168" s="14" t="s">
        <v>1047</v>
      </c>
      <c r="B168" s="14" t="n">
        <v>0</v>
      </c>
      <c r="C168" s="14" t="n">
        <v>20</v>
      </c>
      <c r="D168" s="42" t="n">
        <v>0</v>
      </c>
      <c r="E168" s="41" t="n">
        <v>9</v>
      </c>
      <c r="F168" s="5" t="str">
        <f aca="false">IF(AND(E168&gt;=5,E168&lt;=20,C168&gt;=80,B168&lt;=1),"Opportunity (pos 5-20, 80+ impr, 0-1 click)","")</f>
        <v/>
      </c>
    </row>
    <row r="169" customFormat="false" ht="15" hidden="false" customHeight="false" outlineLevel="0" collapsed="false">
      <c r="A169" s="14" t="s">
        <v>1048</v>
      </c>
      <c r="B169" s="14" t="n">
        <v>0</v>
      </c>
      <c r="C169" s="14" t="n">
        <v>20</v>
      </c>
      <c r="D169" s="42" t="n">
        <v>0</v>
      </c>
      <c r="E169" s="41" t="n">
        <v>19.7</v>
      </c>
      <c r="F169" s="5" t="str">
        <f aca="false">IF(AND(E169&gt;=5,E169&lt;=20,C169&gt;=80,B169&lt;=1),"Opportunity (pos 5-20, 80+ impr, 0-1 click)","")</f>
        <v/>
      </c>
    </row>
    <row r="170" customFormat="false" ht="15" hidden="false" customHeight="false" outlineLevel="0" collapsed="false">
      <c r="A170" s="14" t="s">
        <v>1049</v>
      </c>
      <c r="B170" s="14" t="n">
        <v>0</v>
      </c>
      <c r="C170" s="14" t="n">
        <v>20</v>
      </c>
      <c r="D170" s="42" t="n">
        <v>0</v>
      </c>
      <c r="E170" s="41" t="n">
        <v>24.05</v>
      </c>
      <c r="F170" s="5" t="str">
        <f aca="false">IF(AND(E170&gt;=5,E170&lt;=20,C170&gt;=80,B170&lt;=1),"Opportunity (pos 5-20, 80+ impr, 0-1 click)","")</f>
        <v/>
      </c>
    </row>
    <row r="171" customFormat="false" ht="15" hidden="false" customHeight="false" outlineLevel="0" collapsed="false">
      <c r="A171" s="14" t="s">
        <v>1050</v>
      </c>
      <c r="B171" s="14" t="n">
        <v>0</v>
      </c>
      <c r="C171" s="14" t="n">
        <v>20</v>
      </c>
      <c r="D171" s="42" t="n">
        <v>0</v>
      </c>
      <c r="E171" s="41" t="n">
        <v>24.15</v>
      </c>
      <c r="F171" s="5" t="str">
        <f aca="false">IF(AND(E171&gt;=5,E171&lt;=20,C171&gt;=80,B171&lt;=1),"Opportunity (pos 5-20, 80+ impr, 0-1 click)","")</f>
        <v/>
      </c>
    </row>
    <row r="172" customFormat="false" ht="15" hidden="false" customHeight="false" outlineLevel="0" collapsed="false">
      <c r="A172" s="14" t="s">
        <v>1051</v>
      </c>
      <c r="B172" s="14" t="n">
        <v>0</v>
      </c>
      <c r="C172" s="14" t="n">
        <v>20</v>
      </c>
      <c r="D172" s="42" t="n">
        <v>0</v>
      </c>
      <c r="E172" s="41" t="n">
        <v>27.2</v>
      </c>
      <c r="F172" s="5" t="str">
        <f aca="false">IF(AND(E172&gt;=5,E172&lt;=20,C172&gt;=80,B172&lt;=1),"Opportunity (pos 5-20, 80+ impr, 0-1 click)","")</f>
        <v/>
      </c>
    </row>
    <row r="173" customFormat="false" ht="15" hidden="false" customHeight="false" outlineLevel="0" collapsed="false">
      <c r="A173" s="14" t="s">
        <v>1052</v>
      </c>
      <c r="B173" s="14" t="n">
        <v>0</v>
      </c>
      <c r="C173" s="14" t="n">
        <v>20</v>
      </c>
      <c r="D173" s="42" t="n">
        <v>0</v>
      </c>
      <c r="E173" s="41" t="n">
        <v>48.9</v>
      </c>
      <c r="F173" s="5" t="str">
        <f aca="false">IF(AND(E173&gt;=5,E173&lt;=20,C173&gt;=80,B173&lt;=1),"Opportunity (pos 5-20, 80+ impr, 0-1 click)","")</f>
        <v/>
      </c>
    </row>
    <row r="174" customFormat="false" ht="15" hidden="false" customHeight="false" outlineLevel="0" collapsed="false">
      <c r="A174" s="14" t="s">
        <v>1053</v>
      </c>
      <c r="B174" s="14" t="n">
        <v>0</v>
      </c>
      <c r="C174" s="14" t="n">
        <v>19</v>
      </c>
      <c r="D174" s="42" t="n">
        <v>0</v>
      </c>
      <c r="E174" s="41" t="n">
        <v>8.89</v>
      </c>
      <c r="F174" s="5" t="str">
        <f aca="false">IF(AND(E174&gt;=5,E174&lt;=20,C174&gt;=80,B174&lt;=1),"Opportunity (pos 5-20, 80+ impr, 0-1 click)","")</f>
        <v/>
      </c>
    </row>
    <row r="175" customFormat="false" ht="15" hidden="false" customHeight="false" outlineLevel="0" collapsed="false">
      <c r="A175" s="14" t="s">
        <v>1054</v>
      </c>
      <c r="B175" s="14" t="n">
        <v>0</v>
      </c>
      <c r="C175" s="14" t="n">
        <v>19</v>
      </c>
      <c r="D175" s="42" t="n">
        <v>0</v>
      </c>
      <c r="E175" s="41" t="n">
        <v>12.53</v>
      </c>
      <c r="F175" s="5" t="str">
        <f aca="false">IF(AND(E175&gt;=5,E175&lt;=20,C175&gt;=80,B175&lt;=1),"Opportunity (pos 5-20, 80+ impr, 0-1 click)","")</f>
        <v/>
      </c>
    </row>
    <row r="176" customFormat="false" ht="15" hidden="false" customHeight="false" outlineLevel="0" collapsed="false">
      <c r="A176" s="14" t="s">
        <v>1055</v>
      </c>
      <c r="B176" s="14" t="n">
        <v>0</v>
      </c>
      <c r="C176" s="14" t="n">
        <v>19</v>
      </c>
      <c r="D176" s="42" t="n">
        <v>0</v>
      </c>
      <c r="E176" s="41" t="n">
        <v>17.74</v>
      </c>
      <c r="F176" s="5" t="str">
        <f aca="false">IF(AND(E176&gt;=5,E176&lt;=20,C176&gt;=80,B176&lt;=1),"Opportunity (pos 5-20, 80+ impr, 0-1 click)","")</f>
        <v/>
      </c>
    </row>
    <row r="177" customFormat="false" ht="15" hidden="false" customHeight="false" outlineLevel="0" collapsed="false">
      <c r="A177" s="14" t="s">
        <v>1056</v>
      </c>
      <c r="B177" s="14" t="n">
        <v>0</v>
      </c>
      <c r="C177" s="14" t="n">
        <v>19</v>
      </c>
      <c r="D177" s="42" t="n">
        <v>0</v>
      </c>
      <c r="E177" s="41" t="n">
        <v>28.37</v>
      </c>
      <c r="F177" s="5" t="str">
        <f aca="false">IF(AND(E177&gt;=5,E177&lt;=20,C177&gt;=80,B177&lt;=1),"Opportunity (pos 5-20, 80+ impr, 0-1 click)","")</f>
        <v/>
      </c>
    </row>
    <row r="178" customFormat="false" ht="15" hidden="false" customHeight="false" outlineLevel="0" collapsed="false">
      <c r="A178" s="14" t="s">
        <v>1057</v>
      </c>
      <c r="B178" s="14" t="n">
        <v>0</v>
      </c>
      <c r="C178" s="14" t="n">
        <v>19</v>
      </c>
      <c r="D178" s="42" t="n">
        <v>0</v>
      </c>
      <c r="E178" s="41" t="n">
        <v>38.05</v>
      </c>
      <c r="F178" s="5" t="str">
        <f aca="false">IF(AND(E178&gt;=5,E178&lt;=20,C178&gt;=80,B178&lt;=1),"Opportunity (pos 5-20, 80+ impr, 0-1 click)","")</f>
        <v/>
      </c>
    </row>
    <row r="179" customFormat="false" ht="15" hidden="false" customHeight="false" outlineLevel="0" collapsed="false">
      <c r="A179" s="14" t="s">
        <v>1058</v>
      </c>
      <c r="B179" s="14" t="n">
        <v>0</v>
      </c>
      <c r="C179" s="14" t="n">
        <v>19</v>
      </c>
      <c r="D179" s="42" t="n">
        <v>0</v>
      </c>
      <c r="E179" s="41" t="n">
        <v>48.21</v>
      </c>
      <c r="F179" s="5" t="str">
        <f aca="false">IF(AND(E179&gt;=5,E179&lt;=20,C179&gt;=80,B179&lt;=1),"Opportunity (pos 5-20, 80+ impr, 0-1 click)","")</f>
        <v/>
      </c>
    </row>
    <row r="180" customFormat="false" ht="15" hidden="false" customHeight="false" outlineLevel="0" collapsed="false">
      <c r="A180" s="14" t="s">
        <v>1059</v>
      </c>
      <c r="B180" s="14" t="n">
        <v>0</v>
      </c>
      <c r="C180" s="14" t="n">
        <v>18</v>
      </c>
      <c r="D180" s="42" t="n">
        <v>0</v>
      </c>
      <c r="E180" s="41" t="n">
        <v>8.17</v>
      </c>
      <c r="F180" s="5" t="str">
        <f aca="false">IF(AND(E180&gt;=5,E180&lt;=20,C180&gt;=80,B180&lt;=1),"Opportunity (pos 5-20, 80+ impr, 0-1 click)","")</f>
        <v/>
      </c>
    </row>
    <row r="181" customFormat="false" ht="15" hidden="false" customHeight="false" outlineLevel="0" collapsed="false">
      <c r="A181" s="14" t="s">
        <v>1060</v>
      </c>
      <c r="B181" s="14" t="n">
        <v>0</v>
      </c>
      <c r="C181" s="14" t="n">
        <v>18</v>
      </c>
      <c r="D181" s="42" t="n">
        <v>0</v>
      </c>
      <c r="E181" s="41" t="n">
        <v>12.56</v>
      </c>
      <c r="F181" s="5" t="str">
        <f aca="false">IF(AND(E181&gt;=5,E181&lt;=20,C181&gt;=80,B181&lt;=1),"Opportunity (pos 5-20, 80+ impr, 0-1 click)","")</f>
        <v/>
      </c>
    </row>
    <row r="182" customFormat="false" ht="15" hidden="false" customHeight="false" outlineLevel="0" collapsed="false">
      <c r="A182" s="14" t="s">
        <v>1061</v>
      </c>
      <c r="B182" s="14" t="n">
        <v>0</v>
      </c>
      <c r="C182" s="14" t="n">
        <v>18</v>
      </c>
      <c r="D182" s="42" t="n">
        <v>0</v>
      </c>
      <c r="E182" s="41" t="n">
        <v>12.61</v>
      </c>
      <c r="F182" s="5" t="str">
        <f aca="false">IF(AND(E182&gt;=5,E182&lt;=20,C182&gt;=80,B182&lt;=1),"Opportunity (pos 5-20, 80+ impr, 0-1 click)","")</f>
        <v/>
      </c>
    </row>
    <row r="183" customFormat="false" ht="15" hidden="false" customHeight="false" outlineLevel="0" collapsed="false">
      <c r="A183" s="14" t="s">
        <v>1062</v>
      </c>
      <c r="B183" s="14" t="n">
        <v>0</v>
      </c>
      <c r="C183" s="14" t="n">
        <v>18</v>
      </c>
      <c r="D183" s="42" t="n">
        <v>0</v>
      </c>
      <c r="E183" s="41" t="n">
        <v>21.39</v>
      </c>
      <c r="F183" s="5" t="str">
        <f aca="false">IF(AND(E183&gt;=5,E183&lt;=20,C183&gt;=80,B183&lt;=1),"Opportunity (pos 5-20, 80+ impr, 0-1 click)","")</f>
        <v/>
      </c>
    </row>
    <row r="184" customFormat="false" ht="15" hidden="false" customHeight="false" outlineLevel="0" collapsed="false">
      <c r="A184" s="14" t="s">
        <v>1063</v>
      </c>
      <c r="B184" s="14" t="n">
        <v>0</v>
      </c>
      <c r="C184" s="14" t="n">
        <v>18</v>
      </c>
      <c r="D184" s="42" t="n">
        <v>0</v>
      </c>
      <c r="E184" s="41" t="n">
        <v>26.22</v>
      </c>
      <c r="F184" s="5" t="str">
        <f aca="false">IF(AND(E184&gt;=5,E184&lt;=20,C184&gt;=80,B184&lt;=1),"Opportunity (pos 5-20, 80+ impr, 0-1 click)","")</f>
        <v/>
      </c>
    </row>
    <row r="185" customFormat="false" ht="15" hidden="false" customHeight="false" outlineLevel="0" collapsed="false">
      <c r="A185" s="43" t="s">
        <v>1064</v>
      </c>
      <c r="B185" s="14" t="n">
        <v>0</v>
      </c>
      <c r="C185" s="14" t="n">
        <v>17</v>
      </c>
      <c r="D185" s="42" t="n">
        <v>0</v>
      </c>
      <c r="E185" s="41" t="n">
        <v>4.82</v>
      </c>
      <c r="F185" s="5" t="str">
        <f aca="false">IF(AND(E185&gt;=5,E185&lt;=20,C185&gt;=80,B185&lt;=1),"Opportunity (pos 5-20, 80+ impr, 0-1 click)","")</f>
        <v/>
      </c>
    </row>
    <row r="186" customFormat="false" ht="15" hidden="false" customHeight="false" outlineLevel="0" collapsed="false">
      <c r="A186" s="14" t="s">
        <v>1065</v>
      </c>
      <c r="B186" s="14" t="n">
        <v>0</v>
      </c>
      <c r="C186" s="14" t="n">
        <v>17</v>
      </c>
      <c r="D186" s="42" t="n">
        <v>0</v>
      </c>
      <c r="E186" s="41" t="n">
        <v>6.35</v>
      </c>
      <c r="F186" s="5" t="str">
        <f aca="false">IF(AND(E186&gt;=5,E186&lt;=20,C186&gt;=80,B186&lt;=1),"Opportunity (pos 5-20, 80+ impr, 0-1 click)","")</f>
        <v/>
      </c>
    </row>
    <row r="187" customFormat="false" ht="15" hidden="false" customHeight="false" outlineLevel="0" collapsed="false">
      <c r="A187" s="14" t="s">
        <v>1066</v>
      </c>
      <c r="B187" s="14" t="n">
        <v>0</v>
      </c>
      <c r="C187" s="14" t="n">
        <v>17</v>
      </c>
      <c r="D187" s="42" t="n">
        <v>0</v>
      </c>
      <c r="E187" s="41" t="n">
        <v>6.65</v>
      </c>
      <c r="F187" s="5" t="str">
        <f aca="false">IF(AND(E187&gt;=5,E187&lt;=20,C187&gt;=80,B187&lt;=1),"Opportunity (pos 5-20, 80+ impr, 0-1 click)","")</f>
        <v/>
      </c>
    </row>
    <row r="188" customFormat="false" ht="15" hidden="false" customHeight="false" outlineLevel="0" collapsed="false">
      <c r="A188" s="14" t="s">
        <v>1067</v>
      </c>
      <c r="B188" s="14" t="n">
        <v>0</v>
      </c>
      <c r="C188" s="14" t="n">
        <v>17</v>
      </c>
      <c r="D188" s="42" t="n">
        <v>0</v>
      </c>
      <c r="E188" s="41" t="n">
        <v>10.82</v>
      </c>
      <c r="F188" s="5" t="str">
        <f aca="false">IF(AND(E188&gt;=5,E188&lt;=20,C188&gt;=80,B188&lt;=1),"Opportunity (pos 5-20, 80+ impr, 0-1 click)","")</f>
        <v/>
      </c>
    </row>
    <row r="189" customFormat="false" ht="15" hidden="false" customHeight="false" outlineLevel="0" collapsed="false">
      <c r="A189" s="14" t="s">
        <v>1068</v>
      </c>
      <c r="B189" s="14" t="n">
        <v>0</v>
      </c>
      <c r="C189" s="14" t="n">
        <v>17</v>
      </c>
      <c r="D189" s="42" t="n">
        <v>0</v>
      </c>
      <c r="E189" s="41" t="n">
        <v>11.35</v>
      </c>
      <c r="F189" s="5" t="str">
        <f aca="false">IF(AND(E189&gt;=5,E189&lt;=20,C189&gt;=80,B189&lt;=1),"Opportunity (pos 5-20, 80+ impr, 0-1 click)","")</f>
        <v/>
      </c>
    </row>
    <row r="190" customFormat="false" ht="15" hidden="false" customHeight="false" outlineLevel="0" collapsed="false">
      <c r="A190" s="14" t="s">
        <v>1069</v>
      </c>
      <c r="B190" s="14" t="n">
        <v>0</v>
      </c>
      <c r="C190" s="14" t="n">
        <v>17</v>
      </c>
      <c r="D190" s="42" t="n">
        <v>0</v>
      </c>
      <c r="E190" s="41" t="n">
        <v>13.94</v>
      </c>
      <c r="F190" s="5" t="str">
        <f aca="false">IF(AND(E190&gt;=5,E190&lt;=20,C190&gt;=80,B190&lt;=1),"Opportunity (pos 5-20, 80+ impr, 0-1 click)","")</f>
        <v/>
      </c>
    </row>
    <row r="191" customFormat="false" ht="15" hidden="false" customHeight="false" outlineLevel="0" collapsed="false">
      <c r="A191" s="14" t="s">
        <v>1070</v>
      </c>
      <c r="B191" s="14" t="n">
        <v>0</v>
      </c>
      <c r="C191" s="14" t="n">
        <v>17</v>
      </c>
      <c r="D191" s="42" t="n">
        <v>0</v>
      </c>
      <c r="E191" s="41" t="n">
        <v>18.47</v>
      </c>
      <c r="F191" s="5" t="str">
        <f aca="false">IF(AND(E191&gt;=5,E191&lt;=20,C191&gt;=80,B191&lt;=1),"Opportunity (pos 5-20, 80+ impr, 0-1 click)","")</f>
        <v/>
      </c>
    </row>
    <row r="192" customFormat="false" ht="15" hidden="false" customHeight="false" outlineLevel="0" collapsed="false">
      <c r="A192" s="14" t="s">
        <v>1071</v>
      </c>
      <c r="B192" s="14" t="n">
        <v>0</v>
      </c>
      <c r="C192" s="14" t="n">
        <v>17</v>
      </c>
      <c r="D192" s="42" t="n">
        <v>0</v>
      </c>
      <c r="E192" s="41" t="n">
        <v>18.76</v>
      </c>
      <c r="F192" s="5" t="str">
        <f aca="false">IF(AND(E192&gt;=5,E192&lt;=20,C192&gt;=80,B192&lt;=1),"Opportunity (pos 5-20, 80+ impr, 0-1 click)","")</f>
        <v/>
      </c>
    </row>
    <row r="193" customFormat="false" ht="15" hidden="false" customHeight="false" outlineLevel="0" collapsed="false">
      <c r="A193" s="14" t="s">
        <v>1072</v>
      </c>
      <c r="B193" s="14" t="n">
        <v>0</v>
      </c>
      <c r="C193" s="14" t="n">
        <v>17</v>
      </c>
      <c r="D193" s="42" t="n">
        <v>0</v>
      </c>
      <c r="E193" s="41" t="n">
        <v>20.24</v>
      </c>
      <c r="F193" s="5" t="str">
        <f aca="false">IF(AND(E193&gt;=5,E193&lt;=20,C193&gt;=80,B193&lt;=1),"Opportunity (pos 5-20, 80+ impr, 0-1 click)","")</f>
        <v/>
      </c>
    </row>
    <row r="194" customFormat="false" ht="15" hidden="false" customHeight="false" outlineLevel="0" collapsed="false">
      <c r="A194" s="14" t="s">
        <v>1073</v>
      </c>
      <c r="B194" s="14" t="n">
        <v>0</v>
      </c>
      <c r="C194" s="14" t="n">
        <v>17</v>
      </c>
      <c r="D194" s="42" t="n">
        <v>0</v>
      </c>
      <c r="E194" s="41" t="n">
        <v>24.24</v>
      </c>
      <c r="F194" s="5" t="str">
        <f aca="false">IF(AND(E194&gt;=5,E194&lt;=20,C194&gt;=80,B194&lt;=1),"Opportunity (pos 5-20, 80+ impr, 0-1 click)","")</f>
        <v/>
      </c>
    </row>
    <row r="195" customFormat="false" ht="15" hidden="false" customHeight="false" outlineLevel="0" collapsed="false">
      <c r="A195" s="14" t="s">
        <v>1074</v>
      </c>
      <c r="B195" s="14" t="n">
        <v>0</v>
      </c>
      <c r="C195" s="14" t="n">
        <v>17</v>
      </c>
      <c r="D195" s="42" t="n">
        <v>0</v>
      </c>
      <c r="E195" s="41" t="n">
        <v>24.29</v>
      </c>
      <c r="F195" s="5" t="str">
        <f aca="false">IF(AND(E195&gt;=5,E195&lt;=20,C195&gt;=80,B195&lt;=1),"Opportunity (pos 5-20, 80+ impr, 0-1 click)","")</f>
        <v/>
      </c>
    </row>
    <row r="196" customFormat="false" ht="15" hidden="false" customHeight="false" outlineLevel="0" collapsed="false">
      <c r="A196" s="14" t="s">
        <v>1075</v>
      </c>
      <c r="B196" s="14" t="n">
        <v>0</v>
      </c>
      <c r="C196" s="14" t="n">
        <v>17</v>
      </c>
      <c r="D196" s="42" t="n">
        <v>0</v>
      </c>
      <c r="E196" s="41" t="n">
        <v>27.94</v>
      </c>
      <c r="F196" s="5" t="str">
        <f aca="false">IF(AND(E196&gt;=5,E196&lt;=20,C196&gt;=80,B196&lt;=1),"Opportunity (pos 5-20, 80+ impr, 0-1 click)","")</f>
        <v/>
      </c>
    </row>
    <row r="197" customFormat="false" ht="15" hidden="false" customHeight="false" outlineLevel="0" collapsed="false">
      <c r="A197" s="14" t="s">
        <v>1076</v>
      </c>
      <c r="B197" s="14" t="n">
        <v>0</v>
      </c>
      <c r="C197" s="14" t="n">
        <v>17</v>
      </c>
      <c r="D197" s="42" t="n">
        <v>0</v>
      </c>
      <c r="E197" s="41" t="n">
        <v>28.35</v>
      </c>
      <c r="F197" s="5" t="str">
        <f aca="false">IF(AND(E197&gt;=5,E197&lt;=20,C197&gt;=80,B197&lt;=1),"Opportunity (pos 5-20, 80+ impr, 0-1 click)","")</f>
        <v/>
      </c>
    </row>
    <row r="198" customFormat="false" ht="15" hidden="false" customHeight="false" outlineLevel="0" collapsed="false">
      <c r="A198" s="14" t="s">
        <v>1077</v>
      </c>
      <c r="B198" s="14" t="n">
        <v>0</v>
      </c>
      <c r="C198" s="14" t="n">
        <v>17</v>
      </c>
      <c r="D198" s="42" t="n">
        <v>0</v>
      </c>
      <c r="E198" s="41" t="n">
        <v>30.24</v>
      </c>
      <c r="F198" s="5" t="str">
        <f aca="false">IF(AND(E198&gt;=5,E198&lt;=20,C198&gt;=80,B198&lt;=1),"Opportunity (pos 5-20, 80+ impr, 0-1 click)","")</f>
        <v/>
      </c>
    </row>
    <row r="199" customFormat="false" ht="15" hidden="false" customHeight="false" outlineLevel="0" collapsed="false">
      <c r="A199" s="14" t="s">
        <v>1078</v>
      </c>
      <c r="B199" s="14" t="n">
        <v>0</v>
      </c>
      <c r="C199" s="14" t="n">
        <v>17</v>
      </c>
      <c r="D199" s="42" t="n">
        <v>0</v>
      </c>
      <c r="E199" s="41" t="n">
        <v>47.71</v>
      </c>
      <c r="F199" s="5" t="str">
        <f aca="false">IF(AND(E199&gt;=5,E199&lt;=20,C199&gt;=80,B199&lt;=1),"Opportunity (pos 5-20, 80+ impr, 0-1 click)","")</f>
        <v/>
      </c>
    </row>
    <row r="200" customFormat="false" ht="15" hidden="false" customHeight="false" outlineLevel="0" collapsed="false">
      <c r="A200" s="14" t="s">
        <v>1079</v>
      </c>
      <c r="B200" s="14" t="n">
        <v>0</v>
      </c>
      <c r="C200" s="14" t="n">
        <v>17</v>
      </c>
      <c r="D200" s="42" t="n">
        <v>0</v>
      </c>
      <c r="E200" s="41" t="n">
        <v>51.35</v>
      </c>
      <c r="F200" s="5" t="str">
        <f aca="false">IF(AND(E200&gt;=5,E200&lt;=20,C200&gt;=80,B200&lt;=1),"Opportunity (pos 5-20, 80+ impr, 0-1 click)","")</f>
        <v/>
      </c>
    </row>
    <row r="201" customFormat="false" ht="15" hidden="false" customHeight="false" outlineLevel="0" collapsed="false">
      <c r="A201" s="14" t="s">
        <v>1080</v>
      </c>
      <c r="B201" s="14" t="n">
        <v>0</v>
      </c>
      <c r="C201" s="14" t="n">
        <v>17</v>
      </c>
      <c r="D201" s="42" t="n">
        <v>0</v>
      </c>
      <c r="E201" s="41" t="n">
        <v>62.12</v>
      </c>
      <c r="F201" s="5" t="str">
        <f aca="false">IF(AND(E201&gt;=5,E201&lt;=20,C201&gt;=80,B201&lt;=1),"Opportunity (pos 5-20, 80+ impr, 0-1 click)","")</f>
        <v/>
      </c>
    </row>
    <row r="202" customFormat="false" ht="15" hidden="false" customHeight="false" outlineLevel="0" collapsed="false">
      <c r="A202" s="14" t="s">
        <v>1081</v>
      </c>
      <c r="B202" s="14" t="n">
        <v>0</v>
      </c>
      <c r="C202" s="14" t="n">
        <v>16</v>
      </c>
      <c r="D202" s="42" t="n">
        <v>0</v>
      </c>
      <c r="E202" s="41" t="n">
        <v>4.19</v>
      </c>
      <c r="F202" s="5" t="str">
        <f aca="false">IF(AND(E202&gt;=5,E202&lt;=20,C202&gt;=80,B202&lt;=1),"Opportunity (pos 5-20, 80+ impr, 0-1 click)","")</f>
        <v/>
      </c>
    </row>
    <row r="203" customFormat="false" ht="15" hidden="false" customHeight="false" outlineLevel="0" collapsed="false">
      <c r="A203" s="14" t="s">
        <v>1082</v>
      </c>
      <c r="B203" s="14" t="n">
        <v>0</v>
      </c>
      <c r="C203" s="14" t="n">
        <v>16</v>
      </c>
      <c r="D203" s="42" t="n">
        <v>0</v>
      </c>
      <c r="E203" s="41" t="n">
        <v>9.69</v>
      </c>
      <c r="F203" s="5" t="str">
        <f aca="false">IF(AND(E203&gt;=5,E203&lt;=20,C203&gt;=80,B203&lt;=1),"Opportunity (pos 5-20, 80+ impr, 0-1 click)","")</f>
        <v/>
      </c>
    </row>
    <row r="204" customFormat="false" ht="15" hidden="false" customHeight="false" outlineLevel="0" collapsed="false">
      <c r="A204" s="14" t="s">
        <v>1083</v>
      </c>
      <c r="B204" s="14" t="n">
        <v>0</v>
      </c>
      <c r="C204" s="14" t="n">
        <v>16</v>
      </c>
      <c r="D204" s="42" t="n">
        <v>0</v>
      </c>
      <c r="E204" s="41" t="n">
        <v>10.38</v>
      </c>
      <c r="F204" s="5" t="str">
        <f aca="false">IF(AND(E204&gt;=5,E204&lt;=20,C204&gt;=80,B204&lt;=1),"Opportunity (pos 5-20, 80+ impr, 0-1 click)","")</f>
        <v/>
      </c>
    </row>
    <row r="205" customFormat="false" ht="15" hidden="false" customHeight="false" outlineLevel="0" collapsed="false">
      <c r="A205" s="14" t="s">
        <v>1084</v>
      </c>
      <c r="B205" s="14" t="n">
        <v>0</v>
      </c>
      <c r="C205" s="14" t="n">
        <v>16</v>
      </c>
      <c r="D205" s="42" t="n">
        <v>0</v>
      </c>
      <c r="E205" s="41" t="n">
        <v>10.38</v>
      </c>
      <c r="F205" s="5" t="str">
        <f aca="false">IF(AND(E205&gt;=5,E205&lt;=20,C205&gt;=80,B205&lt;=1),"Opportunity (pos 5-20, 80+ impr, 0-1 click)","")</f>
        <v/>
      </c>
    </row>
    <row r="206" customFormat="false" ht="15" hidden="false" customHeight="false" outlineLevel="0" collapsed="false">
      <c r="A206" s="14" t="s">
        <v>1085</v>
      </c>
      <c r="B206" s="14" t="n">
        <v>0</v>
      </c>
      <c r="C206" s="14" t="n">
        <v>16</v>
      </c>
      <c r="D206" s="42" t="n">
        <v>0</v>
      </c>
      <c r="E206" s="41" t="n">
        <v>10.56</v>
      </c>
      <c r="F206" s="5" t="str">
        <f aca="false">IF(AND(E206&gt;=5,E206&lt;=20,C206&gt;=80,B206&lt;=1),"Opportunity (pos 5-20, 80+ impr, 0-1 click)","")</f>
        <v/>
      </c>
    </row>
    <row r="207" customFormat="false" ht="15" hidden="false" customHeight="false" outlineLevel="0" collapsed="false">
      <c r="A207" s="14" t="s">
        <v>1086</v>
      </c>
      <c r="B207" s="14" t="n">
        <v>0</v>
      </c>
      <c r="C207" s="14" t="n">
        <v>16</v>
      </c>
      <c r="D207" s="42" t="n">
        <v>0</v>
      </c>
      <c r="E207" s="41" t="n">
        <v>10.94</v>
      </c>
      <c r="F207" s="5" t="str">
        <f aca="false">IF(AND(E207&gt;=5,E207&lt;=20,C207&gt;=80,B207&lt;=1),"Opportunity (pos 5-20, 80+ impr, 0-1 click)","")</f>
        <v/>
      </c>
    </row>
    <row r="208" customFormat="false" ht="15" hidden="false" customHeight="false" outlineLevel="0" collapsed="false">
      <c r="A208" s="14" t="s">
        <v>1087</v>
      </c>
      <c r="B208" s="14" t="n">
        <v>0</v>
      </c>
      <c r="C208" s="14" t="n">
        <v>16</v>
      </c>
      <c r="D208" s="42" t="n">
        <v>0</v>
      </c>
      <c r="E208" s="41" t="n">
        <v>12.62</v>
      </c>
      <c r="F208" s="5" t="str">
        <f aca="false">IF(AND(E208&gt;=5,E208&lt;=20,C208&gt;=80,B208&lt;=1),"Opportunity (pos 5-20, 80+ impr, 0-1 click)","")</f>
        <v/>
      </c>
    </row>
    <row r="209" customFormat="false" ht="15" hidden="false" customHeight="false" outlineLevel="0" collapsed="false">
      <c r="A209" s="14" t="s">
        <v>1088</v>
      </c>
      <c r="B209" s="14" t="n">
        <v>0</v>
      </c>
      <c r="C209" s="14" t="n">
        <v>16</v>
      </c>
      <c r="D209" s="42" t="n">
        <v>0</v>
      </c>
      <c r="E209" s="41" t="n">
        <v>13.88</v>
      </c>
      <c r="F209" s="5" t="str">
        <f aca="false">IF(AND(E209&gt;=5,E209&lt;=20,C209&gt;=80,B209&lt;=1),"Opportunity (pos 5-20, 80+ impr, 0-1 click)","")</f>
        <v/>
      </c>
    </row>
    <row r="210" customFormat="false" ht="15" hidden="false" customHeight="false" outlineLevel="0" collapsed="false">
      <c r="A210" s="14" t="s">
        <v>1089</v>
      </c>
      <c r="B210" s="14" t="n">
        <v>0</v>
      </c>
      <c r="C210" s="14" t="n">
        <v>16</v>
      </c>
      <c r="D210" s="42" t="n">
        <v>0</v>
      </c>
      <c r="E210" s="41" t="n">
        <v>18</v>
      </c>
      <c r="F210" s="5" t="str">
        <f aca="false">IF(AND(E210&gt;=5,E210&lt;=20,C210&gt;=80,B210&lt;=1),"Opportunity (pos 5-20, 80+ impr, 0-1 click)","")</f>
        <v/>
      </c>
    </row>
    <row r="211" customFormat="false" ht="15" hidden="false" customHeight="false" outlineLevel="0" collapsed="false">
      <c r="A211" s="14" t="s">
        <v>1090</v>
      </c>
      <c r="B211" s="14" t="n">
        <v>0</v>
      </c>
      <c r="C211" s="14" t="n">
        <v>16</v>
      </c>
      <c r="D211" s="42" t="n">
        <v>0</v>
      </c>
      <c r="E211" s="41" t="n">
        <v>32.25</v>
      </c>
      <c r="F211" s="5" t="str">
        <f aca="false">IF(AND(E211&gt;=5,E211&lt;=20,C211&gt;=80,B211&lt;=1),"Opportunity (pos 5-20, 80+ impr, 0-1 click)","")</f>
        <v/>
      </c>
    </row>
    <row r="212" customFormat="false" ht="15" hidden="false" customHeight="false" outlineLevel="0" collapsed="false">
      <c r="A212" s="14" t="s">
        <v>1091</v>
      </c>
      <c r="B212" s="14" t="n">
        <v>0</v>
      </c>
      <c r="C212" s="14" t="n">
        <v>16</v>
      </c>
      <c r="D212" s="42" t="n">
        <v>0</v>
      </c>
      <c r="E212" s="41" t="n">
        <v>34.94</v>
      </c>
      <c r="F212" s="5" t="str">
        <f aca="false">IF(AND(E212&gt;=5,E212&lt;=20,C212&gt;=80,B212&lt;=1),"Opportunity (pos 5-20, 80+ impr, 0-1 click)","")</f>
        <v/>
      </c>
    </row>
    <row r="213" customFormat="false" ht="15" hidden="false" customHeight="false" outlineLevel="0" collapsed="false">
      <c r="A213" s="14" t="s">
        <v>1092</v>
      </c>
      <c r="B213" s="14" t="n">
        <v>0</v>
      </c>
      <c r="C213" s="14" t="n">
        <v>16</v>
      </c>
      <c r="D213" s="42" t="n">
        <v>0</v>
      </c>
      <c r="E213" s="41" t="n">
        <v>36.62</v>
      </c>
      <c r="F213" s="5" t="str">
        <f aca="false">IF(AND(E213&gt;=5,E213&lt;=20,C213&gt;=80,B213&lt;=1),"Opportunity (pos 5-20, 80+ impr, 0-1 click)","")</f>
        <v/>
      </c>
    </row>
    <row r="214" customFormat="false" ht="15" hidden="false" customHeight="false" outlineLevel="0" collapsed="false">
      <c r="A214" s="14" t="s">
        <v>1093</v>
      </c>
      <c r="B214" s="14" t="n">
        <v>0</v>
      </c>
      <c r="C214" s="14" t="n">
        <v>16</v>
      </c>
      <c r="D214" s="42" t="n">
        <v>0</v>
      </c>
      <c r="E214" s="41" t="n">
        <v>38.38</v>
      </c>
      <c r="F214" s="5" t="str">
        <f aca="false">IF(AND(E214&gt;=5,E214&lt;=20,C214&gt;=80,B214&lt;=1),"Opportunity (pos 5-20, 80+ impr, 0-1 click)","")</f>
        <v/>
      </c>
    </row>
    <row r="215" customFormat="false" ht="15" hidden="false" customHeight="false" outlineLevel="0" collapsed="false">
      <c r="A215" s="14" t="s">
        <v>1094</v>
      </c>
      <c r="B215" s="14" t="n">
        <v>0</v>
      </c>
      <c r="C215" s="14" t="n">
        <v>16</v>
      </c>
      <c r="D215" s="42" t="n">
        <v>0</v>
      </c>
      <c r="E215" s="41" t="n">
        <v>40.69</v>
      </c>
      <c r="F215" s="5" t="str">
        <f aca="false">IF(AND(E215&gt;=5,E215&lt;=20,C215&gt;=80,B215&lt;=1),"Opportunity (pos 5-20, 80+ impr, 0-1 click)","")</f>
        <v/>
      </c>
    </row>
    <row r="216" customFormat="false" ht="15" hidden="false" customHeight="false" outlineLevel="0" collapsed="false">
      <c r="A216" s="14" t="s">
        <v>1095</v>
      </c>
      <c r="B216" s="14" t="n">
        <v>0</v>
      </c>
      <c r="C216" s="14" t="n">
        <v>16</v>
      </c>
      <c r="D216" s="42" t="n">
        <v>0</v>
      </c>
      <c r="E216" s="41" t="n">
        <v>66.81</v>
      </c>
      <c r="F216" s="5" t="str">
        <f aca="false">IF(AND(E216&gt;=5,E216&lt;=20,C216&gt;=80,B216&lt;=1),"Opportunity (pos 5-20, 80+ impr, 0-1 click)","")</f>
        <v/>
      </c>
    </row>
    <row r="217" customFormat="false" ht="15" hidden="false" customHeight="false" outlineLevel="0" collapsed="false">
      <c r="A217" s="14" t="s">
        <v>1096</v>
      </c>
      <c r="B217" s="14" t="n">
        <v>0</v>
      </c>
      <c r="C217" s="14" t="n">
        <v>15</v>
      </c>
      <c r="D217" s="42" t="n">
        <v>0</v>
      </c>
      <c r="E217" s="41" t="n">
        <v>9.6</v>
      </c>
      <c r="F217" s="5" t="str">
        <f aca="false">IF(AND(E217&gt;=5,E217&lt;=20,C217&gt;=80,B217&lt;=1),"Opportunity (pos 5-20, 80+ impr, 0-1 click)","")</f>
        <v/>
      </c>
    </row>
    <row r="218" customFormat="false" ht="15" hidden="false" customHeight="false" outlineLevel="0" collapsed="false">
      <c r="A218" s="14" t="s">
        <v>1097</v>
      </c>
      <c r="B218" s="14" t="n">
        <v>0</v>
      </c>
      <c r="C218" s="14" t="n">
        <v>15</v>
      </c>
      <c r="D218" s="42" t="n">
        <v>0</v>
      </c>
      <c r="E218" s="41" t="n">
        <v>12.87</v>
      </c>
      <c r="F218" s="5" t="str">
        <f aca="false">IF(AND(E218&gt;=5,E218&lt;=20,C218&gt;=80,B218&lt;=1),"Opportunity (pos 5-20, 80+ impr, 0-1 click)","")</f>
        <v/>
      </c>
    </row>
    <row r="219" customFormat="false" ht="15" hidden="false" customHeight="false" outlineLevel="0" collapsed="false">
      <c r="A219" s="14" t="s">
        <v>1098</v>
      </c>
      <c r="B219" s="14" t="n">
        <v>0</v>
      </c>
      <c r="C219" s="14" t="n">
        <v>15</v>
      </c>
      <c r="D219" s="42" t="n">
        <v>0</v>
      </c>
      <c r="E219" s="41" t="n">
        <v>14.47</v>
      </c>
      <c r="F219" s="5" t="str">
        <f aca="false">IF(AND(E219&gt;=5,E219&lt;=20,C219&gt;=80,B219&lt;=1),"Opportunity (pos 5-20, 80+ impr, 0-1 click)","")</f>
        <v/>
      </c>
    </row>
    <row r="220" customFormat="false" ht="15" hidden="false" customHeight="false" outlineLevel="0" collapsed="false">
      <c r="A220" s="14" t="s">
        <v>1099</v>
      </c>
      <c r="B220" s="14" t="n">
        <v>0</v>
      </c>
      <c r="C220" s="14" t="n">
        <v>15</v>
      </c>
      <c r="D220" s="42" t="n">
        <v>0</v>
      </c>
      <c r="E220" s="41" t="n">
        <v>16.53</v>
      </c>
      <c r="F220" s="5" t="str">
        <f aca="false">IF(AND(E220&gt;=5,E220&lt;=20,C220&gt;=80,B220&lt;=1),"Opportunity (pos 5-20, 80+ impr, 0-1 click)","")</f>
        <v/>
      </c>
    </row>
    <row r="221" customFormat="false" ht="15" hidden="false" customHeight="false" outlineLevel="0" collapsed="false">
      <c r="A221" s="14" t="s">
        <v>1100</v>
      </c>
      <c r="B221" s="14" t="n">
        <v>0</v>
      </c>
      <c r="C221" s="14" t="n">
        <v>15</v>
      </c>
      <c r="D221" s="42" t="n">
        <v>0</v>
      </c>
      <c r="E221" s="41" t="n">
        <v>16.53</v>
      </c>
      <c r="F221" s="5" t="str">
        <f aca="false">IF(AND(E221&gt;=5,E221&lt;=20,C221&gt;=80,B221&lt;=1),"Opportunity (pos 5-20, 80+ impr, 0-1 click)","")</f>
        <v/>
      </c>
    </row>
    <row r="222" customFormat="false" ht="15" hidden="false" customHeight="false" outlineLevel="0" collapsed="false">
      <c r="A222" s="14" t="s">
        <v>1101</v>
      </c>
      <c r="B222" s="14" t="n">
        <v>0</v>
      </c>
      <c r="C222" s="14" t="n">
        <v>15</v>
      </c>
      <c r="D222" s="42" t="n">
        <v>0</v>
      </c>
      <c r="E222" s="41" t="n">
        <v>17.33</v>
      </c>
      <c r="F222" s="5" t="str">
        <f aca="false">IF(AND(E222&gt;=5,E222&lt;=20,C222&gt;=80,B222&lt;=1),"Opportunity (pos 5-20, 80+ impr, 0-1 click)","")</f>
        <v/>
      </c>
    </row>
    <row r="223" customFormat="false" ht="15" hidden="false" customHeight="false" outlineLevel="0" collapsed="false">
      <c r="A223" s="14" t="s">
        <v>1102</v>
      </c>
      <c r="B223" s="14" t="n">
        <v>0</v>
      </c>
      <c r="C223" s="14" t="n">
        <v>15</v>
      </c>
      <c r="D223" s="42" t="n">
        <v>0</v>
      </c>
      <c r="E223" s="41" t="n">
        <v>20.53</v>
      </c>
      <c r="F223" s="5" t="str">
        <f aca="false">IF(AND(E223&gt;=5,E223&lt;=20,C223&gt;=80,B223&lt;=1),"Opportunity (pos 5-20, 80+ impr, 0-1 click)","")</f>
        <v/>
      </c>
    </row>
    <row r="224" customFormat="false" ht="15" hidden="false" customHeight="false" outlineLevel="0" collapsed="false">
      <c r="A224" s="14" t="s">
        <v>1103</v>
      </c>
      <c r="B224" s="14" t="n">
        <v>0</v>
      </c>
      <c r="C224" s="14" t="n">
        <v>15</v>
      </c>
      <c r="D224" s="42" t="n">
        <v>0</v>
      </c>
      <c r="E224" s="41" t="n">
        <v>26.33</v>
      </c>
      <c r="F224" s="5" t="str">
        <f aca="false">IF(AND(E224&gt;=5,E224&lt;=20,C224&gt;=80,B224&lt;=1),"Opportunity (pos 5-20, 80+ impr, 0-1 click)","")</f>
        <v/>
      </c>
    </row>
    <row r="225" customFormat="false" ht="15" hidden="false" customHeight="false" outlineLevel="0" collapsed="false">
      <c r="A225" s="14" t="s">
        <v>1104</v>
      </c>
      <c r="B225" s="14" t="n">
        <v>0</v>
      </c>
      <c r="C225" s="14" t="n">
        <v>15</v>
      </c>
      <c r="D225" s="42" t="n">
        <v>0</v>
      </c>
      <c r="E225" s="41" t="n">
        <v>29.8</v>
      </c>
      <c r="F225" s="5" t="str">
        <f aca="false">IF(AND(E225&gt;=5,E225&lt;=20,C225&gt;=80,B225&lt;=1),"Opportunity (pos 5-20, 80+ impr, 0-1 click)","")</f>
        <v/>
      </c>
    </row>
    <row r="226" customFormat="false" ht="15" hidden="false" customHeight="false" outlineLevel="0" collapsed="false">
      <c r="A226" s="14" t="s">
        <v>1105</v>
      </c>
      <c r="B226" s="14" t="n">
        <v>0</v>
      </c>
      <c r="C226" s="14" t="n">
        <v>15</v>
      </c>
      <c r="D226" s="42" t="n">
        <v>0</v>
      </c>
      <c r="E226" s="41" t="n">
        <v>33.33</v>
      </c>
      <c r="F226" s="5" t="str">
        <f aca="false">IF(AND(E226&gt;=5,E226&lt;=20,C226&gt;=80,B226&lt;=1),"Opportunity (pos 5-20, 80+ impr, 0-1 click)","")</f>
        <v/>
      </c>
    </row>
    <row r="227" customFormat="false" ht="15" hidden="false" customHeight="false" outlineLevel="0" collapsed="false">
      <c r="A227" s="14" t="s">
        <v>1106</v>
      </c>
      <c r="B227" s="14" t="n">
        <v>0</v>
      </c>
      <c r="C227" s="14" t="n">
        <v>15</v>
      </c>
      <c r="D227" s="42" t="n">
        <v>0</v>
      </c>
      <c r="E227" s="41" t="n">
        <v>38.2</v>
      </c>
      <c r="F227" s="5" t="str">
        <f aca="false">IF(AND(E227&gt;=5,E227&lt;=20,C227&gt;=80,B227&lt;=1),"Opportunity (pos 5-20, 80+ impr, 0-1 click)","")</f>
        <v/>
      </c>
    </row>
    <row r="228" customFormat="false" ht="15" hidden="false" customHeight="false" outlineLevel="0" collapsed="false">
      <c r="A228" s="14" t="s">
        <v>1107</v>
      </c>
      <c r="B228" s="14" t="n">
        <v>0</v>
      </c>
      <c r="C228" s="14" t="n">
        <v>15</v>
      </c>
      <c r="D228" s="42" t="n">
        <v>0</v>
      </c>
      <c r="E228" s="41" t="n">
        <v>43.2</v>
      </c>
      <c r="F228" s="5" t="str">
        <f aca="false">IF(AND(E228&gt;=5,E228&lt;=20,C228&gt;=80,B228&lt;=1),"Opportunity (pos 5-20, 80+ impr, 0-1 click)","")</f>
        <v/>
      </c>
    </row>
    <row r="229" customFormat="false" ht="15" hidden="false" customHeight="false" outlineLevel="0" collapsed="false">
      <c r="A229" s="14" t="s">
        <v>1108</v>
      </c>
      <c r="B229" s="14" t="n">
        <v>0</v>
      </c>
      <c r="C229" s="14" t="n">
        <v>15</v>
      </c>
      <c r="D229" s="42" t="n">
        <v>0</v>
      </c>
      <c r="E229" s="41" t="n">
        <v>45</v>
      </c>
      <c r="F229" s="5" t="str">
        <f aca="false">IF(AND(E229&gt;=5,E229&lt;=20,C229&gt;=80,B229&lt;=1),"Opportunity (pos 5-20, 80+ impr, 0-1 click)","")</f>
        <v/>
      </c>
    </row>
    <row r="230" customFormat="false" ht="15" hidden="false" customHeight="false" outlineLevel="0" collapsed="false">
      <c r="A230" s="14" t="s">
        <v>1109</v>
      </c>
      <c r="B230" s="14" t="n">
        <v>0</v>
      </c>
      <c r="C230" s="14" t="n">
        <v>14</v>
      </c>
      <c r="D230" s="42" t="n">
        <v>0</v>
      </c>
      <c r="E230" s="41" t="n">
        <v>9.71</v>
      </c>
      <c r="F230" s="5" t="str">
        <f aca="false">IF(AND(E230&gt;=5,E230&lt;=20,C230&gt;=80,B230&lt;=1),"Opportunity (pos 5-20, 80+ impr, 0-1 click)","")</f>
        <v/>
      </c>
    </row>
    <row r="231" customFormat="false" ht="15" hidden="false" customHeight="false" outlineLevel="0" collapsed="false">
      <c r="A231" s="14" t="s">
        <v>1110</v>
      </c>
      <c r="B231" s="14" t="n">
        <v>0</v>
      </c>
      <c r="C231" s="14" t="n">
        <v>14</v>
      </c>
      <c r="D231" s="42" t="n">
        <v>0</v>
      </c>
      <c r="E231" s="41" t="n">
        <v>12</v>
      </c>
      <c r="F231" s="5" t="str">
        <f aca="false">IF(AND(E231&gt;=5,E231&lt;=20,C231&gt;=80,B231&lt;=1),"Opportunity (pos 5-20, 80+ impr, 0-1 click)","")</f>
        <v/>
      </c>
    </row>
    <row r="232" customFormat="false" ht="15" hidden="false" customHeight="false" outlineLevel="0" collapsed="false">
      <c r="A232" s="14" t="s">
        <v>1111</v>
      </c>
      <c r="B232" s="14" t="n">
        <v>0</v>
      </c>
      <c r="C232" s="14" t="n">
        <v>14</v>
      </c>
      <c r="D232" s="42" t="n">
        <v>0</v>
      </c>
      <c r="E232" s="41" t="n">
        <v>12.36</v>
      </c>
      <c r="F232" s="5" t="str">
        <f aca="false">IF(AND(E232&gt;=5,E232&lt;=20,C232&gt;=80,B232&lt;=1),"Opportunity (pos 5-20, 80+ impr, 0-1 click)","")</f>
        <v/>
      </c>
    </row>
    <row r="233" customFormat="false" ht="15" hidden="false" customHeight="false" outlineLevel="0" collapsed="false">
      <c r="A233" s="14" t="s">
        <v>1112</v>
      </c>
      <c r="B233" s="14" t="n">
        <v>0</v>
      </c>
      <c r="C233" s="14" t="n">
        <v>14</v>
      </c>
      <c r="D233" s="42" t="n">
        <v>0</v>
      </c>
      <c r="E233" s="41" t="n">
        <v>13.21</v>
      </c>
      <c r="F233" s="5" t="str">
        <f aca="false">IF(AND(E233&gt;=5,E233&lt;=20,C233&gt;=80,B233&lt;=1),"Opportunity (pos 5-20, 80+ impr, 0-1 click)","")</f>
        <v/>
      </c>
    </row>
    <row r="234" customFormat="false" ht="15" hidden="false" customHeight="false" outlineLevel="0" collapsed="false">
      <c r="A234" s="14" t="s">
        <v>1113</v>
      </c>
      <c r="B234" s="14" t="n">
        <v>0</v>
      </c>
      <c r="C234" s="14" t="n">
        <v>14</v>
      </c>
      <c r="D234" s="42" t="n">
        <v>0</v>
      </c>
      <c r="E234" s="41" t="n">
        <v>13.29</v>
      </c>
      <c r="F234" s="5" t="str">
        <f aca="false">IF(AND(E234&gt;=5,E234&lt;=20,C234&gt;=80,B234&lt;=1),"Opportunity (pos 5-20, 80+ impr, 0-1 click)","")</f>
        <v/>
      </c>
    </row>
    <row r="235" customFormat="false" ht="15" hidden="false" customHeight="false" outlineLevel="0" collapsed="false">
      <c r="A235" s="14" t="s">
        <v>1114</v>
      </c>
      <c r="B235" s="14" t="n">
        <v>0</v>
      </c>
      <c r="C235" s="14" t="n">
        <v>14</v>
      </c>
      <c r="D235" s="42" t="n">
        <v>0</v>
      </c>
      <c r="E235" s="41" t="n">
        <v>15.79</v>
      </c>
      <c r="F235" s="5" t="str">
        <f aca="false">IF(AND(E235&gt;=5,E235&lt;=20,C235&gt;=80,B235&lt;=1),"Opportunity (pos 5-20, 80+ impr, 0-1 click)","")</f>
        <v/>
      </c>
    </row>
    <row r="236" customFormat="false" ht="15" hidden="false" customHeight="false" outlineLevel="0" collapsed="false">
      <c r="A236" s="14" t="s">
        <v>1115</v>
      </c>
      <c r="B236" s="14" t="n">
        <v>0</v>
      </c>
      <c r="C236" s="14" t="n">
        <v>14</v>
      </c>
      <c r="D236" s="42" t="n">
        <v>0</v>
      </c>
      <c r="E236" s="41" t="n">
        <v>17.29</v>
      </c>
      <c r="F236" s="5" t="str">
        <f aca="false">IF(AND(E236&gt;=5,E236&lt;=20,C236&gt;=80,B236&lt;=1),"Opportunity (pos 5-20, 80+ impr, 0-1 click)","")</f>
        <v/>
      </c>
    </row>
    <row r="237" customFormat="false" ht="15" hidden="false" customHeight="false" outlineLevel="0" collapsed="false">
      <c r="A237" s="14" t="s">
        <v>1116</v>
      </c>
      <c r="B237" s="14" t="n">
        <v>0</v>
      </c>
      <c r="C237" s="14" t="n">
        <v>14</v>
      </c>
      <c r="D237" s="42" t="n">
        <v>0</v>
      </c>
      <c r="E237" s="41" t="n">
        <v>19.79</v>
      </c>
      <c r="F237" s="5" t="str">
        <f aca="false">IF(AND(E237&gt;=5,E237&lt;=20,C237&gt;=80,B237&lt;=1),"Opportunity (pos 5-20, 80+ impr, 0-1 click)","")</f>
        <v/>
      </c>
    </row>
    <row r="238" customFormat="false" ht="15" hidden="false" customHeight="false" outlineLevel="0" collapsed="false">
      <c r="A238" s="14" t="s">
        <v>1117</v>
      </c>
      <c r="B238" s="14" t="n">
        <v>0</v>
      </c>
      <c r="C238" s="14" t="n">
        <v>14</v>
      </c>
      <c r="D238" s="42" t="n">
        <v>0</v>
      </c>
      <c r="E238" s="41" t="n">
        <v>19.93</v>
      </c>
      <c r="F238" s="5" t="str">
        <f aca="false">IF(AND(E238&gt;=5,E238&lt;=20,C238&gt;=80,B238&lt;=1),"Opportunity (pos 5-20, 80+ impr, 0-1 click)","")</f>
        <v/>
      </c>
    </row>
    <row r="239" customFormat="false" ht="15" hidden="false" customHeight="false" outlineLevel="0" collapsed="false">
      <c r="A239" s="14" t="s">
        <v>1118</v>
      </c>
      <c r="B239" s="14" t="n">
        <v>0</v>
      </c>
      <c r="C239" s="14" t="n">
        <v>14</v>
      </c>
      <c r="D239" s="42" t="n">
        <v>0</v>
      </c>
      <c r="E239" s="41" t="n">
        <v>20.93</v>
      </c>
      <c r="F239" s="5" t="str">
        <f aca="false">IF(AND(E239&gt;=5,E239&lt;=20,C239&gt;=80,B239&lt;=1),"Opportunity (pos 5-20, 80+ impr, 0-1 click)","")</f>
        <v/>
      </c>
    </row>
    <row r="240" customFormat="false" ht="15" hidden="false" customHeight="false" outlineLevel="0" collapsed="false">
      <c r="A240" s="14" t="s">
        <v>1119</v>
      </c>
      <c r="B240" s="14" t="n">
        <v>0</v>
      </c>
      <c r="C240" s="14" t="n">
        <v>14</v>
      </c>
      <c r="D240" s="42" t="n">
        <v>0</v>
      </c>
      <c r="E240" s="41" t="n">
        <v>23</v>
      </c>
      <c r="F240" s="5" t="str">
        <f aca="false">IF(AND(E240&gt;=5,E240&lt;=20,C240&gt;=80,B240&lt;=1),"Opportunity (pos 5-20, 80+ impr, 0-1 click)","")</f>
        <v/>
      </c>
    </row>
    <row r="241" customFormat="false" ht="15" hidden="false" customHeight="false" outlineLevel="0" collapsed="false">
      <c r="A241" s="14" t="s">
        <v>1120</v>
      </c>
      <c r="B241" s="14" t="n">
        <v>0</v>
      </c>
      <c r="C241" s="14" t="n">
        <v>14</v>
      </c>
      <c r="D241" s="42" t="n">
        <v>0</v>
      </c>
      <c r="E241" s="41" t="n">
        <v>26.36</v>
      </c>
      <c r="F241" s="5" t="str">
        <f aca="false">IF(AND(E241&gt;=5,E241&lt;=20,C241&gt;=80,B241&lt;=1),"Opportunity (pos 5-20, 80+ impr, 0-1 click)","")</f>
        <v/>
      </c>
    </row>
    <row r="242" customFormat="false" ht="15" hidden="false" customHeight="false" outlineLevel="0" collapsed="false">
      <c r="A242" s="14" t="s">
        <v>1121</v>
      </c>
      <c r="B242" s="14" t="n">
        <v>0</v>
      </c>
      <c r="C242" s="14" t="n">
        <v>14</v>
      </c>
      <c r="D242" s="42" t="n">
        <v>0</v>
      </c>
      <c r="E242" s="41" t="n">
        <v>26.64</v>
      </c>
      <c r="F242" s="5" t="str">
        <f aca="false">IF(AND(E242&gt;=5,E242&lt;=20,C242&gt;=80,B242&lt;=1),"Opportunity (pos 5-20, 80+ impr, 0-1 click)","")</f>
        <v/>
      </c>
    </row>
    <row r="243" customFormat="false" ht="15" hidden="false" customHeight="false" outlineLevel="0" collapsed="false">
      <c r="A243" s="14" t="s">
        <v>1122</v>
      </c>
      <c r="B243" s="14" t="n">
        <v>0</v>
      </c>
      <c r="C243" s="14" t="n">
        <v>14</v>
      </c>
      <c r="D243" s="42" t="n">
        <v>0</v>
      </c>
      <c r="E243" s="41" t="n">
        <v>27.71</v>
      </c>
      <c r="F243" s="5" t="str">
        <f aca="false">IF(AND(E243&gt;=5,E243&lt;=20,C243&gt;=80,B243&lt;=1),"Opportunity (pos 5-20, 80+ impr, 0-1 click)","")</f>
        <v/>
      </c>
    </row>
    <row r="244" customFormat="false" ht="15" hidden="false" customHeight="false" outlineLevel="0" collapsed="false">
      <c r="A244" s="14" t="s">
        <v>1123</v>
      </c>
      <c r="B244" s="14" t="n">
        <v>0</v>
      </c>
      <c r="C244" s="14" t="n">
        <v>14</v>
      </c>
      <c r="D244" s="42" t="n">
        <v>0</v>
      </c>
      <c r="E244" s="41" t="n">
        <v>30.64</v>
      </c>
      <c r="F244" s="5" t="str">
        <f aca="false">IF(AND(E244&gt;=5,E244&lt;=20,C244&gt;=80,B244&lt;=1),"Opportunity (pos 5-20, 80+ impr, 0-1 click)","")</f>
        <v/>
      </c>
    </row>
    <row r="245" customFormat="false" ht="15" hidden="false" customHeight="false" outlineLevel="0" collapsed="false">
      <c r="A245" s="14" t="s">
        <v>1124</v>
      </c>
      <c r="B245" s="14" t="n">
        <v>0</v>
      </c>
      <c r="C245" s="14" t="n">
        <v>14</v>
      </c>
      <c r="D245" s="42" t="n">
        <v>0</v>
      </c>
      <c r="E245" s="41" t="n">
        <v>34.07</v>
      </c>
      <c r="F245" s="5" t="str">
        <f aca="false">IF(AND(E245&gt;=5,E245&lt;=20,C245&gt;=80,B245&lt;=1),"Opportunity (pos 5-20, 80+ impr, 0-1 click)","")</f>
        <v/>
      </c>
    </row>
    <row r="246" customFormat="false" ht="15" hidden="false" customHeight="false" outlineLevel="0" collapsed="false">
      <c r="A246" s="14" t="s">
        <v>1125</v>
      </c>
      <c r="B246" s="14" t="n">
        <v>0</v>
      </c>
      <c r="C246" s="14" t="n">
        <v>14</v>
      </c>
      <c r="D246" s="42" t="n">
        <v>0</v>
      </c>
      <c r="E246" s="41" t="n">
        <v>37.79</v>
      </c>
      <c r="F246" s="5" t="str">
        <f aca="false">IF(AND(E246&gt;=5,E246&lt;=20,C246&gt;=80,B246&lt;=1),"Opportunity (pos 5-20, 80+ impr, 0-1 click)","")</f>
        <v/>
      </c>
    </row>
    <row r="247" customFormat="false" ht="15" hidden="false" customHeight="false" outlineLevel="0" collapsed="false">
      <c r="A247" s="14" t="s">
        <v>1126</v>
      </c>
      <c r="B247" s="14" t="n">
        <v>0</v>
      </c>
      <c r="C247" s="14" t="n">
        <v>14</v>
      </c>
      <c r="D247" s="42" t="n">
        <v>0</v>
      </c>
      <c r="E247" s="41" t="n">
        <v>37.93</v>
      </c>
      <c r="F247" s="5" t="str">
        <f aca="false">IF(AND(E247&gt;=5,E247&lt;=20,C247&gt;=80,B247&lt;=1),"Opportunity (pos 5-20, 80+ impr, 0-1 click)","")</f>
        <v/>
      </c>
    </row>
    <row r="248" customFormat="false" ht="15" hidden="false" customHeight="false" outlineLevel="0" collapsed="false">
      <c r="A248" s="14" t="s">
        <v>1127</v>
      </c>
      <c r="B248" s="14" t="n">
        <v>0</v>
      </c>
      <c r="C248" s="14" t="n">
        <v>14</v>
      </c>
      <c r="D248" s="42" t="n">
        <v>0</v>
      </c>
      <c r="E248" s="41" t="n">
        <v>39.93</v>
      </c>
      <c r="F248" s="5" t="str">
        <f aca="false">IF(AND(E248&gt;=5,E248&lt;=20,C248&gt;=80,B248&lt;=1),"Opportunity (pos 5-20, 80+ impr, 0-1 click)","")</f>
        <v/>
      </c>
    </row>
    <row r="249" customFormat="false" ht="15" hidden="false" customHeight="false" outlineLevel="0" collapsed="false">
      <c r="A249" s="14" t="s">
        <v>1128</v>
      </c>
      <c r="B249" s="14" t="n">
        <v>0</v>
      </c>
      <c r="C249" s="14" t="n">
        <v>13</v>
      </c>
      <c r="D249" s="42" t="n">
        <v>0</v>
      </c>
      <c r="E249" s="41" t="n">
        <v>12.69</v>
      </c>
      <c r="F249" s="5" t="str">
        <f aca="false">IF(AND(E249&gt;=5,E249&lt;=20,C249&gt;=80,B249&lt;=1),"Opportunity (pos 5-20, 80+ impr, 0-1 click)","")</f>
        <v/>
      </c>
    </row>
    <row r="250" customFormat="false" ht="15" hidden="false" customHeight="false" outlineLevel="0" collapsed="false">
      <c r="A250" s="14" t="s">
        <v>1129</v>
      </c>
      <c r="B250" s="14" t="n">
        <v>0</v>
      </c>
      <c r="C250" s="14" t="n">
        <v>13</v>
      </c>
      <c r="D250" s="42" t="n">
        <v>0</v>
      </c>
      <c r="E250" s="41" t="n">
        <v>14</v>
      </c>
      <c r="F250" s="5" t="str">
        <f aca="false">IF(AND(E250&gt;=5,E250&lt;=20,C250&gt;=80,B250&lt;=1),"Opportunity (pos 5-20, 80+ impr, 0-1 click)","")</f>
        <v/>
      </c>
    </row>
    <row r="251" customFormat="false" ht="15" hidden="false" customHeight="false" outlineLevel="0" collapsed="false">
      <c r="A251" s="14" t="s">
        <v>1130</v>
      </c>
      <c r="B251" s="14" t="n">
        <v>0</v>
      </c>
      <c r="C251" s="14" t="n">
        <v>13</v>
      </c>
      <c r="D251" s="42" t="n">
        <v>0</v>
      </c>
      <c r="E251" s="41" t="n">
        <v>15.92</v>
      </c>
      <c r="F251" s="5" t="str">
        <f aca="false">IF(AND(E251&gt;=5,E251&lt;=20,C251&gt;=80,B251&lt;=1),"Opportunity (pos 5-20, 80+ impr, 0-1 click)","")</f>
        <v/>
      </c>
    </row>
    <row r="252" customFormat="false" ht="15" hidden="false" customHeight="false" outlineLevel="0" collapsed="false">
      <c r="A252" s="14" t="s">
        <v>1131</v>
      </c>
      <c r="B252" s="14" t="n">
        <v>0</v>
      </c>
      <c r="C252" s="14" t="n">
        <v>13</v>
      </c>
      <c r="D252" s="42" t="n">
        <v>0</v>
      </c>
      <c r="E252" s="41" t="n">
        <v>16.54</v>
      </c>
      <c r="F252" s="5" t="str">
        <f aca="false">IF(AND(E252&gt;=5,E252&lt;=20,C252&gt;=80,B252&lt;=1),"Opportunity (pos 5-20, 80+ impr, 0-1 click)","")</f>
        <v/>
      </c>
    </row>
    <row r="253" customFormat="false" ht="15" hidden="false" customHeight="false" outlineLevel="0" collapsed="false">
      <c r="A253" s="14" t="s">
        <v>1132</v>
      </c>
      <c r="B253" s="14" t="n">
        <v>0</v>
      </c>
      <c r="C253" s="14" t="n">
        <v>13</v>
      </c>
      <c r="D253" s="42" t="n">
        <v>0</v>
      </c>
      <c r="E253" s="41" t="n">
        <v>17</v>
      </c>
      <c r="F253" s="5" t="str">
        <f aca="false">IF(AND(E253&gt;=5,E253&lt;=20,C253&gt;=80,B253&lt;=1),"Opportunity (pos 5-20, 80+ impr, 0-1 click)","")</f>
        <v/>
      </c>
    </row>
    <row r="254" customFormat="false" ht="15" hidden="false" customHeight="false" outlineLevel="0" collapsed="false">
      <c r="A254" s="14" t="s">
        <v>1133</v>
      </c>
      <c r="B254" s="14" t="n">
        <v>0</v>
      </c>
      <c r="C254" s="14" t="n">
        <v>13</v>
      </c>
      <c r="D254" s="42" t="n">
        <v>0</v>
      </c>
      <c r="E254" s="41" t="n">
        <v>18.54</v>
      </c>
      <c r="F254" s="5" t="str">
        <f aca="false">IF(AND(E254&gt;=5,E254&lt;=20,C254&gt;=80,B254&lt;=1),"Opportunity (pos 5-20, 80+ impr, 0-1 click)","")</f>
        <v/>
      </c>
    </row>
    <row r="255" customFormat="false" ht="15" hidden="false" customHeight="false" outlineLevel="0" collapsed="false">
      <c r="A255" s="14" t="s">
        <v>1134</v>
      </c>
      <c r="B255" s="14" t="n">
        <v>0</v>
      </c>
      <c r="C255" s="14" t="n">
        <v>13</v>
      </c>
      <c r="D255" s="42" t="n">
        <v>0</v>
      </c>
      <c r="E255" s="41" t="n">
        <v>20.69</v>
      </c>
      <c r="F255" s="5" t="str">
        <f aca="false">IF(AND(E255&gt;=5,E255&lt;=20,C255&gt;=80,B255&lt;=1),"Opportunity (pos 5-20, 80+ impr, 0-1 click)","")</f>
        <v/>
      </c>
    </row>
    <row r="256" customFormat="false" ht="15" hidden="false" customHeight="false" outlineLevel="0" collapsed="false">
      <c r="A256" s="14" t="s">
        <v>1135</v>
      </c>
      <c r="B256" s="14" t="n">
        <v>0</v>
      </c>
      <c r="C256" s="14" t="n">
        <v>13</v>
      </c>
      <c r="D256" s="42" t="n">
        <v>0</v>
      </c>
      <c r="E256" s="41" t="n">
        <v>21.08</v>
      </c>
      <c r="F256" s="5" t="str">
        <f aca="false">IF(AND(E256&gt;=5,E256&lt;=20,C256&gt;=80,B256&lt;=1),"Opportunity (pos 5-20, 80+ impr, 0-1 click)","")</f>
        <v/>
      </c>
    </row>
    <row r="257" customFormat="false" ht="15" hidden="false" customHeight="false" outlineLevel="0" collapsed="false">
      <c r="A257" s="14" t="s">
        <v>1136</v>
      </c>
      <c r="B257" s="14" t="n">
        <v>0</v>
      </c>
      <c r="C257" s="14" t="n">
        <v>13</v>
      </c>
      <c r="D257" s="42" t="n">
        <v>0</v>
      </c>
      <c r="E257" s="41" t="n">
        <v>21.46</v>
      </c>
      <c r="F257" s="5" t="str">
        <f aca="false">IF(AND(E257&gt;=5,E257&lt;=20,C257&gt;=80,B257&lt;=1),"Opportunity (pos 5-20, 80+ impr, 0-1 click)","")</f>
        <v/>
      </c>
    </row>
    <row r="258" customFormat="false" ht="15" hidden="false" customHeight="false" outlineLevel="0" collapsed="false">
      <c r="A258" s="14" t="s">
        <v>1137</v>
      </c>
      <c r="B258" s="14" t="n">
        <v>0</v>
      </c>
      <c r="C258" s="14" t="n">
        <v>13</v>
      </c>
      <c r="D258" s="42" t="n">
        <v>0</v>
      </c>
      <c r="E258" s="41" t="n">
        <v>22.23</v>
      </c>
      <c r="F258" s="5" t="str">
        <f aca="false">IF(AND(E258&gt;=5,E258&lt;=20,C258&gt;=80,B258&lt;=1),"Opportunity (pos 5-20, 80+ impr, 0-1 click)","")</f>
        <v/>
      </c>
    </row>
    <row r="259" customFormat="false" ht="15" hidden="false" customHeight="false" outlineLevel="0" collapsed="false">
      <c r="A259" s="14" t="s">
        <v>1138</v>
      </c>
      <c r="B259" s="14" t="n">
        <v>0</v>
      </c>
      <c r="C259" s="14" t="n">
        <v>13</v>
      </c>
      <c r="D259" s="42" t="n">
        <v>0</v>
      </c>
      <c r="E259" s="41" t="n">
        <v>22.38</v>
      </c>
      <c r="F259" s="5" t="str">
        <f aca="false">IF(AND(E259&gt;=5,E259&lt;=20,C259&gt;=80,B259&lt;=1),"Opportunity (pos 5-20, 80+ impr, 0-1 click)","")</f>
        <v/>
      </c>
    </row>
    <row r="260" customFormat="false" ht="15" hidden="false" customHeight="false" outlineLevel="0" collapsed="false">
      <c r="A260" s="14" t="s">
        <v>1139</v>
      </c>
      <c r="B260" s="14" t="n">
        <v>0</v>
      </c>
      <c r="C260" s="14" t="n">
        <v>13</v>
      </c>
      <c r="D260" s="42" t="n">
        <v>0</v>
      </c>
      <c r="E260" s="41" t="n">
        <v>22.46</v>
      </c>
      <c r="F260" s="5" t="str">
        <f aca="false">IF(AND(E260&gt;=5,E260&lt;=20,C260&gt;=80,B260&lt;=1),"Opportunity (pos 5-20, 80+ impr, 0-1 click)","")</f>
        <v/>
      </c>
    </row>
    <row r="261" customFormat="false" ht="15" hidden="false" customHeight="false" outlineLevel="0" collapsed="false">
      <c r="A261" s="14" t="s">
        <v>1140</v>
      </c>
      <c r="B261" s="14" t="n">
        <v>0</v>
      </c>
      <c r="C261" s="14" t="n">
        <v>13</v>
      </c>
      <c r="D261" s="42" t="n">
        <v>0</v>
      </c>
      <c r="E261" s="41" t="n">
        <v>23.31</v>
      </c>
      <c r="F261" s="5" t="str">
        <f aca="false">IF(AND(E261&gt;=5,E261&lt;=20,C261&gt;=80,B261&lt;=1),"Opportunity (pos 5-20, 80+ impr, 0-1 click)","")</f>
        <v/>
      </c>
    </row>
    <row r="262" customFormat="false" ht="15" hidden="false" customHeight="false" outlineLevel="0" collapsed="false">
      <c r="A262" s="14" t="s">
        <v>1141</v>
      </c>
      <c r="B262" s="14" t="n">
        <v>0</v>
      </c>
      <c r="C262" s="14" t="n">
        <v>13</v>
      </c>
      <c r="D262" s="42" t="n">
        <v>0</v>
      </c>
      <c r="E262" s="41" t="n">
        <v>24.46</v>
      </c>
      <c r="F262" s="5" t="str">
        <f aca="false">IF(AND(E262&gt;=5,E262&lt;=20,C262&gt;=80,B262&lt;=1),"Opportunity (pos 5-20, 80+ impr, 0-1 click)","")</f>
        <v/>
      </c>
    </row>
    <row r="263" customFormat="false" ht="15" hidden="false" customHeight="false" outlineLevel="0" collapsed="false">
      <c r="A263" s="14" t="s">
        <v>1142</v>
      </c>
      <c r="B263" s="14" t="n">
        <v>0</v>
      </c>
      <c r="C263" s="14" t="n">
        <v>13</v>
      </c>
      <c r="D263" s="42" t="n">
        <v>0</v>
      </c>
      <c r="E263" s="41" t="n">
        <v>26.92</v>
      </c>
      <c r="F263" s="5" t="str">
        <f aca="false">IF(AND(E263&gt;=5,E263&lt;=20,C263&gt;=80,B263&lt;=1),"Opportunity (pos 5-20, 80+ impr, 0-1 click)","")</f>
        <v/>
      </c>
    </row>
    <row r="264" customFormat="false" ht="15" hidden="false" customHeight="false" outlineLevel="0" collapsed="false">
      <c r="A264" s="14" t="s">
        <v>1143</v>
      </c>
      <c r="B264" s="14" t="n">
        <v>0</v>
      </c>
      <c r="C264" s="14" t="n">
        <v>13</v>
      </c>
      <c r="D264" s="42" t="n">
        <v>0</v>
      </c>
      <c r="E264" s="41" t="n">
        <v>26.92</v>
      </c>
      <c r="F264" s="5" t="str">
        <f aca="false">IF(AND(E264&gt;=5,E264&lt;=20,C264&gt;=80,B264&lt;=1),"Opportunity (pos 5-20, 80+ impr, 0-1 click)","")</f>
        <v/>
      </c>
    </row>
    <row r="265" customFormat="false" ht="15" hidden="false" customHeight="false" outlineLevel="0" collapsed="false">
      <c r="A265" s="14" t="s">
        <v>1144</v>
      </c>
      <c r="B265" s="14" t="n">
        <v>0</v>
      </c>
      <c r="C265" s="14" t="n">
        <v>13</v>
      </c>
      <c r="D265" s="42" t="n">
        <v>0</v>
      </c>
      <c r="E265" s="41" t="n">
        <v>26.92</v>
      </c>
      <c r="F265" s="5" t="str">
        <f aca="false">IF(AND(E265&gt;=5,E265&lt;=20,C265&gt;=80,B265&lt;=1),"Opportunity (pos 5-20, 80+ impr, 0-1 click)","")</f>
        <v/>
      </c>
    </row>
    <row r="266" customFormat="false" ht="15" hidden="false" customHeight="false" outlineLevel="0" collapsed="false">
      <c r="A266" s="14" t="s">
        <v>1145</v>
      </c>
      <c r="B266" s="14" t="n">
        <v>0</v>
      </c>
      <c r="C266" s="14" t="n">
        <v>13</v>
      </c>
      <c r="D266" s="42" t="n">
        <v>0</v>
      </c>
      <c r="E266" s="41" t="n">
        <v>27.85</v>
      </c>
      <c r="F266" s="5" t="str">
        <f aca="false">IF(AND(E266&gt;=5,E266&lt;=20,C266&gt;=80,B266&lt;=1),"Opportunity (pos 5-20, 80+ impr, 0-1 click)","")</f>
        <v/>
      </c>
    </row>
    <row r="267" customFormat="false" ht="15" hidden="false" customHeight="false" outlineLevel="0" collapsed="false">
      <c r="A267" s="14" t="s">
        <v>1146</v>
      </c>
      <c r="B267" s="14" t="n">
        <v>0</v>
      </c>
      <c r="C267" s="14" t="n">
        <v>13</v>
      </c>
      <c r="D267" s="42" t="n">
        <v>0</v>
      </c>
      <c r="E267" s="41" t="n">
        <v>29.31</v>
      </c>
      <c r="F267" s="5" t="str">
        <f aca="false">IF(AND(E267&gt;=5,E267&lt;=20,C267&gt;=80,B267&lt;=1),"Opportunity (pos 5-20, 80+ impr, 0-1 click)","")</f>
        <v/>
      </c>
    </row>
    <row r="268" customFormat="false" ht="15" hidden="false" customHeight="false" outlineLevel="0" collapsed="false">
      <c r="A268" s="14" t="s">
        <v>1147</v>
      </c>
      <c r="B268" s="14" t="n">
        <v>0</v>
      </c>
      <c r="C268" s="14" t="n">
        <v>13</v>
      </c>
      <c r="D268" s="42" t="n">
        <v>0</v>
      </c>
      <c r="E268" s="41" t="n">
        <v>31.92</v>
      </c>
      <c r="F268" s="5" t="str">
        <f aca="false">IF(AND(E268&gt;=5,E268&lt;=20,C268&gt;=80,B268&lt;=1),"Opportunity (pos 5-20, 80+ impr, 0-1 click)","")</f>
        <v/>
      </c>
    </row>
    <row r="269" customFormat="false" ht="15" hidden="false" customHeight="false" outlineLevel="0" collapsed="false">
      <c r="A269" s="14" t="s">
        <v>1148</v>
      </c>
      <c r="B269" s="14" t="n">
        <v>0</v>
      </c>
      <c r="C269" s="14" t="n">
        <v>13</v>
      </c>
      <c r="D269" s="42" t="n">
        <v>0</v>
      </c>
      <c r="E269" s="41" t="n">
        <v>32.85</v>
      </c>
      <c r="F269" s="5" t="str">
        <f aca="false">IF(AND(E269&gt;=5,E269&lt;=20,C269&gt;=80,B269&lt;=1),"Opportunity (pos 5-20, 80+ impr, 0-1 click)","")</f>
        <v/>
      </c>
    </row>
    <row r="270" customFormat="false" ht="15" hidden="false" customHeight="false" outlineLevel="0" collapsed="false">
      <c r="A270" s="14" t="s">
        <v>1149</v>
      </c>
      <c r="B270" s="14" t="n">
        <v>0</v>
      </c>
      <c r="C270" s="14" t="n">
        <v>13</v>
      </c>
      <c r="D270" s="42" t="n">
        <v>0</v>
      </c>
      <c r="E270" s="41" t="n">
        <v>34.69</v>
      </c>
      <c r="F270" s="5" t="str">
        <f aca="false">IF(AND(E270&gt;=5,E270&lt;=20,C270&gt;=80,B270&lt;=1),"Opportunity (pos 5-20, 80+ impr, 0-1 click)","")</f>
        <v/>
      </c>
    </row>
    <row r="271" customFormat="false" ht="15" hidden="false" customHeight="false" outlineLevel="0" collapsed="false">
      <c r="A271" s="14" t="s">
        <v>1150</v>
      </c>
      <c r="B271" s="14" t="n">
        <v>0</v>
      </c>
      <c r="C271" s="14" t="n">
        <v>13</v>
      </c>
      <c r="D271" s="42" t="n">
        <v>0</v>
      </c>
      <c r="E271" s="41" t="n">
        <v>35.54</v>
      </c>
      <c r="F271" s="5" t="str">
        <f aca="false">IF(AND(E271&gt;=5,E271&lt;=20,C271&gt;=80,B271&lt;=1),"Opportunity (pos 5-20, 80+ impr, 0-1 click)","")</f>
        <v/>
      </c>
    </row>
    <row r="272" customFormat="false" ht="15" hidden="false" customHeight="false" outlineLevel="0" collapsed="false">
      <c r="A272" s="14" t="s">
        <v>1151</v>
      </c>
      <c r="B272" s="14" t="n">
        <v>0</v>
      </c>
      <c r="C272" s="14" t="n">
        <v>13</v>
      </c>
      <c r="D272" s="42" t="n">
        <v>0</v>
      </c>
      <c r="E272" s="41" t="n">
        <v>35.69</v>
      </c>
      <c r="F272" s="5" t="str">
        <f aca="false">IF(AND(E272&gt;=5,E272&lt;=20,C272&gt;=80,B272&lt;=1),"Opportunity (pos 5-20, 80+ impr, 0-1 click)","")</f>
        <v/>
      </c>
    </row>
    <row r="273" customFormat="false" ht="15" hidden="false" customHeight="false" outlineLevel="0" collapsed="false">
      <c r="A273" s="14" t="s">
        <v>1152</v>
      </c>
      <c r="B273" s="14" t="n">
        <v>0</v>
      </c>
      <c r="C273" s="14" t="n">
        <v>13</v>
      </c>
      <c r="D273" s="42" t="n">
        <v>0</v>
      </c>
      <c r="E273" s="41" t="n">
        <v>36.31</v>
      </c>
      <c r="F273" s="5" t="str">
        <f aca="false">IF(AND(E273&gt;=5,E273&lt;=20,C273&gt;=80,B273&lt;=1),"Opportunity (pos 5-20, 80+ impr, 0-1 click)","")</f>
        <v/>
      </c>
    </row>
    <row r="274" customFormat="false" ht="15" hidden="false" customHeight="false" outlineLevel="0" collapsed="false">
      <c r="A274" s="14" t="s">
        <v>1153</v>
      </c>
      <c r="B274" s="14" t="n">
        <v>0</v>
      </c>
      <c r="C274" s="14" t="n">
        <v>13</v>
      </c>
      <c r="D274" s="42" t="n">
        <v>0</v>
      </c>
      <c r="E274" s="41" t="n">
        <v>37.08</v>
      </c>
      <c r="F274" s="5" t="str">
        <f aca="false">IF(AND(E274&gt;=5,E274&lt;=20,C274&gt;=80,B274&lt;=1),"Opportunity (pos 5-20, 80+ impr, 0-1 click)","")</f>
        <v/>
      </c>
    </row>
    <row r="275" customFormat="false" ht="15" hidden="false" customHeight="false" outlineLevel="0" collapsed="false">
      <c r="A275" s="14" t="s">
        <v>1154</v>
      </c>
      <c r="B275" s="14" t="n">
        <v>0</v>
      </c>
      <c r="C275" s="14" t="n">
        <v>13</v>
      </c>
      <c r="D275" s="42" t="n">
        <v>0</v>
      </c>
      <c r="E275" s="41" t="n">
        <v>50.23</v>
      </c>
      <c r="F275" s="5" t="str">
        <f aca="false">IF(AND(E275&gt;=5,E275&lt;=20,C275&gt;=80,B275&lt;=1),"Opportunity (pos 5-20, 80+ impr, 0-1 click)","")</f>
        <v/>
      </c>
    </row>
    <row r="276" customFormat="false" ht="15" hidden="false" customHeight="false" outlineLevel="0" collapsed="false">
      <c r="A276" s="14" t="s">
        <v>1155</v>
      </c>
      <c r="B276" s="14" t="n">
        <v>0</v>
      </c>
      <c r="C276" s="14" t="n">
        <v>13</v>
      </c>
      <c r="D276" s="42" t="n">
        <v>0</v>
      </c>
      <c r="E276" s="41" t="n">
        <v>53.54</v>
      </c>
      <c r="F276" s="5" t="str">
        <f aca="false">IF(AND(E276&gt;=5,E276&lt;=20,C276&gt;=80,B276&lt;=1),"Opportunity (pos 5-20, 80+ impr, 0-1 click)","")</f>
        <v/>
      </c>
    </row>
    <row r="277" customFormat="false" ht="15" hidden="false" customHeight="false" outlineLevel="0" collapsed="false">
      <c r="A277" s="14" t="s">
        <v>1156</v>
      </c>
      <c r="B277" s="14" t="n">
        <v>0</v>
      </c>
      <c r="C277" s="14" t="n">
        <v>13</v>
      </c>
      <c r="D277" s="42" t="n">
        <v>0</v>
      </c>
      <c r="E277" s="41" t="n">
        <v>66.38</v>
      </c>
      <c r="F277" s="5" t="str">
        <f aca="false">IF(AND(E277&gt;=5,E277&lt;=20,C277&gt;=80,B277&lt;=1),"Opportunity (pos 5-20, 80+ impr, 0-1 click)","")</f>
        <v/>
      </c>
    </row>
    <row r="278" customFormat="false" ht="15" hidden="false" customHeight="false" outlineLevel="0" collapsed="false">
      <c r="A278" s="14" t="s">
        <v>1157</v>
      </c>
      <c r="B278" s="14" t="n">
        <v>0</v>
      </c>
      <c r="C278" s="14" t="n">
        <v>12</v>
      </c>
      <c r="D278" s="42" t="n">
        <v>0</v>
      </c>
      <c r="E278" s="41" t="n">
        <v>7.5</v>
      </c>
      <c r="F278" s="5" t="str">
        <f aca="false">IF(AND(E278&gt;=5,E278&lt;=20,C278&gt;=80,B278&lt;=1),"Opportunity (pos 5-20, 80+ impr, 0-1 click)","")</f>
        <v/>
      </c>
    </row>
    <row r="279" customFormat="false" ht="15" hidden="false" customHeight="false" outlineLevel="0" collapsed="false">
      <c r="A279" s="14" t="s">
        <v>1158</v>
      </c>
      <c r="B279" s="14" t="n">
        <v>0</v>
      </c>
      <c r="C279" s="14" t="n">
        <v>12</v>
      </c>
      <c r="D279" s="42" t="n">
        <v>0</v>
      </c>
      <c r="E279" s="41" t="n">
        <v>8.67</v>
      </c>
      <c r="F279" s="5" t="str">
        <f aca="false">IF(AND(E279&gt;=5,E279&lt;=20,C279&gt;=80,B279&lt;=1),"Opportunity (pos 5-20, 80+ impr, 0-1 click)","")</f>
        <v/>
      </c>
    </row>
    <row r="280" customFormat="false" ht="15" hidden="false" customHeight="false" outlineLevel="0" collapsed="false">
      <c r="A280" s="14" t="s">
        <v>1159</v>
      </c>
      <c r="B280" s="14" t="n">
        <v>0</v>
      </c>
      <c r="C280" s="14" t="n">
        <v>12</v>
      </c>
      <c r="D280" s="42" t="n">
        <v>0</v>
      </c>
      <c r="E280" s="41" t="n">
        <v>8.75</v>
      </c>
      <c r="F280" s="5" t="str">
        <f aca="false">IF(AND(E280&gt;=5,E280&lt;=20,C280&gt;=80,B280&lt;=1),"Opportunity (pos 5-20, 80+ impr, 0-1 click)","")</f>
        <v/>
      </c>
    </row>
    <row r="281" customFormat="false" ht="15" hidden="false" customHeight="false" outlineLevel="0" collapsed="false">
      <c r="A281" s="14" t="s">
        <v>1160</v>
      </c>
      <c r="B281" s="14" t="n">
        <v>0</v>
      </c>
      <c r="C281" s="14" t="n">
        <v>12</v>
      </c>
      <c r="D281" s="42" t="n">
        <v>0</v>
      </c>
      <c r="E281" s="41" t="n">
        <v>9.42</v>
      </c>
      <c r="F281" s="5" t="str">
        <f aca="false">IF(AND(E281&gt;=5,E281&lt;=20,C281&gt;=80,B281&lt;=1),"Opportunity (pos 5-20, 80+ impr, 0-1 click)","")</f>
        <v/>
      </c>
    </row>
    <row r="282" customFormat="false" ht="15" hidden="false" customHeight="false" outlineLevel="0" collapsed="false">
      <c r="A282" s="14" t="s">
        <v>1161</v>
      </c>
      <c r="B282" s="14" t="n">
        <v>0</v>
      </c>
      <c r="C282" s="14" t="n">
        <v>12</v>
      </c>
      <c r="D282" s="42" t="n">
        <v>0</v>
      </c>
      <c r="E282" s="41" t="n">
        <v>9.58</v>
      </c>
      <c r="F282" s="5" t="str">
        <f aca="false">IF(AND(E282&gt;=5,E282&lt;=20,C282&gt;=80,B282&lt;=1),"Opportunity (pos 5-20, 80+ impr, 0-1 click)","")</f>
        <v/>
      </c>
    </row>
    <row r="283" customFormat="false" ht="15" hidden="false" customHeight="false" outlineLevel="0" collapsed="false">
      <c r="A283" s="14" t="s">
        <v>1162</v>
      </c>
      <c r="B283" s="14" t="n">
        <v>0</v>
      </c>
      <c r="C283" s="14" t="n">
        <v>12</v>
      </c>
      <c r="D283" s="42" t="n">
        <v>0</v>
      </c>
      <c r="E283" s="41" t="n">
        <v>11.42</v>
      </c>
      <c r="F283" s="5" t="str">
        <f aca="false">IF(AND(E283&gt;=5,E283&lt;=20,C283&gt;=80,B283&lt;=1),"Opportunity (pos 5-20, 80+ impr, 0-1 click)","")</f>
        <v/>
      </c>
    </row>
    <row r="284" customFormat="false" ht="15" hidden="false" customHeight="false" outlineLevel="0" collapsed="false">
      <c r="A284" s="14" t="s">
        <v>1163</v>
      </c>
      <c r="B284" s="14" t="n">
        <v>0</v>
      </c>
      <c r="C284" s="14" t="n">
        <v>12</v>
      </c>
      <c r="D284" s="42" t="n">
        <v>0</v>
      </c>
      <c r="E284" s="41" t="n">
        <v>11.58</v>
      </c>
      <c r="F284" s="5" t="str">
        <f aca="false">IF(AND(E284&gt;=5,E284&lt;=20,C284&gt;=80,B284&lt;=1),"Opportunity (pos 5-20, 80+ impr, 0-1 click)","")</f>
        <v/>
      </c>
    </row>
    <row r="285" customFormat="false" ht="15" hidden="false" customHeight="false" outlineLevel="0" collapsed="false">
      <c r="A285" s="14" t="s">
        <v>1164</v>
      </c>
      <c r="B285" s="14" t="n">
        <v>0</v>
      </c>
      <c r="C285" s="14" t="n">
        <v>12</v>
      </c>
      <c r="D285" s="42" t="n">
        <v>0</v>
      </c>
      <c r="E285" s="41" t="n">
        <v>11.92</v>
      </c>
      <c r="F285" s="5" t="str">
        <f aca="false">IF(AND(E285&gt;=5,E285&lt;=20,C285&gt;=80,B285&lt;=1),"Opportunity (pos 5-20, 80+ impr, 0-1 click)","")</f>
        <v/>
      </c>
    </row>
    <row r="286" customFormat="false" ht="15" hidden="false" customHeight="false" outlineLevel="0" collapsed="false">
      <c r="A286" s="14" t="s">
        <v>1165</v>
      </c>
      <c r="B286" s="14" t="n">
        <v>0</v>
      </c>
      <c r="C286" s="14" t="n">
        <v>12</v>
      </c>
      <c r="D286" s="42" t="n">
        <v>0</v>
      </c>
      <c r="E286" s="41" t="n">
        <v>12.08</v>
      </c>
      <c r="F286" s="5" t="str">
        <f aca="false">IF(AND(E286&gt;=5,E286&lt;=20,C286&gt;=80,B286&lt;=1),"Opportunity (pos 5-20, 80+ impr, 0-1 click)","")</f>
        <v/>
      </c>
    </row>
    <row r="287" customFormat="false" ht="15" hidden="false" customHeight="false" outlineLevel="0" collapsed="false">
      <c r="A287" s="14" t="s">
        <v>1166</v>
      </c>
      <c r="B287" s="14" t="n">
        <v>0</v>
      </c>
      <c r="C287" s="14" t="n">
        <v>12</v>
      </c>
      <c r="D287" s="42" t="n">
        <v>0</v>
      </c>
      <c r="E287" s="41" t="n">
        <v>12.67</v>
      </c>
      <c r="F287" s="5" t="str">
        <f aca="false">IF(AND(E287&gt;=5,E287&lt;=20,C287&gt;=80,B287&lt;=1),"Opportunity (pos 5-20, 80+ impr, 0-1 click)","")</f>
        <v/>
      </c>
    </row>
    <row r="288" customFormat="false" ht="15" hidden="false" customHeight="false" outlineLevel="0" collapsed="false">
      <c r="A288" s="14" t="s">
        <v>1167</v>
      </c>
      <c r="B288" s="14" t="n">
        <v>0</v>
      </c>
      <c r="C288" s="14" t="n">
        <v>12</v>
      </c>
      <c r="D288" s="42" t="n">
        <v>0</v>
      </c>
      <c r="E288" s="41" t="n">
        <v>13</v>
      </c>
      <c r="F288" s="5" t="str">
        <f aca="false">IF(AND(E288&gt;=5,E288&lt;=20,C288&gt;=80,B288&lt;=1),"Opportunity (pos 5-20, 80+ impr, 0-1 click)","")</f>
        <v/>
      </c>
    </row>
    <row r="289" customFormat="false" ht="15" hidden="false" customHeight="false" outlineLevel="0" collapsed="false">
      <c r="A289" s="14" t="s">
        <v>1168</v>
      </c>
      <c r="B289" s="14" t="n">
        <v>0</v>
      </c>
      <c r="C289" s="14" t="n">
        <v>12</v>
      </c>
      <c r="D289" s="42" t="n">
        <v>0</v>
      </c>
      <c r="E289" s="41" t="n">
        <v>13.17</v>
      </c>
      <c r="F289" s="5" t="str">
        <f aca="false">IF(AND(E289&gt;=5,E289&lt;=20,C289&gt;=80,B289&lt;=1),"Opportunity (pos 5-20, 80+ impr, 0-1 click)","")</f>
        <v/>
      </c>
    </row>
    <row r="290" customFormat="false" ht="15" hidden="false" customHeight="false" outlineLevel="0" collapsed="false">
      <c r="A290" s="14" t="s">
        <v>1169</v>
      </c>
      <c r="B290" s="14" t="n">
        <v>0</v>
      </c>
      <c r="C290" s="14" t="n">
        <v>12</v>
      </c>
      <c r="D290" s="42" t="n">
        <v>0</v>
      </c>
      <c r="E290" s="41" t="n">
        <v>14.42</v>
      </c>
      <c r="F290" s="5" t="str">
        <f aca="false">IF(AND(E290&gt;=5,E290&lt;=20,C290&gt;=80,B290&lt;=1),"Opportunity (pos 5-20, 80+ impr, 0-1 click)","")</f>
        <v/>
      </c>
    </row>
    <row r="291" customFormat="false" ht="15" hidden="false" customHeight="false" outlineLevel="0" collapsed="false">
      <c r="A291" s="14" t="s">
        <v>1170</v>
      </c>
      <c r="B291" s="14" t="n">
        <v>0</v>
      </c>
      <c r="C291" s="14" t="n">
        <v>12</v>
      </c>
      <c r="D291" s="42" t="n">
        <v>0</v>
      </c>
      <c r="E291" s="41" t="n">
        <v>16.17</v>
      </c>
      <c r="F291" s="5" t="str">
        <f aca="false">IF(AND(E291&gt;=5,E291&lt;=20,C291&gt;=80,B291&lt;=1),"Opportunity (pos 5-20, 80+ impr, 0-1 click)","")</f>
        <v/>
      </c>
    </row>
    <row r="292" customFormat="false" ht="15" hidden="false" customHeight="false" outlineLevel="0" collapsed="false">
      <c r="A292" s="14" t="s">
        <v>1171</v>
      </c>
      <c r="B292" s="14" t="n">
        <v>0</v>
      </c>
      <c r="C292" s="14" t="n">
        <v>12</v>
      </c>
      <c r="D292" s="42" t="n">
        <v>0</v>
      </c>
      <c r="E292" s="41" t="n">
        <v>17.25</v>
      </c>
      <c r="F292" s="5" t="str">
        <f aca="false">IF(AND(E292&gt;=5,E292&lt;=20,C292&gt;=80,B292&lt;=1),"Opportunity (pos 5-20, 80+ impr, 0-1 click)","")</f>
        <v/>
      </c>
    </row>
    <row r="293" customFormat="false" ht="15" hidden="false" customHeight="false" outlineLevel="0" collapsed="false">
      <c r="A293" s="14" t="s">
        <v>1172</v>
      </c>
      <c r="B293" s="14" t="n">
        <v>0</v>
      </c>
      <c r="C293" s="14" t="n">
        <v>12</v>
      </c>
      <c r="D293" s="42" t="n">
        <v>0</v>
      </c>
      <c r="E293" s="41" t="n">
        <v>18.5</v>
      </c>
      <c r="F293" s="5" t="str">
        <f aca="false">IF(AND(E293&gt;=5,E293&lt;=20,C293&gt;=80,B293&lt;=1),"Opportunity (pos 5-20, 80+ impr, 0-1 click)","")</f>
        <v/>
      </c>
    </row>
    <row r="294" customFormat="false" ht="15" hidden="false" customHeight="false" outlineLevel="0" collapsed="false">
      <c r="A294" s="14" t="s">
        <v>1173</v>
      </c>
      <c r="B294" s="14" t="n">
        <v>0</v>
      </c>
      <c r="C294" s="14" t="n">
        <v>12</v>
      </c>
      <c r="D294" s="42" t="n">
        <v>0</v>
      </c>
      <c r="E294" s="41" t="n">
        <v>19.42</v>
      </c>
      <c r="F294" s="5" t="str">
        <f aca="false">IF(AND(E294&gt;=5,E294&lt;=20,C294&gt;=80,B294&lt;=1),"Opportunity (pos 5-20, 80+ impr, 0-1 click)","")</f>
        <v/>
      </c>
    </row>
    <row r="295" customFormat="false" ht="15" hidden="false" customHeight="false" outlineLevel="0" collapsed="false">
      <c r="A295" s="14" t="s">
        <v>1174</v>
      </c>
      <c r="B295" s="14" t="n">
        <v>0</v>
      </c>
      <c r="C295" s="14" t="n">
        <v>12</v>
      </c>
      <c r="D295" s="42" t="n">
        <v>0</v>
      </c>
      <c r="E295" s="41" t="n">
        <v>22.83</v>
      </c>
      <c r="F295" s="5" t="str">
        <f aca="false">IF(AND(E295&gt;=5,E295&lt;=20,C295&gt;=80,B295&lt;=1),"Opportunity (pos 5-20, 80+ impr, 0-1 click)","")</f>
        <v/>
      </c>
    </row>
    <row r="296" customFormat="false" ht="15" hidden="false" customHeight="false" outlineLevel="0" collapsed="false">
      <c r="A296" s="14" t="s">
        <v>1175</v>
      </c>
      <c r="B296" s="14" t="n">
        <v>0</v>
      </c>
      <c r="C296" s="14" t="n">
        <v>12</v>
      </c>
      <c r="D296" s="42" t="n">
        <v>0</v>
      </c>
      <c r="E296" s="41" t="n">
        <v>24</v>
      </c>
      <c r="F296" s="5" t="str">
        <f aca="false">IF(AND(E296&gt;=5,E296&lt;=20,C296&gt;=80,B296&lt;=1),"Opportunity (pos 5-20, 80+ impr, 0-1 click)","")</f>
        <v/>
      </c>
    </row>
    <row r="297" customFormat="false" ht="15" hidden="false" customHeight="false" outlineLevel="0" collapsed="false">
      <c r="A297" s="14" t="s">
        <v>1176</v>
      </c>
      <c r="B297" s="14" t="n">
        <v>0</v>
      </c>
      <c r="C297" s="14" t="n">
        <v>12</v>
      </c>
      <c r="D297" s="42" t="n">
        <v>0</v>
      </c>
      <c r="E297" s="41" t="n">
        <v>25.83</v>
      </c>
      <c r="F297" s="5" t="str">
        <f aca="false">IF(AND(E297&gt;=5,E297&lt;=20,C297&gt;=80,B297&lt;=1),"Opportunity (pos 5-20, 80+ impr, 0-1 click)","")</f>
        <v/>
      </c>
    </row>
    <row r="298" customFormat="false" ht="15" hidden="false" customHeight="false" outlineLevel="0" collapsed="false">
      <c r="A298" s="14" t="s">
        <v>1177</v>
      </c>
      <c r="B298" s="14" t="n">
        <v>0</v>
      </c>
      <c r="C298" s="14" t="n">
        <v>12</v>
      </c>
      <c r="D298" s="42" t="n">
        <v>0</v>
      </c>
      <c r="E298" s="41" t="n">
        <v>26.58</v>
      </c>
      <c r="F298" s="5" t="str">
        <f aca="false">IF(AND(E298&gt;=5,E298&lt;=20,C298&gt;=80,B298&lt;=1),"Opportunity (pos 5-20, 80+ impr, 0-1 click)","")</f>
        <v/>
      </c>
    </row>
    <row r="299" customFormat="false" ht="15" hidden="false" customHeight="false" outlineLevel="0" collapsed="false">
      <c r="A299" s="14" t="s">
        <v>1178</v>
      </c>
      <c r="B299" s="14" t="n">
        <v>0</v>
      </c>
      <c r="C299" s="14" t="n">
        <v>12</v>
      </c>
      <c r="D299" s="42" t="n">
        <v>0</v>
      </c>
      <c r="E299" s="41" t="n">
        <v>26.75</v>
      </c>
      <c r="F299" s="5" t="str">
        <f aca="false">IF(AND(E299&gt;=5,E299&lt;=20,C299&gt;=80,B299&lt;=1),"Opportunity (pos 5-20, 80+ impr, 0-1 click)","")</f>
        <v/>
      </c>
    </row>
    <row r="300" customFormat="false" ht="15" hidden="false" customHeight="false" outlineLevel="0" collapsed="false">
      <c r="A300" s="14" t="s">
        <v>1179</v>
      </c>
      <c r="B300" s="14" t="n">
        <v>0</v>
      </c>
      <c r="C300" s="14" t="n">
        <v>12</v>
      </c>
      <c r="D300" s="42" t="n">
        <v>0</v>
      </c>
      <c r="E300" s="41" t="n">
        <v>36.75</v>
      </c>
      <c r="F300" s="5" t="str">
        <f aca="false">IF(AND(E300&gt;=5,E300&lt;=20,C300&gt;=80,B300&lt;=1),"Opportunity (pos 5-20, 80+ impr, 0-1 click)","")</f>
        <v/>
      </c>
    </row>
    <row r="301" customFormat="false" ht="15" hidden="false" customHeight="false" outlineLevel="0" collapsed="false">
      <c r="A301" s="14" t="s">
        <v>1180</v>
      </c>
      <c r="B301" s="14" t="n">
        <v>0</v>
      </c>
      <c r="C301" s="14" t="n">
        <v>12</v>
      </c>
      <c r="D301" s="42" t="n">
        <v>0</v>
      </c>
      <c r="E301" s="41" t="n">
        <v>43.92</v>
      </c>
      <c r="F301" s="5" t="str">
        <f aca="false">IF(AND(E301&gt;=5,E301&lt;=20,C301&gt;=80,B301&lt;=1),"Opportunity (pos 5-20, 80+ impr, 0-1 click)","")</f>
        <v/>
      </c>
    </row>
    <row r="302" customFormat="false" ht="15" hidden="false" customHeight="false" outlineLevel="0" collapsed="false">
      <c r="A302" s="14" t="s">
        <v>1181</v>
      </c>
      <c r="B302" s="14" t="n">
        <v>0</v>
      </c>
      <c r="C302" s="14" t="n">
        <v>12</v>
      </c>
      <c r="D302" s="42" t="n">
        <v>0</v>
      </c>
      <c r="E302" s="41" t="n">
        <v>61.67</v>
      </c>
      <c r="F302" s="5" t="str">
        <f aca="false">IF(AND(E302&gt;=5,E302&lt;=20,C302&gt;=80,B302&lt;=1),"Opportunity (pos 5-20, 80+ impr, 0-1 click)","")</f>
        <v/>
      </c>
    </row>
    <row r="303" customFormat="false" ht="15" hidden="false" customHeight="false" outlineLevel="0" collapsed="false">
      <c r="A303" s="14" t="s">
        <v>1182</v>
      </c>
      <c r="B303" s="14" t="n">
        <v>0</v>
      </c>
      <c r="C303" s="14" t="n">
        <v>11</v>
      </c>
      <c r="D303" s="42" t="n">
        <v>0</v>
      </c>
      <c r="E303" s="41" t="n">
        <v>7.91</v>
      </c>
      <c r="F303" s="5" t="str">
        <f aca="false">IF(AND(E303&gt;=5,E303&lt;=20,C303&gt;=80,B303&lt;=1),"Opportunity (pos 5-20, 80+ impr, 0-1 click)","")</f>
        <v/>
      </c>
    </row>
    <row r="304" customFormat="false" ht="15" hidden="false" customHeight="false" outlineLevel="0" collapsed="false">
      <c r="A304" s="14" t="s">
        <v>1183</v>
      </c>
      <c r="B304" s="14" t="n">
        <v>0</v>
      </c>
      <c r="C304" s="14" t="n">
        <v>11</v>
      </c>
      <c r="D304" s="42" t="n">
        <v>0</v>
      </c>
      <c r="E304" s="41" t="n">
        <v>11.09</v>
      </c>
      <c r="F304" s="5" t="str">
        <f aca="false">IF(AND(E304&gt;=5,E304&lt;=20,C304&gt;=80,B304&lt;=1),"Opportunity (pos 5-20, 80+ impr, 0-1 click)","")</f>
        <v/>
      </c>
    </row>
    <row r="305" customFormat="false" ht="15" hidden="false" customHeight="false" outlineLevel="0" collapsed="false">
      <c r="A305" s="14" t="s">
        <v>1184</v>
      </c>
      <c r="B305" s="14" t="n">
        <v>0</v>
      </c>
      <c r="C305" s="14" t="n">
        <v>11</v>
      </c>
      <c r="D305" s="42" t="n">
        <v>0</v>
      </c>
      <c r="E305" s="41" t="n">
        <v>13.36</v>
      </c>
      <c r="F305" s="5" t="str">
        <f aca="false">IF(AND(E305&gt;=5,E305&lt;=20,C305&gt;=80,B305&lt;=1),"Opportunity (pos 5-20, 80+ impr, 0-1 click)","")</f>
        <v/>
      </c>
    </row>
    <row r="306" customFormat="false" ht="15" hidden="false" customHeight="false" outlineLevel="0" collapsed="false">
      <c r="A306" s="14" t="s">
        <v>1185</v>
      </c>
      <c r="B306" s="14" t="n">
        <v>0</v>
      </c>
      <c r="C306" s="14" t="n">
        <v>11</v>
      </c>
      <c r="D306" s="42" t="n">
        <v>0</v>
      </c>
      <c r="E306" s="41" t="n">
        <v>13.82</v>
      </c>
      <c r="F306" s="5" t="str">
        <f aca="false">IF(AND(E306&gt;=5,E306&lt;=20,C306&gt;=80,B306&lt;=1),"Opportunity (pos 5-20, 80+ impr, 0-1 click)","")</f>
        <v/>
      </c>
    </row>
    <row r="307" customFormat="false" ht="15" hidden="false" customHeight="false" outlineLevel="0" collapsed="false">
      <c r="A307" s="14" t="s">
        <v>1186</v>
      </c>
      <c r="B307" s="14" t="n">
        <v>0</v>
      </c>
      <c r="C307" s="14" t="n">
        <v>11</v>
      </c>
      <c r="D307" s="42" t="n">
        <v>0</v>
      </c>
      <c r="E307" s="41" t="n">
        <v>14.73</v>
      </c>
      <c r="F307" s="5" t="str">
        <f aca="false">IF(AND(E307&gt;=5,E307&lt;=20,C307&gt;=80,B307&lt;=1),"Opportunity (pos 5-20, 80+ impr, 0-1 click)","")</f>
        <v/>
      </c>
    </row>
    <row r="308" customFormat="false" ht="15" hidden="false" customHeight="false" outlineLevel="0" collapsed="false">
      <c r="A308" s="14" t="s">
        <v>1187</v>
      </c>
      <c r="B308" s="14" t="n">
        <v>0</v>
      </c>
      <c r="C308" s="14" t="n">
        <v>11</v>
      </c>
      <c r="D308" s="42" t="n">
        <v>0</v>
      </c>
      <c r="E308" s="41" t="n">
        <v>15.09</v>
      </c>
      <c r="F308" s="5" t="str">
        <f aca="false">IF(AND(E308&gt;=5,E308&lt;=20,C308&gt;=80,B308&lt;=1),"Opportunity (pos 5-20, 80+ impr, 0-1 click)","")</f>
        <v/>
      </c>
    </row>
    <row r="309" customFormat="false" ht="15" hidden="false" customHeight="false" outlineLevel="0" collapsed="false">
      <c r="A309" s="14" t="s">
        <v>1188</v>
      </c>
      <c r="B309" s="14" t="n">
        <v>0</v>
      </c>
      <c r="C309" s="14" t="n">
        <v>11</v>
      </c>
      <c r="D309" s="42" t="n">
        <v>0</v>
      </c>
      <c r="E309" s="41" t="n">
        <v>16</v>
      </c>
      <c r="F309" s="5" t="str">
        <f aca="false">IF(AND(E309&gt;=5,E309&lt;=20,C309&gt;=80,B309&lt;=1),"Opportunity (pos 5-20, 80+ impr, 0-1 click)","")</f>
        <v/>
      </c>
    </row>
    <row r="310" customFormat="false" ht="15" hidden="false" customHeight="false" outlineLevel="0" collapsed="false">
      <c r="A310" s="14" t="s">
        <v>1189</v>
      </c>
      <c r="B310" s="14" t="n">
        <v>0</v>
      </c>
      <c r="C310" s="14" t="n">
        <v>11</v>
      </c>
      <c r="D310" s="42" t="n">
        <v>0</v>
      </c>
      <c r="E310" s="41" t="n">
        <v>19.55</v>
      </c>
      <c r="F310" s="5" t="str">
        <f aca="false">IF(AND(E310&gt;=5,E310&lt;=20,C310&gt;=80,B310&lt;=1),"Opportunity (pos 5-20, 80+ impr, 0-1 click)","")</f>
        <v/>
      </c>
    </row>
    <row r="311" customFormat="false" ht="15" hidden="false" customHeight="false" outlineLevel="0" collapsed="false">
      <c r="A311" s="14" t="s">
        <v>1190</v>
      </c>
      <c r="B311" s="14" t="n">
        <v>0</v>
      </c>
      <c r="C311" s="14" t="n">
        <v>11</v>
      </c>
      <c r="D311" s="42" t="n">
        <v>0</v>
      </c>
      <c r="E311" s="41" t="n">
        <v>21</v>
      </c>
      <c r="F311" s="5" t="str">
        <f aca="false">IF(AND(E311&gt;=5,E311&lt;=20,C311&gt;=80,B311&lt;=1),"Opportunity (pos 5-20, 80+ impr, 0-1 click)","")</f>
        <v/>
      </c>
    </row>
    <row r="312" customFormat="false" ht="15" hidden="false" customHeight="false" outlineLevel="0" collapsed="false">
      <c r="A312" s="14" t="s">
        <v>1191</v>
      </c>
      <c r="B312" s="14" t="n">
        <v>0</v>
      </c>
      <c r="C312" s="14" t="n">
        <v>11</v>
      </c>
      <c r="D312" s="42" t="n">
        <v>0</v>
      </c>
      <c r="E312" s="41" t="n">
        <v>21.18</v>
      </c>
      <c r="F312" s="5" t="str">
        <f aca="false">IF(AND(E312&gt;=5,E312&lt;=20,C312&gt;=80,B312&lt;=1),"Opportunity (pos 5-20, 80+ impr, 0-1 click)","")</f>
        <v/>
      </c>
    </row>
    <row r="313" customFormat="false" ht="15" hidden="false" customHeight="false" outlineLevel="0" collapsed="false">
      <c r="A313" s="14" t="s">
        <v>1192</v>
      </c>
      <c r="B313" s="14" t="n">
        <v>0</v>
      </c>
      <c r="C313" s="14" t="n">
        <v>11</v>
      </c>
      <c r="D313" s="42" t="n">
        <v>0</v>
      </c>
      <c r="E313" s="41" t="n">
        <v>22.82</v>
      </c>
      <c r="F313" s="5" t="str">
        <f aca="false">IF(AND(E313&gt;=5,E313&lt;=20,C313&gt;=80,B313&lt;=1),"Opportunity (pos 5-20, 80+ impr, 0-1 click)","")</f>
        <v/>
      </c>
    </row>
    <row r="314" customFormat="false" ht="15" hidden="false" customHeight="false" outlineLevel="0" collapsed="false">
      <c r="A314" s="14" t="s">
        <v>1193</v>
      </c>
      <c r="B314" s="14" t="n">
        <v>0</v>
      </c>
      <c r="C314" s="14" t="n">
        <v>11</v>
      </c>
      <c r="D314" s="42" t="n">
        <v>0</v>
      </c>
      <c r="E314" s="41" t="n">
        <v>23.36</v>
      </c>
      <c r="F314" s="5" t="str">
        <f aca="false">IF(AND(E314&gt;=5,E314&lt;=20,C314&gt;=80,B314&lt;=1),"Opportunity (pos 5-20, 80+ impr, 0-1 click)","")</f>
        <v/>
      </c>
    </row>
    <row r="315" customFormat="false" ht="15" hidden="false" customHeight="false" outlineLevel="0" collapsed="false">
      <c r="A315" s="14" t="s">
        <v>1194</v>
      </c>
      <c r="B315" s="14" t="n">
        <v>0</v>
      </c>
      <c r="C315" s="14" t="n">
        <v>11</v>
      </c>
      <c r="D315" s="42" t="n">
        <v>0</v>
      </c>
      <c r="E315" s="41" t="n">
        <v>25.82</v>
      </c>
      <c r="F315" s="5" t="str">
        <f aca="false">IF(AND(E315&gt;=5,E315&lt;=20,C315&gt;=80,B315&lt;=1),"Opportunity (pos 5-20, 80+ impr, 0-1 click)","")</f>
        <v/>
      </c>
    </row>
    <row r="316" customFormat="false" ht="15" hidden="false" customHeight="false" outlineLevel="0" collapsed="false">
      <c r="A316" s="14" t="s">
        <v>1195</v>
      </c>
      <c r="B316" s="14" t="n">
        <v>0</v>
      </c>
      <c r="C316" s="14" t="n">
        <v>11</v>
      </c>
      <c r="D316" s="42" t="n">
        <v>0</v>
      </c>
      <c r="E316" s="41" t="n">
        <v>26.27</v>
      </c>
      <c r="F316" s="5" t="str">
        <f aca="false">IF(AND(E316&gt;=5,E316&lt;=20,C316&gt;=80,B316&lt;=1),"Opportunity (pos 5-20, 80+ impr, 0-1 click)","")</f>
        <v/>
      </c>
    </row>
    <row r="317" customFormat="false" ht="15" hidden="false" customHeight="false" outlineLevel="0" collapsed="false">
      <c r="A317" s="14" t="s">
        <v>1196</v>
      </c>
      <c r="B317" s="14" t="n">
        <v>0</v>
      </c>
      <c r="C317" s="14" t="n">
        <v>11</v>
      </c>
      <c r="D317" s="42" t="n">
        <v>0</v>
      </c>
      <c r="E317" s="41" t="n">
        <v>26.73</v>
      </c>
      <c r="F317" s="5" t="str">
        <f aca="false">IF(AND(E317&gt;=5,E317&lt;=20,C317&gt;=80,B317&lt;=1),"Opportunity (pos 5-20, 80+ impr, 0-1 click)","")</f>
        <v/>
      </c>
    </row>
    <row r="318" customFormat="false" ht="15" hidden="false" customHeight="false" outlineLevel="0" collapsed="false">
      <c r="A318" s="14" t="s">
        <v>1197</v>
      </c>
      <c r="B318" s="14" t="n">
        <v>0</v>
      </c>
      <c r="C318" s="14" t="n">
        <v>11</v>
      </c>
      <c r="D318" s="42" t="n">
        <v>0</v>
      </c>
      <c r="E318" s="41" t="n">
        <v>29.18</v>
      </c>
      <c r="F318" s="5" t="str">
        <f aca="false">IF(AND(E318&gt;=5,E318&lt;=20,C318&gt;=80,B318&lt;=1),"Opportunity (pos 5-20, 80+ impr, 0-1 click)","")</f>
        <v/>
      </c>
    </row>
    <row r="319" customFormat="false" ht="15" hidden="false" customHeight="false" outlineLevel="0" collapsed="false">
      <c r="A319" s="14" t="s">
        <v>1198</v>
      </c>
      <c r="B319" s="14" t="n">
        <v>0</v>
      </c>
      <c r="C319" s="14" t="n">
        <v>11</v>
      </c>
      <c r="D319" s="42" t="n">
        <v>0</v>
      </c>
      <c r="E319" s="41" t="n">
        <v>32.45</v>
      </c>
      <c r="F319" s="5" t="str">
        <f aca="false">IF(AND(E319&gt;=5,E319&lt;=20,C319&gt;=80,B319&lt;=1),"Opportunity (pos 5-20, 80+ impr, 0-1 click)","")</f>
        <v/>
      </c>
    </row>
    <row r="320" customFormat="false" ht="15" hidden="false" customHeight="false" outlineLevel="0" collapsed="false">
      <c r="A320" s="14" t="s">
        <v>1199</v>
      </c>
      <c r="B320" s="14" t="n">
        <v>0</v>
      </c>
      <c r="C320" s="14" t="n">
        <v>11</v>
      </c>
      <c r="D320" s="42" t="n">
        <v>0</v>
      </c>
      <c r="E320" s="41" t="n">
        <v>36.91</v>
      </c>
      <c r="F320" s="5" t="str">
        <f aca="false">IF(AND(E320&gt;=5,E320&lt;=20,C320&gt;=80,B320&lt;=1),"Opportunity (pos 5-20, 80+ impr, 0-1 click)","")</f>
        <v/>
      </c>
    </row>
    <row r="321" customFormat="false" ht="15" hidden="false" customHeight="false" outlineLevel="0" collapsed="false">
      <c r="A321" s="14" t="s">
        <v>1200</v>
      </c>
      <c r="B321" s="14" t="n">
        <v>0</v>
      </c>
      <c r="C321" s="14" t="n">
        <v>11</v>
      </c>
      <c r="D321" s="42" t="n">
        <v>0</v>
      </c>
      <c r="E321" s="41" t="n">
        <v>37.91</v>
      </c>
      <c r="F321" s="5" t="str">
        <f aca="false">IF(AND(E321&gt;=5,E321&lt;=20,C321&gt;=80,B321&lt;=1),"Opportunity (pos 5-20, 80+ impr, 0-1 click)","")</f>
        <v/>
      </c>
    </row>
    <row r="322" customFormat="false" ht="15" hidden="false" customHeight="false" outlineLevel="0" collapsed="false">
      <c r="A322" s="14" t="s">
        <v>1201</v>
      </c>
      <c r="B322" s="14" t="n">
        <v>0</v>
      </c>
      <c r="C322" s="14" t="n">
        <v>11</v>
      </c>
      <c r="D322" s="42" t="n">
        <v>0</v>
      </c>
      <c r="E322" s="41" t="n">
        <v>38.82</v>
      </c>
      <c r="F322" s="5" t="str">
        <f aca="false">IF(AND(E322&gt;=5,E322&lt;=20,C322&gt;=80,B322&lt;=1),"Opportunity (pos 5-20, 80+ impr, 0-1 click)","")</f>
        <v/>
      </c>
    </row>
    <row r="323" customFormat="false" ht="15" hidden="false" customHeight="false" outlineLevel="0" collapsed="false">
      <c r="A323" s="14" t="s">
        <v>1202</v>
      </c>
      <c r="B323" s="14" t="n">
        <v>0</v>
      </c>
      <c r="C323" s="14" t="n">
        <v>11</v>
      </c>
      <c r="D323" s="42" t="n">
        <v>0</v>
      </c>
      <c r="E323" s="41" t="n">
        <v>39.82</v>
      </c>
      <c r="F323" s="5" t="str">
        <f aca="false">IF(AND(E323&gt;=5,E323&lt;=20,C323&gt;=80,B323&lt;=1),"Opportunity (pos 5-20, 80+ impr, 0-1 click)","")</f>
        <v/>
      </c>
    </row>
    <row r="324" customFormat="false" ht="15" hidden="false" customHeight="false" outlineLevel="0" collapsed="false">
      <c r="A324" s="14" t="s">
        <v>1203</v>
      </c>
      <c r="B324" s="14" t="n">
        <v>0</v>
      </c>
      <c r="C324" s="14" t="n">
        <v>11</v>
      </c>
      <c r="D324" s="42" t="n">
        <v>0</v>
      </c>
      <c r="E324" s="41" t="n">
        <v>42.55</v>
      </c>
      <c r="F324" s="5" t="str">
        <f aca="false">IF(AND(E324&gt;=5,E324&lt;=20,C324&gt;=80,B324&lt;=1),"Opportunity (pos 5-20, 80+ impr, 0-1 click)","")</f>
        <v/>
      </c>
    </row>
    <row r="325" customFormat="false" ht="15" hidden="false" customHeight="false" outlineLevel="0" collapsed="false">
      <c r="A325" s="14" t="s">
        <v>1204</v>
      </c>
      <c r="B325" s="14" t="n">
        <v>0</v>
      </c>
      <c r="C325" s="14" t="n">
        <v>11</v>
      </c>
      <c r="D325" s="42" t="n">
        <v>0</v>
      </c>
      <c r="E325" s="41" t="n">
        <v>60.82</v>
      </c>
      <c r="F325" s="5" t="str">
        <f aca="false">IF(AND(E325&gt;=5,E325&lt;=20,C325&gt;=80,B325&lt;=1),"Opportunity (pos 5-20, 80+ impr, 0-1 click)","")</f>
        <v/>
      </c>
    </row>
    <row r="326" customFormat="false" ht="15" hidden="false" customHeight="false" outlineLevel="0" collapsed="false">
      <c r="A326" s="14" t="s">
        <v>1205</v>
      </c>
      <c r="B326" s="14" t="n">
        <v>0</v>
      </c>
      <c r="C326" s="14" t="n">
        <v>11</v>
      </c>
      <c r="D326" s="42" t="n">
        <v>0</v>
      </c>
      <c r="E326" s="41" t="n">
        <v>63.82</v>
      </c>
      <c r="F326" s="5" t="str">
        <f aca="false">IF(AND(E326&gt;=5,E326&lt;=20,C326&gt;=80,B326&lt;=1),"Opportunity (pos 5-20, 80+ impr, 0-1 click)","")</f>
        <v/>
      </c>
    </row>
    <row r="327" customFormat="false" ht="15" hidden="false" customHeight="false" outlineLevel="0" collapsed="false">
      <c r="A327" s="14" t="s">
        <v>1206</v>
      </c>
      <c r="B327" s="14" t="n">
        <v>0</v>
      </c>
      <c r="C327" s="14" t="n">
        <v>11</v>
      </c>
      <c r="D327" s="42" t="n">
        <v>0</v>
      </c>
      <c r="E327" s="41" t="n">
        <v>63.91</v>
      </c>
      <c r="F327" s="5" t="str">
        <f aca="false">IF(AND(E327&gt;=5,E327&lt;=20,C327&gt;=80,B327&lt;=1),"Opportunity (pos 5-20, 80+ impr, 0-1 click)","")</f>
        <v/>
      </c>
    </row>
    <row r="328" customFormat="false" ht="15" hidden="false" customHeight="false" outlineLevel="0" collapsed="false">
      <c r="A328" s="14" t="s">
        <v>1207</v>
      </c>
      <c r="B328" s="14" t="n">
        <v>0</v>
      </c>
      <c r="C328" s="14" t="n">
        <v>10</v>
      </c>
      <c r="D328" s="42" t="n">
        <v>0</v>
      </c>
      <c r="E328" s="41" t="n">
        <v>6.1</v>
      </c>
      <c r="F328" s="5" t="str">
        <f aca="false">IF(AND(E328&gt;=5,E328&lt;=20,C328&gt;=80,B328&lt;=1),"Opportunity (pos 5-20, 80+ impr, 0-1 click)","")</f>
        <v/>
      </c>
    </row>
    <row r="329" customFormat="false" ht="15" hidden="false" customHeight="false" outlineLevel="0" collapsed="false">
      <c r="A329" s="14" t="s">
        <v>1208</v>
      </c>
      <c r="B329" s="14" t="n">
        <v>0</v>
      </c>
      <c r="C329" s="14" t="n">
        <v>10</v>
      </c>
      <c r="D329" s="42" t="n">
        <v>0</v>
      </c>
      <c r="E329" s="41" t="n">
        <v>6.7</v>
      </c>
      <c r="F329" s="5" t="str">
        <f aca="false">IF(AND(E329&gt;=5,E329&lt;=20,C329&gt;=80,B329&lt;=1),"Opportunity (pos 5-20, 80+ impr, 0-1 click)","")</f>
        <v/>
      </c>
    </row>
    <row r="330" customFormat="false" ht="15" hidden="false" customHeight="false" outlineLevel="0" collapsed="false">
      <c r="A330" s="14" t="s">
        <v>1209</v>
      </c>
      <c r="B330" s="14" t="n">
        <v>0</v>
      </c>
      <c r="C330" s="14" t="n">
        <v>10</v>
      </c>
      <c r="D330" s="42" t="n">
        <v>0</v>
      </c>
      <c r="E330" s="41" t="n">
        <v>8.2</v>
      </c>
      <c r="F330" s="5" t="str">
        <f aca="false">IF(AND(E330&gt;=5,E330&lt;=20,C330&gt;=80,B330&lt;=1),"Opportunity (pos 5-20, 80+ impr, 0-1 click)","")</f>
        <v/>
      </c>
    </row>
    <row r="331" customFormat="false" ht="15" hidden="false" customHeight="false" outlineLevel="0" collapsed="false">
      <c r="A331" s="14" t="s">
        <v>1210</v>
      </c>
      <c r="B331" s="14" t="n">
        <v>0</v>
      </c>
      <c r="C331" s="14" t="n">
        <v>10</v>
      </c>
      <c r="D331" s="42" t="n">
        <v>0</v>
      </c>
      <c r="E331" s="41" t="n">
        <v>8.4</v>
      </c>
      <c r="F331" s="5" t="str">
        <f aca="false">IF(AND(E331&gt;=5,E331&lt;=20,C331&gt;=80,B331&lt;=1),"Opportunity (pos 5-20, 80+ impr, 0-1 click)","")</f>
        <v/>
      </c>
    </row>
    <row r="332" customFormat="false" ht="15" hidden="false" customHeight="false" outlineLevel="0" collapsed="false">
      <c r="A332" s="14" t="s">
        <v>1211</v>
      </c>
      <c r="B332" s="14" t="n">
        <v>0</v>
      </c>
      <c r="C332" s="14" t="n">
        <v>10</v>
      </c>
      <c r="D332" s="42" t="n">
        <v>0</v>
      </c>
      <c r="E332" s="41" t="n">
        <v>10</v>
      </c>
      <c r="F332" s="5" t="str">
        <f aca="false">IF(AND(E332&gt;=5,E332&lt;=20,C332&gt;=80,B332&lt;=1),"Opportunity (pos 5-20, 80+ impr, 0-1 click)","")</f>
        <v/>
      </c>
    </row>
    <row r="333" customFormat="false" ht="15" hidden="false" customHeight="false" outlineLevel="0" collapsed="false">
      <c r="A333" s="14" t="s">
        <v>1212</v>
      </c>
      <c r="B333" s="14" t="n">
        <v>0</v>
      </c>
      <c r="C333" s="14" t="n">
        <v>10</v>
      </c>
      <c r="D333" s="42" t="n">
        <v>0</v>
      </c>
      <c r="E333" s="41" t="n">
        <v>10.5</v>
      </c>
      <c r="F333" s="5" t="str">
        <f aca="false">IF(AND(E333&gt;=5,E333&lt;=20,C333&gt;=80,B333&lt;=1),"Opportunity (pos 5-20, 80+ impr, 0-1 click)","")</f>
        <v/>
      </c>
    </row>
    <row r="334" customFormat="false" ht="15" hidden="false" customHeight="false" outlineLevel="0" collapsed="false">
      <c r="A334" s="14" t="s">
        <v>1213</v>
      </c>
      <c r="B334" s="14" t="n">
        <v>0</v>
      </c>
      <c r="C334" s="14" t="n">
        <v>10</v>
      </c>
      <c r="D334" s="42" t="n">
        <v>0</v>
      </c>
      <c r="E334" s="41" t="n">
        <v>10.8</v>
      </c>
      <c r="F334" s="5" t="str">
        <f aca="false">IF(AND(E334&gt;=5,E334&lt;=20,C334&gt;=80,B334&lt;=1),"Opportunity (pos 5-20, 80+ impr, 0-1 click)","")</f>
        <v/>
      </c>
    </row>
    <row r="335" customFormat="false" ht="15" hidden="false" customHeight="false" outlineLevel="0" collapsed="false">
      <c r="A335" s="14" t="s">
        <v>1214</v>
      </c>
      <c r="B335" s="14" t="n">
        <v>0</v>
      </c>
      <c r="C335" s="14" t="n">
        <v>10</v>
      </c>
      <c r="D335" s="42" t="n">
        <v>0</v>
      </c>
      <c r="E335" s="41" t="n">
        <v>11</v>
      </c>
      <c r="F335" s="5" t="str">
        <f aca="false">IF(AND(E335&gt;=5,E335&lt;=20,C335&gt;=80,B335&lt;=1),"Opportunity (pos 5-20, 80+ impr, 0-1 click)","")</f>
        <v/>
      </c>
    </row>
    <row r="336" customFormat="false" ht="15" hidden="false" customHeight="false" outlineLevel="0" collapsed="false">
      <c r="A336" s="14" t="s">
        <v>1215</v>
      </c>
      <c r="B336" s="14" t="n">
        <v>0</v>
      </c>
      <c r="C336" s="14" t="n">
        <v>10</v>
      </c>
      <c r="D336" s="42" t="n">
        <v>0</v>
      </c>
      <c r="E336" s="41" t="n">
        <v>11.7</v>
      </c>
      <c r="F336" s="5" t="str">
        <f aca="false">IF(AND(E336&gt;=5,E336&lt;=20,C336&gt;=80,B336&lt;=1),"Opportunity (pos 5-20, 80+ impr, 0-1 click)","")</f>
        <v/>
      </c>
    </row>
    <row r="337" customFormat="false" ht="15" hidden="false" customHeight="false" outlineLevel="0" collapsed="false">
      <c r="A337" s="14" t="s">
        <v>1216</v>
      </c>
      <c r="B337" s="14" t="n">
        <v>0</v>
      </c>
      <c r="C337" s="14" t="n">
        <v>10</v>
      </c>
      <c r="D337" s="42" t="n">
        <v>0</v>
      </c>
      <c r="E337" s="41" t="n">
        <v>12.6</v>
      </c>
      <c r="F337" s="5" t="str">
        <f aca="false">IF(AND(E337&gt;=5,E337&lt;=20,C337&gt;=80,B337&lt;=1),"Opportunity (pos 5-20, 80+ impr, 0-1 click)","")</f>
        <v/>
      </c>
    </row>
    <row r="338" customFormat="false" ht="15" hidden="false" customHeight="false" outlineLevel="0" collapsed="false">
      <c r="A338" s="14" t="s">
        <v>1217</v>
      </c>
      <c r="B338" s="14" t="n">
        <v>0</v>
      </c>
      <c r="C338" s="14" t="n">
        <v>10</v>
      </c>
      <c r="D338" s="42" t="n">
        <v>0</v>
      </c>
      <c r="E338" s="41" t="n">
        <v>13.5</v>
      </c>
      <c r="F338" s="5" t="str">
        <f aca="false">IF(AND(E338&gt;=5,E338&lt;=20,C338&gt;=80,B338&lt;=1),"Opportunity (pos 5-20, 80+ impr, 0-1 click)","")</f>
        <v/>
      </c>
    </row>
    <row r="339" customFormat="false" ht="15" hidden="false" customHeight="false" outlineLevel="0" collapsed="false">
      <c r="A339" s="14" t="s">
        <v>1218</v>
      </c>
      <c r="B339" s="14" t="n">
        <v>0</v>
      </c>
      <c r="C339" s="14" t="n">
        <v>10</v>
      </c>
      <c r="D339" s="42" t="n">
        <v>0</v>
      </c>
      <c r="E339" s="41" t="n">
        <v>13.6</v>
      </c>
      <c r="F339" s="5" t="str">
        <f aca="false">IF(AND(E339&gt;=5,E339&lt;=20,C339&gt;=80,B339&lt;=1),"Opportunity (pos 5-20, 80+ impr, 0-1 click)","")</f>
        <v/>
      </c>
    </row>
    <row r="340" customFormat="false" ht="15" hidden="false" customHeight="false" outlineLevel="0" collapsed="false">
      <c r="A340" s="14" t="s">
        <v>1219</v>
      </c>
      <c r="B340" s="14" t="n">
        <v>0</v>
      </c>
      <c r="C340" s="14" t="n">
        <v>10</v>
      </c>
      <c r="D340" s="42" t="n">
        <v>0</v>
      </c>
      <c r="E340" s="41" t="n">
        <v>14.3</v>
      </c>
      <c r="F340" s="5" t="str">
        <f aca="false">IF(AND(E340&gt;=5,E340&lt;=20,C340&gt;=80,B340&lt;=1),"Opportunity (pos 5-20, 80+ impr, 0-1 click)","")</f>
        <v/>
      </c>
    </row>
    <row r="341" customFormat="false" ht="15" hidden="false" customHeight="false" outlineLevel="0" collapsed="false">
      <c r="A341" s="14" t="s">
        <v>1220</v>
      </c>
      <c r="B341" s="14" t="n">
        <v>0</v>
      </c>
      <c r="C341" s="14" t="n">
        <v>10</v>
      </c>
      <c r="D341" s="42" t="n">
        <v>0</v>
      </c>
      <c r="E341" s="41" t="n">
        <v>15.6</v>
      </c>
      <c r="F341" s="5" t="str">
        <f aca="false">IF(AND(E341&gt;=5,E341&lt;=20,C341&gt;=80,B341&lt;=1),"Opportunity (pos 5-20, 80+ impr, 0-1 click)","")</f>
        <v/>
      </c>
    </row>
    <row r="342" customFormat="false" ht="15" hidden="false" customHeight="false" outlineLevel="0" collapsed="false">
      <c r="A342" s="14" t="s">
        <v>1221</v>
      </c>
      <c r="B342" s="14" t="n">
        <v>0</v>
      </c>
      <c r="C342" s="14" t="n">
        <v>10</v>
      </c>
      <c r="D342" s="42" t="n">
        <v>0</v>
      </c>
      <c r="E342" s="41" t="n">
        <v>16.3</v>
      </c>
      <c r="F342" s="5" t="str">
        <f aca="false">IF(AND(E342&gt;=5,E342&lt;=20,C342&gt;=80,B342&lt;=1),"Opportunity (pos 5-20, 80+ impr, 0-1 click)","")</f>
        <v/>
      </c>
    </row>
    <row r="343" customFormat="false" ht="15" hidden="false" customHeight="false" outlineLevel="0" collapsed="false">
      <c r="A343" s="14" t="s">
        <v>1222</v>
      </c>
      <c r="B343" s="14" t="n">
        <v>0</v>
      </c>
      <c r="C343" s="14" t="n">
        <v>10</v>
      </c>
      <c r="D343" s="42" t="n">
        <v>0</v>
      </c>
      <c r="E343" s="41" t="n">
        <v>17.5</v>
      </c>
      <c r="F343" s="5" t="str">
        <f aca="false">IF(AND(E343&gt;=5,E343&lt;=20,C343&gt;=80,B343&lt;=1),"Opportunity (pos 5-20, 80+ impr, 0-1 click)","")</f>
        <v/>
      </c>
    </row>
    <row r="344" customFormat="false" ht="15" hidden="false" customHeight="false" outlineLevel="0" collapsed="false">
      <c r="A344" s="14" t="s">
        <v>1223</v>
      </c>
      <c r="B344" s="14" t="n">
        <v>0</v>
      </c>
      <c r="C344" s="14" t="n">
        <v>10</v>
      </c>
      <c r="D344" s="42" t="n">
        <v>0</v>
      </c>
      <c r="E344" s="41" t="n">
        <v>17.5</v>
      </c>
      <c r="F344" s="5" t="str">
        <f aca="false">IF(AND(E344&gt;=5,E344&lt;=20,C344&gt;=80,B344&lt;=1),"Opportunity (pos 5-20, 80+ impr, 0-1 click)","")</f>
        <v/>
      </c>
    </row>
    <row r="345" customFormat="false" ht="15" hidden="false" customHeight="false" outlineLevel="0" collapsed="false">
      <c r="A345" s="14" t="s">
        <v>1224</v>
      </c>
      <c r="B345" s="14" t="n">
        <v>0</v>
      </c>
      <c r="C345" s="14" t="n">
        <v>10</v>
      </c>
      <c r="D345" s="42" t="n">
        <v>0</v>
      </c>
      <c r="E345" s="41" t="n">
        <v>18.7</v>
      </c>
      <c r="F345" s="5" t="str">
        <f aca="false">IF(AND(E345&gt;=5,E345&lt;=20,C345&gt;=80,B345&lt;=1),"Opportunity (pos 5-20, 80+ impr, 0-1 click)","")</f>
        <v/>
      </c>
    </row>
    <row r="346" customFormat="false" ht="15" hidden="false" customHeight="false" outlineLevel="0" collapsed="false">
      <c r="A346" s="14" t="s">
        <v>1225</v>
      </c>
      <c r="B346" s="14" t="n">
        <v>0</v>
      </c>
      <c r="C346" s="14" t="n">
        <v>10</v>
      </c>
      <c r="D346" s="42" t="n">
        <v>0</v>
      </c>
      <c r="E346" s="41" t="n">
        <v>18.9</v>
      </c>
      <c r="F346" s="5" t="str">
        <f aca="false">IF(AND(E346&gt;=5,E346&lt;=20,C346&gt;=80,B346&lt;=1),"Opportunity (pos 5-20, 80+ impr, 0-1 click)","")</f>
        <v/>
      </c>
    </row>
    <row r="347" customFormat="false" ht="15" hidden="false" customHeight="false" outlineLevel="0" collapsed="false">
      <c r="A347" s="14" t="s">
        <v>1226</v>
      </c>
      <c r="B347" s="14" t="n">
        <v>0</v>
      </c>
      <c r="C347" s="14" t="n">
        <v>10</v>
      </c>
      <c r="D347" s="42" t="n">
        <v>0</v>
      </c>
      <c r="E347" s="41" t="n">
        <v>20.6</v>
      </c>
      <c r="F347" s="5" t="str">
        <f aca="false">IF(AND(E347&gt;=5,E347&lt;=20,C347&gt;=80,B347&lt;=1),"Opportunity (pos 5-20, 80+ impr, 0-1 click)","")</f>
        <v/>
      </c>
    </row>
    <row r="348" customFormat="false" ht="15" hidden="false" customHeight="false" outlineLevel="0" collapsed="false">
      <c r="A348" s="14" t="s">
        <v>1227</v>
      </c>
      <c r="B348" s="14" t="n">
        <v>0</v>
      </c>
      <c r="C348" s="14" t="n">
        <v>10</v>
      </c>
      <c r="D348" s="42" t="n">
        <v>0</v>
      </c>
      <c r="E348" s="41" t="n">
        <v>23.8</v>
      </c>
      <c r="F348" s="5" t="str">
        <f aca="false">IF(AND(E348&gt;=5,E348&lt;=20,C348&gt;=80,B348&lt;=1),"Opportunity (pos 5-20, 80+ impr, 0-1 click)","")</f>
        <v/>
      </c>
    </row>
    <row r="349" customFormat="false" ht="15" hidden="false" customHeight="false" outlineLevel="0" collapsed="false">
      <c r="A349" s="14" t="s">
        <v>1228</v>
      </c>
      <c r="B349" s="14" t="n">
        <v>0</v>
      </c>
      <c r="C349" s="14" t="n">
        <v>10</v>
      </c>
      <c r="D349" s="42" t="n">
        <v>0</v>
      </c>
      <c r="E349" s="41" t="n">
        <v>24.8</v>
      </c>
      <c r="F349" s="5" t="str">
        <f aca="false">IF(AND(E349&gt;=5,E349&lt;=20,C349&gt;=80,B349&lt;=1),"Opportunity (pos 5-20, 80+ impr, 0-1 click)","")</f>
        <v/>
      </c>
    </row>
    <row r="350" customFormat="false" ht="15" hidden="false" customHeight="false" outlineLevel="0" collapsed="false">
      <c r="A350" s="14" t="s">
        <v>1229</v>
      </c>
      <c r="B350" s="14" t="n">
        <v>0</v>
      </c>
      <c r="C350" s="14" t="n">
        <v>10</v>
      </c>
      <c r="D350" s="42" t="n">
        <v>0</v>
      </c>
      <c r="E350" s="41" t="n">
        <v>25.8</v>
      </c>
      <c r="F350" s="5" t="str">
        <f aca="false">IF(AND(E350&gt;=5,E350&lt;=20,C350&gt;=80,B350&lt;=1),"Opportunity (pos 5-20, 80+ impr, 0-1 click)","")</f>
        <v/>
      </c>
    </row>
    <row r="351" customFormat="false" ht="15" hidden="false" customHeight="false" outlineLevel="0" collapsed="false">
      <c r="A351" s="14" t="s">
        <v>1230</v>
      </c>
      <c r="B351" s="14" t="n">
        <v>0</v>
      </c>
      <c r="C351" s="14" t="n">
        <v>10</v>
      </c>
      <c r="D351" s="42" t="n">
        <v>0</v>
      </c>
      <c r="E351" s="41" t="n">
        <v>26</v>
      </c>
      <c r="F351" s="5" t="str">
        <f aca="false">IF(AND(E351&gt;=5,E351&lt;=20,C351&gt;=80,B351&lt;=1),"Opportunity (pos 5-20, 80+ impr, 0-1 click)","")</f>
        <v/>
      </c>
    </row>
    <row r="352" customFormat="false" ht="15" hidden="false" customHeight="false" outlineLevel="0" collapsed="false">
      <c r="A352" s="14" t="s">
        <v>1231</v>
      </c>
      <c r="B352" s="14" t="n">
        <v>0</v>
      </c>
      <c r="C352" s="14" t="n">
        <v>10</v>
      </c>
      <c r="D352" s="42" t="n">
        <v>0</v>
      </c>
      <c r="E352" s="41" t="n">
        <v>26.4</v>
      </c>
      <c r="F352" s="5" t="str">
        <f aca="false">IF(AND(E352&gt;=5,E352&lt;=20,C352&gt;=80,B352&lt;=1),"Opportunity (pos 5-20, 80+ impr, 0-1 click)","")</f>
        <v/>
      </c>
    </row>
    <row r="353" customFormat="false" ht="15" hidden="false" customHeight="false" outlineLevel="0" collapsed="false">
      <c r="A353" s="14" t="s">
        <v>1232</v>
      </c>
      <c r="B353" s="14" t="n">
        <v>0</v>
      </c>
      <c r="C353" s="14" t="n">
        <v>10</v>
      </c>
      <c r="D353" s="42" t="n">
        <v>0</v>
      </c>
      <c r="E353" s="41" t="n">
        <v>26.4</v>
      </c>
      <c r="F353" s="5" t="str">
        <f aca="false">IF(AND(E353&gt;=5,E353&lt;=20,C353&gt;=80,B353&lt;=1),"Opportunity (pos 5-20, 80+ impr, 0-1 click)","")</f>
        <v/>
      </c>
    </row>
    <row r="354" customFormat="false" ht="15" hidden="false" customHeight="false" outlineLevel="0" collapsed="false">
      <c r="A354" s="14" t="s">
        <v>1233</v>
      </c>
      <c r="B354" s="14" t="n">
        <v>0</v>
      </c>
      <c r="C354" s="14" t="n">
        <v>10</v>
      </c>
      <c r="D354" s="42" t="n">
        <v>0</v>
      </c>
      <c r="E354" s="41" t="n">
        <v>28.1</v>
      </c>
      <c r="F354" s="5" t="str">
        <f aca="false">IF(AND(E354&gt;=5,E354&lt;=20,C354&gt;=80,B354&lt;=1),"Opportunity (pos 5-20, 80+ impr, 0-1 click)","")</f>
        <v/>
      </c>
    </row>
    <row r="355" customFormat="false" ht="15" hidden="false" customHeight="false" outlineLevel="0" collapsed="false">
      <c r="A355" s="14" t="s">
        <v>1234</v>
      </c>
      <c r="B355" s="14" t="n">
        <v>0</v>
      </c>
      <c r="C355" s="14" t="n">
        <v>10</v>
      </c>
      <c r="D355" s="42" t="n">
        <v>0</v>
      </c>
      <c r="E355" s="41" t="n">
        <v>28.3</v>
      </c>
      <c r="F355" s="5" t="str">
        <f aca="false">IF(AND(E355&gt;=5,E355&lt;=20,C355&gt;=80,B355&lt;=1),"Opportunity (pos 5-20, 80+ impr, 0-1 click)","")</f>
        <v/>
      </c>
    </row>
    <row r="356" customFormat="false" ht="15" hidden="false" customHeight="false" outlineLevel="0" collapsed="false">
      <c r="A356" s="14" t="s">
        <v>1235</v>
      </c>
      <c r="B356" s="14" t="n">
        <v>0</v>
      </c>
      <c r="C356" s="14" t="n">
        <v>10</v>
      </c>
      <c r="D356" s="42" t="n">
        <v>0</v>
      </c>
      <c r="E356" s="41" t="n">
        <v>28.4</v>
      </c>
      <c r="F356" s="5" t="str">
        <f aca="false">IF(AND(E356&gt;=5,E356&lt;=20,C356&gt;=80,B356&lt;=1),"Opportunity (pos 5-20, 80+ impr, 0-1 click)","")</f>
        <v/>
      </c>
    </row>
    <row r="357" customFormat="false" ht="15" hidden="false" customHeight="false" outlineLevel="0" collapsed="false">
      <c r="A357" s="14" t="s">
        <v>1236</v>
      </c>
      <c r="B357" s="14" t="n">
        <v>0</v>
      </c>
      <c r="C357" s="14" t="n">
        <v>10</v>
      </c>
      <c r="D357" s="42" t="n">
        <v>0</v>
      </c>
      <c r="E357" s="41" t="n">
        <v>30.7</v>
      </c>
      <c r="F357" s="5" t="str">
        <f aca="false">IF(AND(E357&gt;=5,E357&lt;=20,C357&gt;=80,B357&lt;=1),"Opportunity (pos 5-20, 80+ impr, 0-1 click)","")</f>
        <v/>
      </c>
    </row>
    <row r="358" customFormat="false" ht="15" hidden="false" customHeight="false" outlineLevel="0" collapsed="false">
      <c r="A358" s="14" t="s">
        <v>1237</v>
      </c>
      <c r="B358" s="14" t="n">
        <v>0</v>
      </c>
      <c r="C358" s="14" t="n">
        <v>10</v>
      </c>
      <c r="D358" s="42" t="n">
        <v>0</v>
      </c>
      <c r="E358" s="41" t="n">
        <v>31.1</v>
      </c>
      <c r="F358" s="5" t="str">
        <f aca="false">IF(AND(E358&gt;=5,E358&lt;=20,C358&gt;=80,B358&lt;=1),"Opportunity (pos 5-20, 80+ impr, 0-1 click)","")</f>
        <v/>
      </c>
    </row>
    <row r="359" customFormat="false" ht="15" hidden="false" customHeight="false" outlineLevel="0" collapsed="false">
      <c r="A359" s="14" t="s">
        <v>1238</v>
      </c>
      <c r="B359" s="14" t="n">
        <v>0</v>
      </c>
      <c r="C359" s="14" t="n">
        <v>10</v>
      </c>
      <c r="D359" s="42" t="n">
        <v>0</v>
      </c>
      <c r="E359" s="41" t="n">
        <v>31.5</v>
      </c>
      <c r="F359" s="5" t="str">
        <f aca="false">IF(AND(E359&gt;=5,E359&lt;=20,C359&gt;=80,B359&lt;=1),"Opportunity (pos 5-20, 80+ impr, 0-1 click)","")</f>
        <v/>
      </c>
    </row>
    <row r="360" customFormat="false" ht="15" hidden="false" customHeight="false" outlineLevel="0" collapsed="false">
      <c r="A360" s="14" t="s">
        <v>1239</v>
      </c>
      <c r="B360" s="14" t="n">
        <v>0</v>
      </c>
      <c r="C360" s="14" t="n">
        <v>10</v>
      </c>
      <c r="D360" s="42" t="n">
        <v>0</v>
      </c>
      <c r="E360" s="41" t="n">
        <v>32.6</v>
      </c>
      <c r="F360" s="5" t="str">
        <f aca="false">IF(AND(E360&gt;=5,E360&lt;=20,C360&gt;=80,B360&lt;=1),"Opportunity (pos 5-20, 80+ impr, 0-1 click)","")</f>
        <v/>
      </c>
    </row>
    <row r="361" customFormat="false" ht="15" hidden="false" customHeight="false" outlineLevel="0" collapsed="false">
      <c r="A361" s="14" t="s">
        <v>1240</v>
      </c>
      <c r="B361" s="14" t="n">
        <v>0</v>
      </c>
      <c r="C361" s="14" t="n">
        <v>10</v>
      </c>
      <c r="D361" s="42" t="n">
        <v>0</v>
      </c>
      <c r="E361" s="41" t="n">
        <v>33</v>
      </c>
      <c r="F361" s="5" t="str">
        <f aca="false">IF(AND(E361&gt;=5,E361&lt;=20,C361&gt;=80,B361&lt;=1),"Opportunity (pos 5-20, 80+ impr, 0-1 click)","")</f>
        <v/>
      </c>
    </row>
    <row r="362" customFormat="false" ht="15" hidden="false" customHeight="false" outlineLevel="0" collapsed="false">
      <c r="A362" s="14" t="s">
        <v>1241</v>
      </c>
      <c r="B362" s="14" t="n">
        <v>0</v>
      </c>
      <c r="C362" s="14" t="n">
        <v>10</v>
      </c>
      <c r="D362" s="42" t="n">
        <v>0</v>
      </c>
      <c r="E362" s="41" t="n">
        <v>34.4</v>
      </c>
      <c r="F362" s="5" t="str">
        <f aca="false">IF(AND(E362&gt;=5,E362&lt;=20,C362&gt;=80,B362&lt;=1),"Opportunity (pos 5-20, 80+ impr, 0-1 click)","")</f>
        <v/>
      </c>
    </row>
    <row r="363" customFormat="false" ht="15" hidden="false" customHeight="false" outlineLevel="0" collapsed="false">
      <c r="A363" s="14" t="s">
        <v>1242</v>
      </c>
      <c r="B363" s="14" t="n">
        <v>0</v>
      </c>
      <c r="C363" s="14" t="n">
        <v>10</v>
      </c>
      <c r="D363" s="42" t="n">
        <v>0</v>
      </c>
      <c r="E363" s="41" t="n">
        <v>34.8</v>
      </c>
      <c r="F363" s="5" t="str">
        <f aca="false">IF(AND(E363&gt;=5,E363&lt;=20,C363&gt;=80,B363&lt;=1),"Opportunity (pos 5-20, 80+ impr, 0-1 click)","")</f>
        <v/>
      </c>
    </row>
    <row r="364" customFormat="false" ht="15" hidden="false" customHeight="false" outlineLevel="0" collapsed="false">
      <c r="A364" s="14" t="s">
        <v>1243</v>
      </c>
      <c r="B364" s="14" t="n">
        <v>0</v>
      </c>
      <c r="C364" s="14" t="n">
        <v>10</v>
      </c>
      <c r="D364" s="42" t="n">
        <v>0</v>
      </c>
      <c r="E364" s="41" t="n">
        <v>35</v>
      </c>
      <c r="F364" s="5" t="str">
        <f aca="false">IF(AND(E364&gt;=5,E364&lt;=20,C364&gt;=80,B364&lt;=1),"Opportunity (pos 5-20, 80+ impr, 0-1 click)","")</f>
        <v/>
      </c>
    </row>
    <row r="365" customFormat="false" ht="15" hidden="false" customHeight="false" outlineLevel="0" collapsed="false">
      <c r="A365" s="14" t="s">
        <v>1244</v>
      </c>
      <c r="B365" s="14" t="n">
        <v>0</v>
      </c>
      <c r="C365" s="14" t="n">
        <v>10</v>
      </c>
      <c r="D365" s="42" t="n">
        <v>0</v>
      </c>
      <c r="E365" s="41" t="n">
        <v>38.1</v>
      </c>
      <c r="F365" s="5" t="str">
        <f aca="false">IF(AND(E365&gt;=5,E365&lt;=20,C365&gt;=80,B365&lt;=1),"Opportunity (pos 5-20, 80+ impr, 0-1 click)","")</f>
        <v/>
      </c>
    </row>
    <row r="366" customFormat="false" ht="15" hidden="false" customHeight="false" outlineLevel="0" collapsed="false">
      <c r="A366" s="14" t="s">
        <v>1245</v>
      </c>
      <c r="B366" s="14" t="n">
        <v>0</v>
      </c>
      <c r="C366" s="14" t="n">
        <v>10</v>
      </c>
      <c r="D366" s="42" t="n">
        <v>0</v>
      </c>
      <c r="E366" s="41" t="n">
        <v>42.1</v>
      </c>
      <c r="F366" s="5" t="str">
        <f aca="false">IF(AND(E366&gt;=5,E366&lt;=20,C366&gt;=80,B366&lt;=1),"Opportunity (pos 5-20, 80+ impr, 0-1 click)","")</f>
        <v/>
      </c>
    </row>
    <row r="367" customFormat="false" ht="15" hidden="false" customHeight="false" outlineLevel="0" collapsed="false">
      <c r="A367" s="14" t="s">
        <v>1246</v>
      </c>
      <c r="B367" s="14" t="n">
        <v>0</v>
      </c>
      <c r="C367" s="14" t="n">
        <v>10</v>
      </c>
      <c r="D367" s="42" t="n">
        <v>0</v>
      </c>
      <c r="E367" s="41" t="n">
        <v>45</v>
      </c>
      <c r="F367" s="5" t="str">
        <f aca="false">IF(AND(E367&gt;=5,E367&lt;=20,C367&gt;=80,B367&lt;=1),"Opportunity (pos 5-20, 80+ impr, 0-1 click)","")</f>
        <v/>
      </c>
    </row>
    <row r="368" customFormat="false" ht="15" hidden="false" customHeight="false" outlineLevel="0" collapsed="false">
      <c r="A368" s="14" t="s">
        <v>1247</v>
      </c>
      <c r="B368" s="14" t="n">
        <v>0</v>
      </c>
      <c r="C368" s="14" t="n">
        <v>10</v>
      </c>
      <c r="D368" s="42" t="n">
        <v>0</v>
      </c>
      <c r="E368" s="41" t="n">
        <v>45.2</v>
      </c>
      <c r="F368" s="5" t="str">
        <f aca="false">IF(AND(E368&gt;=5,E368&lt;=20,C368&gt;=80,B368&lt;=1),"Opportunity (pos 5-20, 80+ impr, 0-1 click)","")</f>
        <v/>
      </c>
    </row>
    <row r="369" customFormat="false" ht="15" hidden="false" customHeight="false" outlineLevel="0" collapsed="false">
      <c r="A369" s="14" t="s">
        <v>1248</v>
      </c>
      <c r="B369" s="14" t="n">
        <v>0</v>
      </c>
      <c r="C369" s="14" t="n">
        <v>10</v>
      </c>
      <c r="D369" s="42" t="n">
        <v>0</v>
      </c>
      <c r="E369" s="41" t="n">
        <v>46.2</v>
      </c>
      <c r="F369" s="5" t="str">
        <f aca="false">IF(AND(E369&gt;=5,E369&lt;=20,C369&gt;=80,B369&lt;=1),"Opportunity (pos 5-20, 80+ impr, 0-1 click)","")</f>
        <v/>
      </c>
    </row>
    <row r="370" customFormat="false" ht="15" hidden="false" customHeight="false" outlineLevel="0" collapsed="false">
      <c r="A370" s="14" t="s">
        <v>1249</v>
      </c>
      <c r="B370" s="14" t="n">
        <v>0</v>
      </c>
      <c r="C370" s="14" t="n">
        <v>10</v>
      </c>
      <c r="D370" s="42" t="n">
        <v>0</v>
      </c>
      <c r="E370" s="41" t="n">
        <v>47.8</v>
      </c>
      <c r="F370" s="5" t="str">
        <f aca="false">IF(AND(E370&gt;=5,E370&lt;=20,C370&gt;=80,B370&lt;=1),"Opportunity (pos 5-20, 80+ impr, 0-1 click)","")</f>
        <v/>
      </c>
    </row>
    <row r="371" customFormat="false" ht="15" hidden="false" customHeight="false" outlineLevel="0" collapsed="false">
      <c r="A371" s="14" t="s">
        <v>1250</v>
      </c>
      <c r="B371" s="14" t="n">
        <v>0</v>
      </c>
      <c r="C371" s="14" t="n">
        <v>10</v>
      </c>
      <c r="D371" s="42" t="n">
        <v>0</v>
      </c>
      <c r="E371" s="41" t="n">
        <v>48.8</v>
      </c>
      <c r="F371" s="5" t="str">
        <f aca="false">IF(AND(E371&gt;=5,E371&lt;=20,C371&gt;=80,B371&lt;=1),"Opportunity (pos 5-20, 80+ impr, 0-1 click)","")</f>
        <v/>
      </c>
    </row>
    <row r="372" customFormat="false" ht="15" hidden="false" customHeight="false" outlineLevel="0" collapsed="false">
      <c r="A372" s="14" t="s">
        <v>1251</v>
      </c>
      <c r="B372" s="14" t="n">
        <v>0</v>
      </c>
      <c r="C372" s="14" t="n">
        <v>10</v>
      </c>
      <c r="D372" s="42" t="n">
        <v>0</v>
      </c>
      <c r="E372" s="41" t="n">
        <v>62.8</v>
      </c>
      <c r="F372" s="5" t="str">
        <f aca="false">IF(AND(E372&gt;=5,E372&lt;=20,C372&gt;=80,B372&lt;=1),"Opportunity (pos 5-20, 80+ impr, 0-1 click)","")</f>
        <v/>
      </c>
    </row>
    <row r="373" customFormat="false" ht="15" hidden="false" customHeight="false" outlineLevel="0" collapsed="false">
      <c r="A373" s="14" t="s">
        <v>1252</v>
      </c>
      <c r="B373" s="14" t="n">
        <v>0</v>
      </c>
      <c r="C373" s="14" t="n">
        <v>10</v>
      </c>
      <c r="D373" s="42" t="n">
        <v>0</v>
      </c>
      <c r="E373" s="41" t="n">
        <v>67.1</v>
      </c>
      <c r="F373" s="5" t="str">
        <f aca="false">IF(AND(E373&gt;=5,E373&lt;=20,C373&gt;=80,B373&lt;=1),"Opportunity (pos 5-20, 80+ impr, 0-1 click)","")</f>
        <v/>
      </c>
    </row>
    <row r="374" customFormat="false" ht="15" hidden="false" customHeight="false" outlineLevel="0" collapsed="false">
      <c r="A374" s="14" t="s">
        <v>1253</v>
      </c>
      <c r="B374" s="14" t="n">
        <v>0</v>
      </c>
      <c r="C374" s="14" t="n">
        <v>10</v>
      </c>
      <c r="D374" s="42" t="n">
        <v>0</v>
      </c>
      <c r="E374" s="41" t="n">
        <v>68.6</v>
      </c>
      <c r="F374" s="5" t="str">
        <f aca="false">IF(AND(E374&gt;=5,E374&lt;=20,C374&gt;=80,B374&lt;=1),"Opportunity (pos 5-20, 80+ impr, 0-1 click)","")</f>
        <v/>
      </c>
    </row>
    <row r="375" customFormat="false" ht="15" hidden="false" customHeight="false" outlineLevel="0" collapsed="false">
      <c r="A375" s="14" t="s">
        <v>1254</v>
      </c>
      <c r="B375" s="14" t="n">
        <v>0</v>
      </c>
      <c r="C375" s="14" t="n">
        <v>9</v>
      </c>
      <c r="D375" s="42" t="n">
        <v>0</v>
      </c>
      <c r="E375" s="41" t="n">
        <v>7.56</v>
      </c>
      <c r="F375" s="5" t="str">
        <f aca="false">IF(AND(E375&gt;=5,E375&lt;=20,C375&gt;=80,B375&lt;=1),"Opportunity (pos 5-20, 80+ impr, 0-1 click)","")</f>
        <v/>
      </c>
    </row>
    <row r="376" customFormat="false" ht="15" hidden="false" customHeight="false" outlineLevel="0" collapsed="false">
      <c r="A376" s="14" t="s">
        <v>1255</v>
      </c>
      <c r="B376" s="14" t="n">
        <v>0</v>
      </c>
      <c r="C376" s="14" t="n">
        <v>9</v>
      </c>
      <c r="D376" s="42" t="n">
        <v>0</v>
      </c>
      <c r="E376" s="41" t="n">
        <v>7.78</v>
      </c>
      <c r="F376" s="5" t="str">
        <f aca="false">IF(AND(E376&gt;=5,E376&lt;=20,C376&gt;=80,B376&lt;=1),"Opportunity (pos 5-20, 80+ impr, 0-1 click)","")</f>
        <v/>
      </c>
    </row>
    <row r="377" customFormat="false" ht="15" hidden="false" customHeight="false" outlineLevel="0" collapsed="false">
      <c r="A377" s="14" t="s">
        <v>1256</v>
      </c>
      <c r="B377" s="14" t="n">
        <v>0</v>
      </c>
      <c r="C377" s="14" t="n">
        <v>9</v>
      </c>
      <c r="D377" s="42" t="n">
        <v>0</v>
      </c>
      <c r="E377" s="41" t="n">
        <v>9.44</v>
      </c>
      <c r="F377" s="5" t="str">
        <f aca="false">IF(AND(E377&gt;=5,E377&lt;=20,C377&gt;=80,B377&lt;=1),"Opportunity (pos 5-20, 80+ impr, 0-1 click)","")</f>
        <v/>
      </c>
    </row>
    <row r="378" customFormat="false" ht="15" hidden="false" customHeight="false" outlineLevel="0" collapsed="false">
      <c r="A378" s="14" t="s">
        <v>1257</v>
      </c>
      <c r="B378" s="14" t="n">
        <v>0</v>
      </c>
      <c r="C378" s="14" t="n">
        <v>9</v>
      </c>
      <c r="D378" s="42" t="n">
        <v>0</v>
      </c>
      <c r="E378" s="41" t="n">
        <v>10.22</v>
      </c>
      <c r="F378" s="5" t="str">
        <f aca="false">IF(AND(E378&gt;=5,E378&lt;=20,C378&gt;=80,B378&lt;=1),"Opportunity (pos 5-20, 80+ impr, 0-1 click)","")</f>
        <v/>
      </c>
    </row>
    <row r="379" customFormat="false" ht="15" hidden="false" customHeight="false" outlineLevel="0" collapsed="false">
      <c r="A379" s="14" t="s">
        <v>1258</v>
      </c>
      <c r="B379" s="14" t="n">
        <v>0</v>
      </c>
      <c r="C379" s="14" t="n">
        <v>9</v>
      </c>
      <c r="D379" s="42" t="n">
        <v>0</v>
      </c>
      <c r="E379" s="41" t="n">
        <v>10.33</v>
      </c>
      <c r="F379" s="5" t="str">
        <f aca="false">IF(AND(E379&gt;=5,E379&lt;=20,C379&gt;=80,B379&lt;=1),"Opportunity (pos 5-20, 80+ impr, 0-1 click)","")</f>
        <v/>
      </c>
    </row>
    <row r="380" customFormat="false" ht="15" hidden="false" customHeight="false" outlineLevel="0" collapsed="false">
      <c r="A380" s="14" t="s">
        <v>1259</v>
      </c>
      <c r="B380" s="14" t="n">
        <v>0</v>
      </c>
      <c r="C380" s="14" t="n">
        <v>9</v>
      </c>
      <c r="D380" s="42" t="n">
        <v>0</v>
      </c>
      <c r="E380" s="41" t="n">
        <v>10.33</v>
      </c>
      <c r="F380" s="5" t="str">
        <f aca="false">IF(AND(E380&gt;=5,E380&lt;=20,C380&gt;=80,B380&lt;=1),"Opportunity (pos 5-20, 80+ impr, 0-1 click)","")</f>
        <v/>
      </c>
    </row>
    <row r="381" customFormat="false" ht="15" hidden="false" customHeight="false" outlineLevel="0" collapsed="false">
      <c r="A381" s="14" t="s">
        <v>1260</v>
      </c>
      <c r="B381" s="14" t="n">
        <v>0</v>
      </c>
      <c r="C381" s="14" t="n">
        <v>9</v>
      </c>
      <c r="D381" s="42" t="n">
        <v>0</v>
      </c>
      <c r="E381" s="41" t="n">
        <v>10.33</v>
      </c>
      <c r="F381" s="5" t="str">
        <f aca="false">IF(AND(E381&gt;=5,E381&lt;=20,C381&gt;=80,B381&lt;=1),"Opportunity (pos 5-20, 80+ impr, 0-1 click)","")</f>
        <v/>
      </c>
    </row>
    <row r="382" customFormat="false" ht="15" hidden="false" customHeight="false" outlineLevel="0" collapsed="false">
      <c r="A382" s="14" t="s">
        <v>1261</v>
      </c>
      <c r="B382" s="14" t="n">
        <v>0</v>
      </c>
      <c r="C382" s="14" t="n">
        <v>9</v>
      </c>
      <c r="D382" s="42" t="n">
        <v>0</v>
      </c>
      <c r="E382" s="41" t="n">
        <v>10.78</v>
      </c>
      <c r="F382" s="5" t="str">
        <f aca="false">IF(AND(E382&gt;=5,E382&lt;=20,C382&gt;=80,B382&lt;=1),"Opportunity (pos 5-20, 80+ impr, 0-1 click)","")</f>
        <v/>
      </c>
    </row>
    <row r="383" customFormat="false" ht="15" hidden="false" customHeight="false" outlineLevel="0" collapsed="false">
      <c r="A383" s="14" t="s">
        <v>1262</v>
      </c>
      <c r="B383" s="14" t="n">
        <v>0</v>
      </c>
      <c r="C383" s="14" t="n">
        <v>9</v>
      </c>
      <c r="D383" s="42" t="n">
        <v>0</v>
      </c>
      <c r="E383" s="41" t="n">
        <v>11.44</v>
      </c>
      <c r="F383" s="5" t="str">
        <f aca="false">IF(AND(E383&gt;=5,E383&lt;=20,C383&gt;=80,B383&lt;=1),"Opportunity (pos 5-20, 80+ impr, 0-1 click)","")</f>
        <v/>
      </c>
    </row>
    <row r="384" customFormat="false" ht="15" hidden="false" customHeight="false" outlineLevel="0" collapsed="false">
      <c r="A384" s="14" t="s">
        <v>1263</v>
      </c>
      <c r="B384" s="14" t="n">
        <v>0</v>
      </c>
      <c r="C384" s="14" t="n">
        <v>9</v>
      </c>
      <c r="D384" s="42" t="n">
        <v>0</v>
      </c>
      <c r="E384" s="41" t="n">
        <v>11.44</v>
      </c>
      <c r="F384" s="5" t="str">
        <f aca="false">IF(AND(E384&gt;=5,E384&lt;=20,C384&gt;=80,B384&lt;=1),"Opportunity (pos 5-20, 80+ impr, 0-1 click)","")</f>
        <v/>
      </c>
    </row>
    <row r="385" customFormat="false" ht="15" hidden="false" customHeight="false" outlineLevel="0" collapsed="false">
      <c r="A385" s="14" t="s">
        <v>1264</v>
      </c>
      <c r="B385" s="14" t="n">
        <v>0</v>
      </c>
      <c r="C385" s="14" t="n">
        <v>9</v>
      </c>
      <c r="D385" s="42" t="n">
        <v>0</v>
      </c>
      <c r="E385" s="41" t="n">
        <v>11.67</v>
      </c>
      <c r="F385" s="5" t="str">
        <f aca="false">IF(AND(E385&gt;=5,E385&lt;=20,C385&gt;=80,B385&lt;=1),"Opportunity (pos 5-20, 80+ impr, 0-1 click)","")</f>
        <v/>
      </c>
    </row>
    <row r="386" customFormat="false" ht="15" hidden="false" customHeight="false" outlineLevel="0" collapsed="false">
      <c r="A386" s="14" t="s">
        <v>1265</v>
      </c>
      <c r="B386" s="14" t="n">
        <v>0</v>
      </c>
      <c r="C386" s="14" t="n">
        <v>9</v>
      </c>
      <c r="D386" s="42" t="n">
        <v>0</v>
      </c>
      <c r="E386" s="41" t="n">
        <v>12.44</v>
      </c>
      <c r="F386" s="5" t="str">
        <f aca="false">IF(AND(E386&gt;=5,E386&lt;=20,C386&gt;=80,B386&lt;=1),"Opportunity (pos 5-20, 80+ impr, 0-1 click)","")</f>
        <v/>
      </c>
    </row>
    <row r="387" customFormat="false" ht="15" hidden="false" customHeight="false" outlineLevel="0" collapsed="false">
      <c r="A387" s="14" t="s">
        <v>1266</v>
      </c>
      <c r="B387" s="14" t="n">
        <v>0</v>
      </c>
      <c r="C387" s="14" t="n">
        <v>9</v>
      </c>
      <c r="D387" s="42" t="n">
        <v>0</v>
      </c>
      <c r="E387" s="41" t="n">
        <v>13.22</v>
      </c>
      <c r="F387" s="5" t="str">
        <f aca="false">IF(AND(E387&gt;=5,E387&lt;=20,C387&gt;=80,B387&lt;=1),"Opportunity (pos 5-20, 80+ impr, 0-1 click)","")</f>
        <v/>
      </c>
    </row>
    <row r="388" customFormat="false" ht="15" hidden="false" customHeight="false" outlineLevel="0" collapsed="false">
      <c r="A388" s="14" t="s">
        <v>1267</v>
      </c>
      <c r="B388" s="14" t="n">
        <v>0</v>
      </c>
      <c r="C388" s="14" t="n">
        <v>9</v>
      </c>
      <c r="D388" s="42" t="n">
        <v>0</v>
      </c>
      <c r="E388" s="41" t="n">
        <v>13.33</v>
      </c>
      <c r="F388" s="5" t="str">
        <f aca="false">IF(AND(E388&gt;=5,E388&lt;=20,C388&gt;=80,B388&lt;=1),"Opportunity (pos 5-20, 80+ impr, 0-1 click)","")</f>
        <v/>
      </c>
    </row>
    <row r="389" customFormat="false" ht="15" hidden="false" customHeight="false" outlineLevel="0" collapsed="false">
      <c r="A389" s="14" t="s">
        <v>1268</v>
      </c>
      <c r="B389" s="14" t="n">
        <v>0</v>
      </c>
      <c r="C389" s="14" t="n">
        <v>9</v>
      </c>
      <c r="D389" s="42" t="n">
        <v>0</v>
      </c>
      <c r="E389" s="41" t="n">
        <v>14.56</v>
      </c>
      <c r="F389" s="5" t="str">
        <f aca="false">IF(AND(E389&gt;=5,E389&lt;=20,C389&gt;=80,B389&lt;=1),"Opportunity (pos 5-20, 80+ impr, 0-1 click)","")</f>
        <v/>
      </c>
    </row>
    <row r="390" customFormat="false" ht="15" hidden="false" customHeight="false" outlineLevel="0" collapsed="false">
      <c r="A390" s="14" t="s">
        <v>1269</v>
      </c>
      <c r="B390" s="14" t="n">
        <v>0</v>
      </c>
      <c r="C390" s="14" t="n">
        <v>9</v>
      </c>
      <c r="D390" s="42" t="n">
        <v>0</v>
      </c>
      <c r="E390" s="41" t="n">
        <v>14.56</v>
      </c>
      <c r="F390" s="5" t="str">
        <f aca="false">IF(AND(E390&gt;=5,E390&lt;=20,C390&gt;=80,B390&lt;=1),"Opportunity (pos 5-20, 80+ impr, 0-1 click)","")</f>
        <v/>
      </c>
    </row>
    <row r="391" customFormat="false" ht="15" hidden="false" customHeight="false" outlineLevel="0" collapsed="false">
      <c r="A391" s="14" t="s">
        <v>1270</v>
      </c>
      <c r="B391" s="14" t="n">
        <v>0</v>
      </c>
      <c r="C391" s="14" t="n">
        <v>9</v>
      </c>
      <c r="D391" s="42" t="n">
        <v>0</v>
      </c>
      <c r="E391" s="41" t="n">
        <v>16.67</v>
      </c>
      <c r="F391" s="5" t="str">
        <f aca="false">IF(AND(E391&gt;=5,E391&lt;=20,C391&gt;=80,B391&lt;=1),"Opportunity (pos 5-20, 80+ impr, 0-1 click)","")</f>
        <v/>
      </c>
    </row>
    <row r="392" customFormat="false" ht="15" hidden="false" customHeight="false" outlineLevel="0" collapsed="false">
      <c r="A392" s="14" t="s">
        <v>1271</v>
      </c>
      <c r="B392" s="14" t="n">
        <v>0</v>
      </c>
      <c r="C392" s="14" t="n">
        <v>9</v>
      </c>
      <c r="D392" s="42" t="n">
        <v>0</v>
      </c>
      <c r="E392" s="41" t="n">
        <v>17</v>
      </c>
      <c r="F392" s="5" t="str">
        <f aca="false">IF(AND(E392&gt;=5,E392&lt;=20,C392&gt;=80,B392&lt;=1),"Opportunity (pos 5-20, 80+ impr, 0-1 click)","")</f>
        <v/>
      </c>
    </row>
    <row r="393" customFormat="false" ht="15" hidden="false" customHeight="false" outlineLevel="0" collapsed="false">
      <c r="A393" s="14" t="s">
        <v>1272</v>
      </c>
      <c r="B393" s="14" t="n">
        <v>0</v>
      </c>
      <c r="C393" s="14" t="n">
        <v>9</v>
      </c>
      <c r="D393" s="42" t="n">
        <v>0</v>
      </c>
      <c r="E393" s="41" t="n">
        <v>17.22</v>
      </c>
      <c r="F393" s="5" t="str">
        <f aca="false">IF(AND(E393&gt;=5,E393&lt;=20,C393&gt;=80,B393&lt;=1),"Opportunity (pos 5-20, 80+ impr, 0-1 click)","")</f>
        <v/>
      </c>
    </row>
    <row r="394" customFormat="false" ht="15" hidden="false" customHeight="false" outlineLevel="0" collapsed="false">
      <c r="A394" s="14" t="s">
        <v>1273</v>
      </c>
      <c r="B394" s="14" t="n">
        <v>0</v>
      </c>
      <c r="C394" s="14" t="n">
        <v>9</v>
      </c>
      <c r="D394" s="42" t="n">
        <v>0</v>
      </c>
      <c r="E394" s="41" t="n">
        <v>17.67</v>
      </c>
      <c r="F394" s="5" t="str">
        <f aca="false">IF(AND(E394&gt;=5,E394&lt;=20,C394&gt;=80,B394&lt;=1),"Opportunity (pos 5-20, 80+ impr, 0-1 click)","")</f>
        <v/>
      </c>
    </row>
    <row r="395" customFormat="false" ht="15" hidden="false" customHeight="false" outlineLevel="0" collapsed="false">
      <c r="A395" s="14" t="s">
        <v>1274</v>
      </c>
      <c r="B395" s="14" t="n">
        <v>0</v>
      </c>
      <c r="C395" s="14" t="n">
        <v>9</v>
      </c>
      <c r="D395" s="42" t="n">
        <v>0</v>
      </c>
      <c r="E395" s="41" t="n">
        <v>17.67</v>
      </c>
      <c r="F395" s="5" t="str">
        <f aca="false">IF(AND(E395&gt;=5,E395&lt;=20,C395&gt;=80,B395&lt;=1),"Opportunity (pos 5-20, 80+ impr, 0-1 click)","")</f>
        <v/>
      </c>
    </row>
    <row r="396" customFormat="false" ht="15" hidden="false" customHeight="false" outlineLevel="0" collapsed="false">
      <c r="A396" s="14" t="s">
        <v>1275</v>
      </c>
      <c r="B396" s="14" t="n">
        <v>0</v>
      </c>
      <c r="C396" s="14" t="n">
        <v>9</v>
      </c>
      <c r="D396" s="42" t="n">
        <v>0</v>
      </c>
      <c r="E396" s="41" t="n">
        <v>18.44</v>
      </c>
      <c r="F396" s="5" t="str">
        <f aca="false">IF(AND(E396&gt;=5,E396&lt;=20,C396&gt;=80,B396&lt;=1),"Opportunity (pos 5-20, 80+ impr, 0-1 click)","")</f>
        <v/>
      </c>
    </row>
    <row r="397" customFormat="false" ht="15" hidden="false" customHeight="false" outlineLevel="0" collapsed="false">
      <c r="A397" s="14" t="s">
        <v>1276</v>
      </c>
      <c r="B397" s="14" t="n">
        <v>0</v>
      </c>
      <c r="C397" s="14" t="n">
        <v>9</v>
      </c>
      <c r="D397" s="42" t="n">
        <v>0</v>
      </c>
      <c r="E397" s="41" t="n">
        <v>20.33</v>
      </c>
      <c r="F397" s="5" t="str">
        <f aca="false">IF(AND(E397&gt;=5,E397&lt;=20,C397&gt;=80,B397&lt;=1),"Opportunity (pos 5-20, 80+ impr, 0-1 click)","")</f>
        <v/>
      </c>
    </row>
    <row r="398" customFormat="false" ht="15" hidden="false" customHeight="false" outlineLevel="0" collapsed="false">
      <c r="A398" s="14" t="s">
        <v>1277</v>
      </c>
      <c r="B398" s="14" t="n">
        <v>0</v>
      </c>
      <c r="C398" s="14" t="n">
        <v>9</v>
      </c>
      <c r="D398" s="42" t="n">
        <v>0</v>
      </c>
      <c r="E398" s="41" t="n">
        <v>23.56</v>
      </c>
      <c r="F398" s="5" t="str">
        <f aca="false">IF(AND(E398&gt;=5,E398&lt;=20,C398&gt;=80,B398&lt;=1),"Opportunity (pos 5-20, 80+ impr, 0-1 click)","")</f>
        <v/>
      </c>
    </row>
    <row r="399" customFormat="false" ht="15" hidden="false" customHeight="false" outlineLevel="0" collapsed="false">
      <c r="A399" s="14" t="s">
        <v>1278</v>
      </c>
      <c r="B399" s="14" t="n">
        <v>0</v>
      </c>
      <c r="C399" s="14" t="n">
        <v>9</v>
      </c>
      <c r="D399" s="42" t="n">
        <v>0</v>
      </c>
      <c r="E399" s="41" t="n">
        <v>23.89</v>
      </c>
      <c r="F399" s="5" t="str">
        <f aca="false">IF(AND(E399&gt;=5,E399&lt;=20,C399&gt;=80,B399&lt;=1),"Opportunity (pos 5-20, 80+ impr, 0-1 click)","")</f>
        <v/>
      </c>
    </row>
    <row r="400" customFormat="false" ht="15" hidden="false" customHeight="false" outlineLevel="0" collapsed="false">
      <c r="A400" s="14" t="s">
        <v>1279</v>
      </c>
      <c r="B400" s="14" t="n">
        <v>0</v>
      </c>
      <c r="C400" s="14" t="n">
        <v>9</v>
      </c>
      <c r="D400" s="42" t="n">
        <v>0</v>
      </c>
      <c r="E400" s="41" t="n">
        <v>24</v>
      </c>
      <c r="F400" s="5" t="str">
        <f aca="false">IF(AND(E400&gt;=5,E400&lt;=20,C400&gt;=80,B400&lt;=1),"Opportunity (pos 5-20, 80+ impr, 0-1 click)","")</f>
        <v/>
      </c>
    </row>
    <row r="401" customFormat="false" ht="15" hidden="false" customHeight="false" outlineLevel="0" collapsed="false">
      <c r="A401" s="14" t="s">
        <v>1280</v>
      </c>
      <c r="B401" s="14" t="n">
        <v>0</v>
      </c>
      <c r="C401" s="14" t="n">
        <v>9</v>
      </c>
      <c r="D401" s="42" t="n">
        <v>0</v>
      </c>
      <c r="E401" s="41" t="n">
        <v>24.33</v>
      </c>
      <c r="F401" s="5" t="str">
        <f aca="false">IF(AND(E401&gt;=5,E401&lt;=20,C401&gt;=80,B401&lt;=1),"Opportunity (pos 5-20, 80+ impr, 0-1 click)","")</f>
        <v/>
      </c>
    </row>
    <row r="402" customFormat="false" ht="15" hidden="false" customHeight="false" outlineLevel="0" collapsed="false">
      <c r="A402" s="14" t="s">
        <v>1281</v>
      </c>
      <c r="B402" s="14" t="n">
        <v>0</v>
      </c>
      <c r="C402" s="14" t="n">
        <v>9</v>
      </c>
      <c r="D402" s="42" t="n">
        <v>0</v>
      </c>
      <c r="E402" s="41" t="n">
        <v>24.89</v>
      </c>
      <c r="F402" s="5" t="str">
        <f aca="false">IF(AND(E402&gt;=5,E402&lt;=20,C402&gt;=80,B402&lt;=1),"Opportunity (pos 5-20, 80+ impr, 0-1 click)","")</f>
        <v/>
      </c>
    </row>
    <row r="403" customFormat="false" ht="15" hidden="false" customHeight="false" outlineLevel="0" collapsed="false">
      <c r="A403" s="14" t="s">
        <v>1282</v>
      </c>
      <c r="B403" s="14" t="n">
        <v>0</v>
      </c>
      <c r="C403" s="14" t="n">
        <v>9</v>
      </c>
      <c r="D403" s="42" t="n">
        <v>0</v>
      </c>
      <c r="E403" s="41" t="n">
        <v>26.33</v>
      </c>
      <c r="F403" s="5" t="str">
        <f aca="false">IF(AND(E403&gt;=5,E403&lt;=20,C403&gt;=80,B403&lt;=1),"Opportunity (pos 5-20, 80+ impr, 0-1 click)","")</f>
        <v/>
      </c>
    </row>
    <row r="404" customFormat="false" ht="15" hidden="false" customHeight="false" outlineLevel="0" collapsed="false">
      <c r="A404" s="14" t="s">
        <v>1283</v>
      </c>
      <c r="B404" s="14" t="n">
        <v>0</v>
      </c>
      <c r="C404" s="14" t="n">
        <v>9</v>
      </c>
      <c r="D404" s="42" t="n">
        <v>0</v>
      </c>
      <c r="E404" s="41" t="n">
        <v>27.11</v>
      </c>
      <c r="F404" s="5" t="str">
        <f aca="false">IF(AND(E404&gt;=5,E404&lt;=20,C404&gt;=80,B404&lt;=1),"Opportunity (pos 5-20, 80+ impr, 0-1 click)","")</f>
        <v/>
      </c>
    </row>
    <row r="405" customFormat="false" ht="15" hidden="false" customHeight="false" outlineLevel="0" collapsed="false">
      <c r="A405" s="14" t="s">
        <v>1284</v>
      </c>
      <c r="B405" s="14" t="n">
        <v>0</v>
      </c>
      <c r="C405" s="14" t="n">
        <v>9</v>
      </c>
      <c r="D405" s="42" t="n">
        <v>0</v>
      </c>
      <c r="E405" s="41" t="n">
        <v>27.44</v>
      </c>
      <c r="F405" s="5" t="str">
        <f aca="false">IF(AND(E405&gt;=5,E405&lt;=20,C405&gt;=80,B405&lt;=1),"Opportunity (pos 5-20, 80+ impr, 0-1 click)","")</f>
        <v/>
      </c>
    </row>
    <row r="406" customFormat="false" ht="15" hidden="false" customHeight="false" outlineLevel="0" collapsed="false">
      <c r="A406" s="14" t="s">
        <v>1285</v>
      </c>
      <c r="B406" s="14" t="n">
        <v>0</v>
      </c>
      <c r="C406" s="14" t="n">
        <v>9</v>
      </c>
      <c r="D406" s="42" t="n">
        <v>0</v>
      </c>
      <c r="E406" s="41" t="n">
        <v>29.56</v>
      </c>
      <c r="F406" s="5" t="str">
        <f aca="false">IF(AND(E406&gt;=5,E406&lt;=20,C406&gt;=80,B406&lt;=1),"Opportunity (pos 5-20, 80+ impr, 0-1 click)","")</f>
        <v/>
      </c>
    </row>
    <row r="407" customFormat="false" ht="15" hidden="false" customHeight="false" outlineLevel="0" collapsed="false">
      <c r="A407" s="14" t="s">
        <v>1286</v>
      </c>
      <c r="B407" s="14" t="n">
        <v>0</v>
      </c>
      <c r="C407" s="14" t="n">
        <v>9</v>
      </c>
      <c r="D407" s="42" t="n">
        <v>0</v>
      </c>
      <c r="E407" s="41" t="n">
        <v>30.22</v>
      </c>
      <c r="F407" s="5" t="str">
        <f aca="false">IF(AND(E407&gt;=5,E407&lt;=20,C407&gt;=80,B407&lt;=1),"Opportunity (pos 5-20, 80+ impr, 0-1 click)","")</f>
        <v/>
      </c>
    </row>
    <row r="408" customFormat="false" ht="15" hidden="false" customHeight="false" outlineLevel="0" collapsed="false">
      <c r="A408" s="14" t="s">
        <v>1287</v>
      </c>
      <c r="B408" s="14" t="n">
        <v>0</v>
      </c>
      <c r="C408" s="14" t="n">
        <v>9</v>
      </c>
      <c r="D408" s="42" t="n">
        <v>0</v>
      </c>
      <c r="E408" s="41" t="n">
        <v>30.33</v>
      </c>
      <c r="F408" s="5" t="str">
        <f aca="false">IF(AND(E408&gt;=5,E408&lt;=20,C408&gt;=80,B408&lt;=1),"Opportunity (pos 5-20, 80+ impr, 0-1 click)","")</f>
        <v/>
      </c>
    </row>
    <row r="409" customFormat="false" ht="15" hidden="false" customHeight="false" outlineLevel="0" collapsed="false">
      <c r="A409" s="14" t="s">
        <v>1288</v>
      </c>
      <c r="B409" s="14" t="n">
        <v>0</v>
      </c>
      <c r="C409" s="14" t="n">
        <v>9</v>
      </c>
      <c r="D409" s="42" t="n">
        <v>0</v>
      </c>
      <c r="E409" s="41" t="n">
        <v>31.33</v>
      </c>
      <c r="F409" s="5" t="str">
        <f aca="false">IF(AND(E409&gt;=5,E409&lt;=20,C409&gt;=80,B409&lt;=1),"Opportunity (pos 5-20, 80+ impr, 0-1 click)","")</f>
        <v/>
      </c>
    </row>
    <row r="410" customFormat="false" ht="15" hidden="false" customHeight="false" outlineLevel="0" collapsed="false">
      <c r="A410" s="14" t="s">
        <v>1289</v>
      </c>
      <c r="B410" s="14" t="n">
        <v>0</v>
      </c>
      <c r="C410" s="14" t="n">
        <v>9</v>
      </c>
      <c r="D410" s="42" t="n">
        <v>0</v>
      </c>
      <c r="E410" s="41" t="n">
        <v>31.89</v>
      </c>
      <c r="F410" s="5" t="str">
        <f aca="false">IF(AND(E410&gt;=5,E410&lt;=20,C410&gt;=80,B410&lt;=1),"Opportunity (pos 5-20, 80+ impr, 0-1 click)","")</f>
        <v/>
      </c>
    </row>
    <row r="411" customFormat="false" ht="15" hidden="false" customHeight="false" outlineLevel="0" collapsed="false">
      <c r="A411" s="14" t="s">
        <v>1290</v>
      </c>
      <c r="B411" s="14" t="n">
        <v>0</v>
      </c>
      <c r="C411" s="14" t="n">
        <v>9</v>
      </c>
      <c r="D411" s="42" t="n">
        <v>0</v>
      </c>
      <c r="E411" s="41" t="n">
        <v>32.44</v>
      </c>
      <c r="F411" s="5" t="str">
        <f aca="false">IF(AND(E411&gt;=5,E411&lt;=20,C411&gt;=80,B411&lt;=1),"Opportunity (pos 5-20, 80+ impr, 0-1 click)","")</f>
        <v/>
      </c>
    </row>
    <row r="412" customFormat="false" ht="15" hidden="false" customHeight="false" outlineLevel="0" collapsed="false">
      <c r="A412" s="14" t="s">
        <v>1291</v>
      </c>
      <c r="B412" s="14" t="n">
        <v>0</v>
      </c>
      <c r="C412" s="14" t="n">
        <v>9</v>
      </c>
      <c r="D412" s="42" t="n">
        <v>0</v>
      </c>
      <c r="E412" s="41" t="n">
        <v>35.11</v>
      </c>
      <c r="F412" s="5" t="str">
        <f aca="false">IF(AND(E412&gt;=5,E412&lt;=20,C412&gt;=80,B412&lt;=1),"Opportunity (pos 5-20, 80+ impr, 0-1 click)","")</f>
        <v/>
      </c>
    </row>
    <row r="413" customFormat="false" ht="15" hidden="false" customHeight="false" outlineLevel="0" collapsed="false">
      <c r="A413" s="14" t="s">
        <v>1292</v>
      </c>
      <c r="B413" s="14" t="n">
        <v>0</v>
      </c>
      <c r="C413" s="14" t="n">
        <v>9</v>
      </c>
      <c r="D413" s="42" t="n">
        <v>0</v>
      </c>
      <c r="E413" s="41" t="n">
        <v>36.22</v>
      </c>
      <c r="F413" s="5" t="str">
        <f aca="false">IF(AND(E413&gt;=5,E413&lt;=20,C413&gt;=80,B413&lt;=1),"Opportunity (pos 5-20, 80+ impr, 0-1 click)","")</f>
        <v/>
      </c>
    </row>
    <row r="414" customFormat="false" ht="15" hidden="false" customHeight="false" outlineLevel="0" collapsed="false">
      <c r="A414" s="14" t="s">
        <v>1293</v>
      </c>
      <c r="B414" s="14" t="n">
        <v>0</v>
      </c>
      <c r="C414" s="14" t="n">
        <v>9</v>
      </c>
      <c r="D414" s="42" t="n">
        <v>0</v>
      </c>
      <c r="E414" s="41" t="n">
        <v>37.22</v>
      </c>
      <c r="F414" s="5" t="str">
        <f aca="false">IF(AND(E414&gt;=5,E414&lt;=20,C414&gt;=80,B414&lt;=1),"Opportunity (pos 5-20, 80+ impr, 0-1 click)","")</f>
        <v/>
      </c>
    </row>
    <row r="415" customFormat="false" ht="15" hidden="false" customHeight="false" outlineLevel="0" collapsed="false">
      <c r="A415" s="14" t="s">
        <v>1294</v>
      </c>
      <c r="B415" s="14" t="n">
        <v>0</v>
      </c>
      <c r="C415" s="14" t="n">
        <v>9</v>
      </c>
      <c r="D415" s="42" t="n">
        <v>0</v>
      </c>
      <c r="E415" s="41" t="n">
        <v>37.56</v>
      </c>
      <c r="F415" s="5" t="str">
        <f aca="false">IF(AND(E415&gt;=5,E415&lt;=20,C415&gt;=80,B415&lt;=1),"Opportunity (pos 5-20, 80+ impr, 0-1 click)","")</f>
        <v/>
      </c>
    </row>
    <row r="416" customFormat="false" ht="15" hidden="false" customHeight="false" outlineLevel="0" collapsed="false">
      <c r="A416" s="14" t="s">
        <v>1295</v>
      </c>
      <c r="B416" s="14" t="n">
        <v>0</v>
      </c>
      <c r="C416" s="14" t="n">
        <v>9</v>
      </c>
      <c r="D416" s="42" t="n">
        <v>0</v>
      </c>
      <c r="E416" s="41" t="n">
        <v>37.89</v>
      </c>
      <c r="F416" s="5" t="str">
        <f aca="false">IF(AND(E416&gt;=5,E416&lt;=20,C416&gt;=80,B416&lt;=1),"Opportunity (pos 5-20, 80+ impr, 0-1 click)","")</f>
        <v/>
      </c>
    </row>
    <row r="417" customFormat="false" ht="15" hidden="false" customHeight="false" outlineLevel="0" collapsed="false">
      <c r="A417" s="14" t="s">
        <v>1296</v>
      </c>
      <c r="B417" s="14" t="n">
        <v>0</v>
      </c>
      <c r="C417" s="14" t="n">
        <v>9</v>
      </c>
      <c r="D417" s="42" t="n">
        <v>0</v>
      </c>
      <c r="E417" s="41" t="n">
        <v>38.33</v>
      </c>
      <c r="F417" s="5" t="str">
        <f aca="false">IF(AND(E417&gt;=5,E417&lt;=20,C417&gt;=80,B417&lt;=1),"Opportunity (pos 5-20, 80+ impr, 0-1 click)","")</f>
        <v/>
      </c>
    </row>
    <row r="418" customFormat="false" ht="15" hidden="false" customHeight="false" outlineLevel="0" collapsed="false">
      <c r="A418" s="14" t="s">
        <v>1297</v>
      </c>
      <c r="B418" s="14" t="n">
        <v>0</v>
      </c>
      <c r="C418" s="14" t="n">
        <v>9</v>
      </c>
      <c r="D418" s="42" t="n">
        <v>0</v>
      </c>
      <c r="E418" s="41" t="n">
        <v>44</v>
      </c>
      <c r="F418" s="5" t="str">
        <f aca="false">IF(AND(E418&gt;=5,E418&lt;=20,C418&gt;=80,B418&lt;=1),"Opportunity (pos 5-20, 80+ impr, 0-1 click)","")</f>
        <v/>
      </c>
    </row>
    <row r="419" customFormat="false" ht="15" hidden="false" customHeight="false" outlineLevel="0" collapsed="false">
      <c r="A419" s="14" t="s">
        <v>1298</v>
      </c>
      <c r="B419" s="14" t="n">
        <v>0</v>
      </c>
      <c r="C419" s="14" t="n">
        <v>9</v>
      </c>
      <c r="D419" s="42" t="n">
        <v>0</v>
      </c>
      <c r="E419" s="41" t="n">
        <v>51.89</v>
      </c>
      <c r="F419" s="5" t="str">
        <f aca="false">IF(AND(E419&gt;=5,E419&lt;=20,C419&gt;=80,B419&lt;=1),"Opportunity (pos 5-20, 80+ impr, 0-1 click)","")</f>
        <v/>
      </c>
    </row>
    <row r="420" customFormat="false" ht="15" hidden="false" customHeight="false" outlineLevel="0" collapsed="false">
      <c r="A420" s="14" t="s">
        <v>1299</v>
      </c>
      <c r="B420" s="14" t="n">
        <v>0</v>
      </c>
      <c r="C420" s="14" t="n">
        <v>9</v>
      </c>
      <c r="D420" s="42" t="n">
        <v>0</v>
      </c>
      <c r="E420" s="41" t="n">
        <v>52.22</v>
      </c>
      <c r="F420" s="5" t="str">
        <f aca="false">IF(AND(E420&gt;=5,E420&lt;=20,C420&gt;=80,B420&lt;=1),"Opportunity (pos 5-20, 80+ impr, 0-1 click)","")</f>
        <v/>
      </c>
    </row>
    <row r="421" customFormat="false" ht="15" hidden="false" customHeight="false" outlineLevel="0" collapsed="false">
      <c r="A421" s="14" t="s">
        <v>1300</v>
      </c>
      <c r="B421" s="14" t="n">
        <v>0</v>
      </c>
      <c r="C421" s="14" t="n">
        <v>9</v>
      </c>
      <c r="D421" s="42" t="n">
        <v>0</v>
      </c>
      <c r="E421" s="41" t="n">
        <v>55.22</v>
      </c>
      <c r="F421" s="5" t="str">
        <f aca="false">IF(AND(E421&gt;=5,E421&lt;=20,C421&gt;=80,B421&lt;=1),"Opportunity (pos 5-20, 80+ impr, 0-1 click)","")</f>
        <v/>
      </c>
    </row>
    <row r="422" customFormat="false" ht="15" hidden="false" customHeight="false" outlineLevel="0" collapsed="false">
      <c r="A422" s="14" t="s">
        <v>1301</v>
      </c>
      <c r="B422" s="14" t="n">
        <v>0</v>
      </c>
      <c r="C422" s="14" t="n">
        <v>9</v>
      </c>
      <c r="D422" s="42" t="n">
        <v>0</v>
      </c>
      <c r="E422" s="41" t="n">
        <v>55.33</v>
      </c>
      <c r="F422" s="5" t="str">
        <f aca="false">IF(AND(E422&gt;=5,E422&lt;=20,C422&gt;=80,B422&lt;=1),"Opportunity (pos 5-20, 80+ impr, 0-1 click)","")</f>
        <v/>
      </c>
    </row>
    <row r="423" customFormat="false" ht="15" hidden="false" customHeight="false" outlineLevel="0" collapsed="false">
      <c r="A423" s="14" t="s">
        <v>1302</v>
      </c>
      <c r="B423" s="14" t="n">
        <v>0</v>
      </c>
      <c r="C423" s="14" t="n">
        <v>9</v>
      </c>
      <c r="D423" s="42" t="n">
        <v>0</v>
      </c>
      <c r="E423" s="41" t="n">
        <v>64.67</v>
      </c>
      <c r="F423" s="5" t="str">
        <f aca="false">IF(AND(E423&gt;=5,E423&lt;=20,C423&gt;=80,B423&lt;=1),"Opportunity (pos 5-20, 80+ impr, 0-1 click)","")</f>
        <v/>
      </c>
    </row>
    <row r="424" customFormat="false" ht="15" hidden="false" customHeight="false" outlineLevel="0" collapsed="false">
      <c r="A424" s="14" t="s">
        <v>1303</v>
      </c>
      <c r="B424" s="14" t="n">
        <v>0</v>
      </c>
      <c r="C424" s="14" t="n">
        <v>8</v>
      </c>
      <c r="D424" s="42" t="n">
        <v>0</v>
      </c>
      <c r="E424" s="41" t="n">
        <v>5.38</v>
      </c>
      <c r="F424" s="5" t="str">
        <f aca="false">IF(AND(E424&gt;=5,E424&lt;=20,C424&gt;=80,B424&lt;=1),"Opportunity (pos 5-20, 80+ impr, 0-1 click)","")</f>
        <v/>
      </c>
    </row>
    <row r="425" customFormat="false" ht="15" hidden="false" customHeight="false" outlineLevel="0" collapsed="false">
      <c r="A425" s="14" t="s">
        <v>1304</v>
      </c>
      <c r="B425" s="14" t="n">
        <v>0</v>
      </c>
      <c r="C425" s="14" t="n">
        <v>8</v>
      </c>
      <c r="D425" s="42" t="n">
        <v>0</v>
      </c>
      <c r="E425" s="41" t="n">
        <v>7.88</v>
      </c>
      <c r="F425" s="5" t="str">
        <f aca="false">IF(AND(E425&gt;=5,E425&lt;=20,C425&gt;=80,B425&lt;=1),"Opportunity (pos 5-20, 80+ impr, 0-1 click)","")</f>
        <v/>
      </c>
    </row>
    <row r="426" customFormat="false" ht="15" hidden="false" customHeight="false" outlineLevel="0" collapsed="false">
      <c r="A426" s="14" t="s">
        <v>1305</v>
      </c>
      <c r="B426" s="14" t="n">
        <v>0</v>
      </c>
      <c r="C426" s="14" t="n">
        <v>8</v>
      </c>
      <c r="D426" s="42" t="n">
        <v>0</v>
      </c>
      <c r="E426" s="41" t="n">
        <v>8.5</v>
      </c>
      <c r="F426" s="5" t="str">
        <f aca="false">IF(AND(E426&gt;=5,E426&lt;=20,C426&gt;=80,B426&lt;=1),"Opportunity (pos 5-20, 80+ impr, 0-1 click)","")</f>
        <v/>
      </c>
    </row>
    <row r="427" customFormat="false" ht="15" hidden="false" customHeight="false" outlineLevel="0" collapsed="false">
      <c r="A427" s="14" t="s">
        <v>1306</v>
      </c>
      <c r="B427" s="14" t="n">
        <v>0</v>
      </c>
      <c r="C427" s="14" t="n">
        <v>8</v>
      </c>
      <c r="D427" s="42" t="n">
        <v>0</v>
      </c>
      <c r="E427" s="41" t="n">
        <v>9</v>
      </c>
      <c r="F427" s="5" t="str">
        <f aca="false">IF(AND(E427&gt;=5,E427&lt;=20,C427&gt;=80,B427&lt;=1),"Opportunity (pos 5-20, 80+ impr, 0-1 click)","")</f>
        <v/>
      </c>
    </row>
    <row r="428" customFormat="false" ht="15" hidden="false" customHeight="false" outlineLevel="0" collapsed="false">
      <c r="A428" s="14" t="s">
        <v>1307</v>
      </c>
      <c r="B428" s="14" t="n">
        <v>0</v>
      </c>
      <c r="C428" s="14" t="n">
        <v>8</v>
      </c>
      <c r="D428" s="42" t="n">
        <v>0</v>
      </c>
      <c r="E428" s="41" t="n">
        <v>9.62</v>
      </c>
      <c r="F428" s="5" t="str">
        <f aca="false">IF(AND(E428&gt;=5,E428&lt;=20,C428&gt;=80,B428&lt;=1),"Opportunity (pos 5-20, 80+ impr, 0-1 click)","")</f>
        <v/>
      </c>
    </row>
    <row r="429" customFormat="false" ht="15" hidden="false" customHeight="false" outlineLevel="0" collapsed="false">
      <c r="A429" s="14" t="s">
        <v>1308</v>
      </c>
      <c r="B429" s="14" t="n">
        <v>0</v>
      </c>
      <c r="C429" s="14" t="n">
        <v>8</v>
      </c>
      <c r="D429" s="42" t="n">
        <v>0</v>
      </c>
      <c r="E429" s="41" t="n">
        <v>10</v>
      </c>
      <c r="F429" s="5" t="str">
        <f aca="false">IF(AND(E429&gt;=5,E429&lt;=20,C429&gt;=80,B429&lt;=1),"Opportunity (pos 5-20, 80+ impr, 0-1 click)","")</f>
        <v/>
      </c>
    </row>
    <row r="430" customFormat="false" ht="15" hidden="false" customHeight="false" outlineLevel="0" collapsed="false">
      <c r="A430" s="14" t="s">
        <v>1309</v>
      </c>
      <c r="B430" s="14" t="n">
        <v>0</v>
      </c>
      <c r="C430" s="14" t="n">
        <v>8</v>
      </c>
      <c r="D430" s="42" t="n">
        <v>0</v>
      </c>
      <c r="E430" s="41" t="n">
        <v>10</v>
      </c>
      <c r="F430" s="5" t="str">
        <f aca="false">IF(AND(E430&gt;=5,E430&lt;=20,C430&gt;=80,B430&lt;=1),"Opportunity (pos 5-20, 80+ impr, 0-1 click)","")</f>
        <v/>
      </c>
    </row>
    <row r="431" customFormat="false" ht="15" hidden="false" customHeight="false" outlineLevel="0" collapsed="false">
      <c r="A431" s="14" t="s">
        <v>1310</v>
      </c>
      <c r="B431" s="14" t="n">
        <v>0</v>
      </c>
      <c r="C431" s="14" t="n">
        <v>8</v>
      </c>
      <c r="D431" s="42" t="n">
        <v>0</v>
      </c>
      <c r="E431" s="41" t="n">
        <v>11.5</v>
      </c>
      <c r="F431" s="5" t="str">
        <f aca="false">IF(AND(E431&gt;=5,E431&lt;=20,C431&gt;=80,B431&lt;=1),"Opportunity (pos 5-20, 80+ impr, 0-1 click)","")</f>
        <v/>
      </c>
    </row>
    <row r="432" customFormat="false" ht="15" hidden="false" customHeight="false" outlineLevel="0" collapsed="false">
      <c r="A432" s="14" t="s">
        <v>1311</v>
      </c>
      <c r="B432" s="14" t="n">
        <v>0</v>
      </c>
      <c r="C432" s="14" t="n">
        <v>8</v>
      </c>
      <c r="D432" s="42" t="n">
        <v>0</v>
      </c>
      <c r="E432" s="41" t="n">
        <v>11.62</v>
      </c>
      <c r="F432" s="5" t="str">
        <f aca="false">IF(AND(E432&gt;=5,E432&lt;=20,C432&gt;=80,B432&lt;=1),"Opportunity (pos 5-20, 80+ impr, 0-1 click)","")</f>
        <v/>
      </c>
    </row>
    <row r="433" customFormat="false" ht="15" hidden="false" customHeight="false" outlineLevel="0" collapsed="false">
      <c r="A433" s="14" t="s">
        <v>1312</v>
      </c>
      <c r="B433" s="14" t="n">
        <v>0</v>
      </c>
      <c r="C433" s="14" t="n">
        <v>8</v>
      </c>
      <c r="D433" s="42" t="n">
        <v>0</v>
      </c>
      <c r="E433" s="41" t="n">
        <v>11.88</v>
      </c>
      <c r="F433" s="5" t="str">
        <f aca="false">IF(AND(E433&gt;=5,E433&lt;=20,C433&gt;=80,B433&lt;=1),"Opportunity (pos 5-20, 80+ impr, 0-1 click)","")</f>
        <v/>
      </c>
    </row>
    <row r="434" customFormat="false" ht="15" hidden="false" customHeight="false" outlineLevel="0" collapsed="false">
      <c r="A434" s="14" t="s">
        <v>1313</v>
      </c>
      <c r="B434" s="14" t="n">
        <v>0</v>
      </c>
      <c r="C434" s="14" t="n">
        <v>8</v>
      </c>
      <c r="D434" s="42" t="n">
        <v>0</v>
      </c>
      <c r="E434" s="41" t="n">
        <v>12.25</v>
      </c>
      <c r="F434" s="5" t="str">
        <f aca="false">IF(AND(E434&gt;=5,E434&lt;=20,C434&gt;=80,B434&lt;=1),"Opportunity (pos 5-20, 80+ impr, 0-1 click)","")</f>
        <v/>
      </c>
    </row>
    <row r="435" customFormat="false" ht="15" hidden="false" customHeight="false" outlineLevel="0" collapsed="false">
      <c r="A435" s="14" t="s">
        <v>1314</v>
      </c>
      <c r="B435" s="14" t="n">
        <v>0</v>
      </c>
      <c r="C435" s="14" t="n">
        <v>8</v>
      </c>
      <c r="D435" s="42" t="n">
        <v>0</v>
      </c>
      <c r="E435" s="41" t="n">
        <v>12.5</v>
      </c>
      <c r="F435" s="5" t="str">
        <f aca="false">IF(AND(E435&gt;=5,E435&lt;=20,C435&gt;=80,B435&lt;=1),"Opportunity (pos 5-20, 80+ impr, 0-1 click)","")</f>
        <v/>
      </c>
    </row>
    <row r="436" customFormat="false" ht="15" hidden="false" customHeight="false" outlineLevel="0" collapsed="false">
      <c r="A436" s="14" t="s">
        <v>1315</v>
      </c>
      <c r="B436" s="14" t="n">
        <v>0</v>
      </c>
      <c r="C436" s="14" t="n">
        <v>8</v>
      </c>
      <c r="D436" s="42" t="n">
        <v>0</v>
      </c>
      <c r="E436" s="41" t="n">
        <v>12.75</v>
      </c>
      <c r="F436" s="5" t="str">
        <f aca="false">IF(AND(E436&gt;=5,E436&lt;=20,C436&gt;=80,B436&lt;=1),"Opportunity (pos 5-20, 80+ impr, 0-1 click)","")</f>
        <v/>
      </c>
    </row>
    <row r="437" customFormat="false" ht="15" hidden="false" customHeight="false" outlineLevel="0" collapsed="false">
      <c r="A437" s="14" t="s">
        <v>1316</v>
      </c>
      <c r="B437" s="14" t="n">
        <v>0</v>
      </c>
      <c r="C437" s="14" t="n">
        <v>8</v>
      </c>
      <c r="D437" s="42" t="n">
        <v>0</v>
      </c>
      <c r="E437" s="41" t="n">
        <v>14</v>
      </c>
      <c r="F437" s="5" t="str">
        <f aca="false">IF(AND(E437&gt;=5,E437&lt;=20,C437&gt;=80,B437&lt;=1),"Opportunity (pos 5-20, 80+ impr, 0-1 click)","")</f>
        <v/>
      </c>
    </row>
    <row r="438" customFormat="false" ht="15" hidden="false" customHeight="false" outlineLevel="0" collapsed="false">
      <c r="A438" s="14" t="s">
        <v>1317</v>
      </c>
      <c r="B438" s="14" t="n">
        <v>0</v>
      </c>
      <c r="C438" s="14" t="n">
        <v>8</v>
      </c>
      <c r="D438" s="42" t="n">
        <v>0</v>
      </c>
      <c r="E438" s="41" t="n">
        <v>14.12</v>
      </c>
      <c r="F438" s="5" t="str">
        <f aca="false">IF(AND(E438&gt;=5,E438&lt;=20,C438&gt;=80,B438&lt;=1),"Opportunity (pos 5-20, 80+ impr, 0-1 click)","")</f>
        <v/>
      </c>
    </row>
    <row r="439" customFormat="false" ht="15" hidden="false" customHeight="false" outlineLevel="0" collapsed="false">
      <c r="A439" s="14" t="s">
        <v>1318</v>
      </c>
      <c r="B439" s="14" t="n">
        <v>0</v>
      </c>
      <c r="C439" s="14" t="n">
        <v>8</v>
      </c>
      <c r="D439" s="42" t="n">
        <v>0</v>
      </c>
      <c r="E439" s="41" t="n">
        <v>14.12</v>
      </c>
      <c r="F439" s="5" t="str">
        <f aca="false">IF(AND(E439&gt;=5,E439&lt;=20,C439&gt;=80,B439&lt;=1),"Opportunity (pos 5-20, 80+ impr, 0-1 click)","")</f>
        <v/>
      </c>
    </row>
    <row r="440" customFormat="false" ht="15" hidden="false" customHeight="false" outlineLevel="0" collapsed="false">
      <c r="A440" s="14" t="s">
        <v>1319</v>
      </c>
      <c r="B440" s="14" t="n">
        <v>0</v>
      </c>
      <c r="C440" s="14" t="n">
        <v>8</v>
      </c>
      <c r="D440" s="42" t="n">
        <v>0</v>
      </c>
      <c r="E440" s="41" t="n">
        <v>14.38</v>
      </c>
      <c r="F440" s="5" t="str">
        <f aca="false">IF(AND(E440&gt;=5,E440&lt;=20,C440&gt;=80,B440&lt;=1),"Opportunity (pos 5-20, 80+ impr, 0-1 click)","")</f>
        <v/>
      </c>
    </row>
    <row r="441" customFormat="false" ht="15" hidden="false" customHeight="false" outlineLevel="0" collapsed="false">
      <c r="A441" s="14" t="s">
        <v>1320</v>
      </c>
      <c r="B441" s="14" t="n">
        <v>0</v>
      </c>
      <c r="C441" s="14" t="n">
        <v>8</v>
      </c>
      <c r="D441" s="42" t="n">
        <v>0</v>
      </c>
      <c r="E441" s="41" t="n">
        <v>15.25</v>
      </c>
      <c r="F441" s="5" t="str">
        <f aca="false">IF(AND(E441&gt;=5,E441&lt;=20,C441&gt;=80,B441&lt;=1),"Opportunity (pos 5-20, 80+ impr, 0-1 click)","")</f>
        <v/>
      </c>
    </row>
    <row r="442" customFormat="false" ht="15" hidden="false" customHeight="false" outlineLevel="0" collapsed="false">
      <c r="A442" s="14" t="s">
        <v>1321</v>
      </c>
      <c r="B442" s="14" t="n">
        <v>0</v>
      </c>
      <c r="C442" s="14" t="n">
        <v>8</v>
      </c>
      <c r="D442" s="42" t="n">
        <v>0</v>
      </c>
      <c r="E442" s="41" t="n">
        <v>15.38</v>
      </c>
      <c r="F442" s="5" t="str">
        <f aca="false">IF(AND(E442&gt;=5,E442&lt;=20,C442&gt;=80,B442&lt;=1),"Opportunity (pos 5-20, 80+ impr, 0-1 click)","")</f>
        <v/>
      </c>
    </row>
    <row r="443" customFormat="false" ht="15" hidden="false" customHeight="false" outlineLevel="0" collapsed="false">
      <c r="A443" s="14" t="s">
        <v>1322</v>
      </c>
      <c r="B443" s="14" t="n">
        <v>0</v>
      </c>
      <c r="C443" s="14" t="n">
        <v>8</v>
      </c>
      <c r="D443" s="42" t="n">
        <v>0</v>
      </c>
      <c r="E443" s="41" t="n">
        <v>15.88</v>
      </c>
      <c r="F443" s="5" t="str">
        <f aca="false">IF(AND(E443&gt;=5,E443&lt;=20,C443&gt;=80,B443&lt;=1),"Opportunity (pos 5-20, 80+ impr, 0-1 click)","")</f>
        <v/>
      </c>
    </row>
    <row r="444" customFormat="false" ht="15" hidden="false" customHeight="false" outlineLevel="0" collapsed="false">
      <c r="A444" s="14" t="s">
        <v>1323</v>
      </c>
      <c r="B444" s="14" t="n">
        <v>0</v>
      </c>
      <c r="C444" s="14" t="n">
        <v>8</v>
      </c>
      <c r="D444" s="42" t="n">
        <v>0</v>
      </c>
      <c r="E444" s="41" t="n">
        <v>16</v>
      </c>
      <c r="F444" s="5" t="str">
        <f aca="false">IF(AND(E444&gt;=5,E444&lt;=20,C444&gt;=80,B444&lt;=1),"Opportunity (pos 5-20, 80+ impr, 0-1 click)","")</f>
        <v/>
      </c>
    </row>
    <row r="445" customFormat="false" ht="15" hidden="false" customHeight="false" outlineLevel="0" collapsed="false">
      <c r="A445" s="14" t="s">
        <v>1324</v>
      </c>
      <c r="B445" s="14" t="n">
        <v>0</v>
      </c>
      <c r="C445" s="14" t="n">
        <v>8</v>
      </c>
      <c r="D445" s="42" t="n">
        <v>0</v>
      </c>
      <c r="E445" s="41" t="n">
        <v>16.5</v>
      </c>
      <c r="F445" s="5" t="str">
        <f aca="false">IF(AND(E445&gt;=5,E445&lt;=20,C445&gt;=80,B445&lt;=1),"Opportunity (pos 5-20, 80+ impr, 0-1 click)","")</f>
        <v/>
      </c>
    </row>
    <row r="446" customFormat="false" ht="15" hidden="false" customHeight="false" outlineLevel="0" collapsed="false">
      <c r="A446" s="14" t="s">
        <v>1325</v>
      </c>
      <c r="B446" s="14" t="n">
        <v>0</v>
      </c>
      <c r="C446" s="14" t="n">
        <v>8</v>
      </c>
      <c r="D446" s="42" t="n">
        <v>0</v>
      </c>
      <c r="E446" s="41" t="n">
        <v>16.62</v>
      </c>
      <c r="F446" s="5" t="str">
        <f aca="false">IF(AND(E446&gt;=5,E446&lt;=20,C446&gt;=80,B446&lt;=1),"Opportunity (pos 5-20, 80+ impr, 0-1 click)","")</f>
        <v/>
      </c>
    </row>
    <row r="447" customFormat="false" ht="15" hidden="false" customHeight="false" outlineLevel="0" collapsed="false">
      <c r="A447" s="14" t="s">
        <v>1326</v>
      </c>
      <c r="B447" s="14" t="n">
        <v>0</v>
      </c>
      <c r="C447" s="14" t="n">
        <v>8</v>
      </c>
      <c r="D447" s="42" t="n">
        <v>0</v>
      </c>
      <c r="E447" s="41" t="n">
        <v>18.12</v>
      </c>
      <c r="F447" s="5" t="str">
        <f aca="false">IF(AND(E447&gt;=5,E447&lt;=20,C447&gt;=80,B447&lt;=1),"Opportunity (pos 5-20, 80+ impr, 0-1 click)","")</f>
        <v/>
      </c>
    </row>
    <row r="448" customFormat="false" ht="15" hidden="false" customHeight="false" outlineLevel="0" collapsed="false">
      <c r="A448" s="14" t="s">
        <v>1327</v>
      </c>
      <c r="B448" s="14" t="n">
        <v>0</v>
      </c>
      <c r="C448" s="14" t="n">
        <v>8</v>
      </c>
      <c r="D448" s="42" t="n">
        <v>0</v>
      </c>
      <c r="E448" s="41" t="n">
        <v>18.38</v>
      </c>
      <c r="F448" s="5" t="str">
        <f aca="false">IF(AND(E448&gt;=5,E448&lt;=20,C448&gt;=80,B448&lt;=1),"Opportunity (pos 5-20, 80+ impr, 0-1 click)","")</f>
        <v/>
      </c>
    </row>
    <row r="449" customFormat="false" ht="15" hidden="false" customHeight="false" outlineLevel="0" collapsed="false">
      <c r="A449" s="14" t="s">
        <v>1328</v>
      </c>
      <c r="B449" s="14" t="n">
        <v>0</v>
      </c>
      <c r="C449" s="14" t="n">
        <v>8</v>
      </c>
      <c r="D449" s="42" t="n">
        <v>0</v>
      </c>
      <c r="E449" s="41" t="n">
        <v>19</v>
      </c>
      <c r="F449" s="5" t="str">
        <f aca="false">IF(AND(E449&gt;=5,E449&lt;=20,C449&gt;=80,B449&lt;=1),"Opportunity (pos 5-20, 80+ impr, 0-1 click)","")</f>
        <v/>
      </c>
    </row>
    <row r="450" customFormat="false" ht="15" hidden="false" customHeight="false" outlineLevel="0" collapsed="false">
      <c r="A450" s="14" t="s">
        <v>1329</v>
      </c>
      <c r="B450" s="14" t="n">
        <v>0</v>
      </c>
      <c r="C450" s="14" t="n">
        <v>8</v>
      </c>
      <c r="D450" s="42" t="n">
        <v>0</v>
      </c>
      <c r="E450" s="41" t="n">
        <v>19.25</v>
      </c>
      <c r="F450" s="5" t="str">
        <f aca="false">IF(AND(E450&gt;=5,E450&lt;=20,C450&gt;=80,B450&lt;=1),"Opportunity (pos 5-20, 80+ impr, 0-1 click)","")</f>
        <v/>
      </c>
    </row>
    <row r="451" customFormat="false" ht="15" hidden="false" customHeight="false" outlineLevel="0" collapsed="false">
      <c r="A451" s="14" t="s">
        <v>1330</v>
      </c>
      <c r="B451" s="14" t="n">
        <v>0</v>
      </c>
      <c r="C451" s="14" t="n">
        <v>8</v>
      </c>
      <c r="D451" s="42" t="n">
        <v>0</v>
      </c>
      <c r="E451" s="41" t="n">
        <v>20</v>
      </c>
      <c r="F451" s="5" t="str">
        <f aca="false">IF(AND(E451&gt;=5,E451&lt;=20,C451&gt;=80,B451&lt;=1),"Opportunity (pos 5-20, 80+ impr, 0-1 click)","")</f>
        <v/>
      </c>
    </row>
    <row r="452" customFormat="false" ht="15" hidden="false" customHeight="false" outlineLevel="0" collapsed="false">
      <c r="A452" s="14" t="s">
        <v>1331</v>
      </c>
      <c r="B452" s="14" t="n">
        <v>0</v>
      </c>
      <c r="C452" s="14" t="n">
        <v>8</v>
      </c>
      <c r="D452" s="42" t="n">
        <v>0</v>
      </c>
      <c r="E452" s="41" t="n">
        <v>20</v>
      </c>
      <c r="F452" s="5" t="str">
        <f aca="false">IF(AND(E452&gt;=5,E452&lt;=20,C452&gt;=80,B452&lt;=1),"Opportunity (pos 5-20, 80+ impr, 0-1 click)","")</f>
        <v/>
      </c>
    </row>
    <row r="453" customFormat="false" ht="15" hidden="false" customHeight="false" outlineLevel="0" collapsed="false">
      <c r="A453" s="14" t="s">
        <v>1332</v>
      </c>
      <c r="B453" s="14" t="n">
        <v>0</v>
      </c>
      <c r="C453" s="14" t="n">
        <v>8</v>
      </c>
      <c r="D453" s="42" t="n">
        <v>0</v>
      </c>
      <c r="E453" s="41" t="n">
        <v>21.12</v>
      </c>
      <c r="F453" s="5" t="str">
        <f aca="false">IF(AND(E453&gt;=5,E453&lt;=20,C453&gt;=80,B453&lt;=1),"Opportunity (pos 5-20, 80+ impr, 0-1 click)","")</f>
        <v/>
      </c>
    </row>
    <row r="454" customFormat="false" ht="15" hidden="false" customHeight="false" outlineLevel="0" collapsed="false">
      <c r="A454" s="14" t="s">
        <v>1333</v>
      </c>
      <c r="B454" s="14" t="n">
        <v>0</v>
      </c>
      <c r="C454" s="14" t="n">
        <v>8</v>
      </c>
      <c r="D454" s="42" t="n">
        <v>0</v>
      </c>
      <c r="E454" s="41" t="n">
        <v>21.5</v>
      </c>
      <c r="F454" s="5" t="str">
        <f aca="false">IF(AND(E454&gt;=5,E454&lt;=20,C454&gt;=80,B454&lt;=1),"Opportunity (pos 5-20, 80+ impr, 0-1 click)","")</f>
        <v/>
      </c>
    </row>
    <row r="455" customFormat="false" ht="15" hidden="false" customHeight="false" outlineLevel="0" collapsed="false">
      <c r="A455" s="14" t="s">
        <v>1334</v>
      </c>
      <c r="B455" s="14" t="n">
        <v>0</v>
      </c>
      <c r="C455" s="14" t="n">
        <v>8</v>
      </c>
      <c r="D455" s="42" t="n">
        <v>0</v>
      </c>
      <c r="E455" s="41" t="n">
        <v>22.38</v>
      </c>
      <c r="F455" s="5" t="str">
        <f aca="false">IF(AND(E455&gt;=5,E455&lt;=20,C455&gt;=80,B455&lt;=1),"Opportunity (pos 5-20, 80+ impr, 0-1 click)","")</f>
        <v/>
      </c>
    </row>
    <row r="456" customFormat="false" ht="15" hidden="false" customHeight="false" outlineLevel="0" collapsed="false">
      <c r="A456" s="14" t="s">
        <v>1335</v>
      </c>
      <c r="B456" s="14" t="n">
        <v>0</v>
      </c>
      <c r="C456" s="14" t="n">
        <v>8</v>
      </c>
      <c r="D456" s="42" t="n">
        <v>0</v>
      </c>
      <c r="E456" s="41" t="n">
        <v>22.5</v>
      </c>
      <c r="F456" s="5" t="str">
        <f aca="false">IF(AND(E456&gt;=5,E456&lt;=20,C456&gt;=80,B456&lt;=1),"Opportunity (pos 5-20, 80+ impr, 0-1 click)","")</f>
        <v/>
      </c>
    </row>
    <row r="457" customFormat="false" ht="15" hidden="false" customHeight="false" outlineLevel="0" collapsed="false">
      <c r="A457" s="14" t="s">
        <v>1336</v>
      </c>
      <c r="B457" s="14" t="n">
        <v>0</v>
      </c>
      <c r="C457" s="14" t="n">
        <v>8</v>
      </c>
      <c r="D457" s="42" t="n">
        <v>0</v>
      </c>
      <c r="E457" s="41" t="n">
        <v>22.62</v>
      </c>
      <c r="F457" s="5" t="str">
        <f aca="false">IF(AND(E457&gt;=5,E457&lt;=20,C457&gt;=80,B457&lt;=1),"Opportunity (pos 5-20, 80+ impr, 0-1 click)","")</f>
        <v/>
      </c>
    </row>
    <row r="458" customFormat="false" ht="15" hidden="false" customHeight="false" outlineLevel="0" collapsed="false">
      <c r="A458" s="14" t="s">
        <v>1337</v>
      </c>
      <c r="B458" s="14" t="n">
        <v>0</v>
      </c>
      <c r="C458" s="14" t="n">
        <v>8</v>
      </c>
      <c r="D458" s="42" t="n">
        <v>0</v>
      </c>
      <c r="E458" s="41" t="n">
        <v>22.62</v>
      </c>
      <c r="F458" s="5" t="str">
        <f aca="false">IF(AND(E458&gt;=5,E458&lt;=20,C458&gt;=80,B458&lt;=1),"Opportunity (pos 5-20, 80+ impr, 0-1 click)","")</f>
        <v/>
      </c>
    </row>
    <row r="459" customFormat="false" ht="15" hidden="false" customHeight="false" outlineLevel="0" collapsed="false">
      <c r="A459" s="14" t="s">
        <v>1338</v>
      </c>
      <c r="B459" s="14" t="n">
        <v>0</v>
      </c>
      <c r="C459" s="14" t="n">
        <v>8</v>
      </c>
      <c r="D459" s="42" t="n">
        <v>0</v>
      </c>
      <c r="E459" s="41" t="n">
        <v>22.88</v>
      </c>
      <c r="F459" s="5" t="str">
        <f aca="false">IF(AND(E459&gt;=5,E459&lt;=20,C459&gt;=80,B459&lt;=1),"Opportunity (pos 5-20, 80+ impr, 0-1 click)","")</f>
        <v/>
      </c>
    </row>
    <row r="460" customFormat="false" ht="15" hidden="false" customHeight="false" outlineLevel="0" collapsed="false">
      <c r="A460" s="14" t="s">
        <v>1339</v>
      </c>
      <c r="B460" s="14" t="n">
        <v>0</v>
      </c>
      <c r="C460" s="14" t="n">
        <v>8</v>
      </c>
      <c r="D460" s="42" t="n">
        <v>0</v>
      </c>
      <c r="E460" s="41" t="n">
        <v>22.88</v>
      </c>
      <c r="F460" s="5" t="str">
        <f aca="false">IF(AND(E460&gt;=5,E460&lt;=20,C460&gt;=80,B460&lt;=1),"Opportunity (pos 5-20, 80+ impr, 0-1 click)","")</f>
        <v/>
      </c>
    </row>
    <row r="461" customFormat="false" ht="15" hidden="false" customHeight="false" outlineLevel="0" collapsed="false">
      <c r="A461" s="14" t="s">
        <v>1340</v>
      </c>
      <c r="B461" s="14" t="n">
        <v>0</v>
      </c>
      <c r="C461" s="14" t="n">
        <v>8</v>
      </c>
      <c r="D461" s="42" t="n">
        <v>0</v>
      </c>
      <c r="E461" s="41" t="n">
        <v>23.75</v>
      </c>
      <c r="F461" s="5" t="str">
        <f aca="false">IF(AND(E461&gt;=5,E461&lt;=20,C461&gt;=80,B461&lt;=1),"Opportunity (pos 5-20, 80+ impr, 0-1 click)","")</f>
        <v/>
      </c>
    </row>
    <row r="462" customFormat="false" ht="15" hidden="false" customHeight="false" outlineLevel="0" collapsed="false">
      <c r="A462" s="14" t="s">
        <v>1341</v>
      </c>
      <c r="B462" s="14" t="n">
        <v>0</v>
      </c>
      <c r="C462" s="14" t="n">
        <v>8</v>
      </c>
      <c r="D462" s="42" t="n">
        <v>0</v>
      </c>
      <c r="E462" s="41" t="n">
        <v>24.88</v>
      </c>
      <c r="F462" s="5" t="str">
        <f aca="false">IF(AND(E462&gt;=5,E462&lt;=20,C462&gt;=80,B462&lt;=1),"Opportunity (pos 5-20, 80+ impr, 0-1 click)","")</f>
        <v/>
      </c>
    </row>
    <row r="463" customFormat="false" ht="15" hidden="false" customHeight="false" outlineLevel="0" collapsed="false">
      <c r="A463" s="14" t="s">
        <v>1342</v>
      </c>
      <c r="B463" s="14" t="n">
        <v>0</v>
      </c>
      <c r="C463" s="14" t="n">
        <v>8</v>
      </c>
      <c r="D463" s="42" t="n">
        <v>0</v>
      </c>
      <c r="E463" s="41" t="n">
        <v>25.38</v>
      </c>
      <c r="F463" s="5" t="str">
        <f aca="false">IF(AND(E463&gt;=5,E463&lt;=20,C463&gt;=80,B463&lt;=1),"Opportunity (pos 5-20, 80+ impr, 0-1 click)","")</f>
        <v/>
      </c>
    </row>
    <row r="464" customFormat="false" ht="15" hidden="false" customHeight="false" outlineLevel="0" collapsed="false">
      <c r="A464" s="14" t="s">
        <v>1343</v>
      </c>
      <c r="B464" s="14" t="n">
        <v>0</v>
      </c>
      <c r="C464" s="14" t="n">
        <v>8</v>
      </c>
      <c r="D464" s="42" t="n">
        <v>0</v>
      </c>
      <c r="E464" s="41" t="n">
        <v>25.38</v>
      </c>
      <c r="F464" s="5" t="str">
        <f aca="false">IF(AND(E464&gt;=5,E464&lt;=20,C464&gt;=80,B464&lt;=1),"Opportunity (pos 5-20, 80+ impr, 0-1 click)","")</f>
        <v/>
      </c>
    </row>
    <row r="465" customFormat="false" ht="15" hidden="false" customHeight="false" outlineLevel="0" collapsed="false">
      <c r="A465" s="14" t="s">
        <v>1344</v>
      </c>
      <c r="B465" s="14" t="n">
        <v>0</v>
      </c>
      <c r="C465" s="14" t="n">
        <v>8</v>
      </c>
      <c r="D465" s="42" t="n">
        <v>0</v>
      </c>
      <c r="E465" s="41" t="n">
        <v>25.88</v>
      </c>
      <c r="F465" s="5" t="str">
        <f aca="false">IF(AND(E465&gt;=5,E465&lt;=20,C465&gt;=80,B465&lt;=1),"Opportunity (pos 5-20, 80+ impr, 0-1 click)","")</f>
        <v/>
      </c>
    </row>
    <row r="466" customFormat="false" ht="15" hidden="false" customHeight="false" outlineLevel="0" collapsed="false">
      <c r="A466" s="14" t="s">
        <v>1345</v>
      </c>
      <c r="B466" s="14" t="n">
        <v>0</v>
      </c>
      <c r="C466" s="14" t="n">
        <v>8</v>
      </c>
      <c r="D466" s="42" t="n">
        <v>0</v>
      </c>
      <c r="E466" s="41" t="n">
        <v>26</v>
      </c>
      <c r="F466" s="5" t="str">
        <f aca="false">IF(AND(E466&gt;=5,E466&lt;=20,C466&gt;=80,B466&lt;=1),"Opportunity (pos 5-20, 80+ impr, 0-1 click)","")</f>
        <v/>
      </c>
    </row>
    <row r="467" customFormat="false" ht="15" hidden="false" customHeight="false" outlineLevel="0" collapsed="false">
      <c r="A467" s="14" t="s">
        <v>1346</v>
      </c>
      <c r="B467" s="14" t="n">
        <v>0</v>
      </c>
      <c r="C467" s="14" t="n">
        <v>8</v>
      </c>
      <c r="D467" s="42" t="n">
        <v>0</v>
      </c>
      <c r="E467" s="41" t="n">
        <v>26.25</v>
      </c>
      <c r="F467" s="5" t="str">
        <f aca="false">IF(AND(E467&gt;=5,E467&lt;=20,C467&gt;=80,B467&lt;=1),"Opportunity (pos 5-20, 80+ impr, 0-1 click)","")</f>
        <v/>
      </c>
    </row>
    <row r="468" customFormat="false" ht="15" hidden="false" customHeight="false" outlineLevel="0" collapsed="false">
      <c r="A468" s="14" t="s">
        <v>1347</v>
      </c>
      <c r="B468" s="14" t="n">
        <v>0</v>
      </c>
      <c r="C468" s="14" t="n">
        <v>8</v>
      </c>
      <c r="D468" s="42" t="n">
        <v>0</v>
      </c>
      <c r="E468" s="41" t="n">
        <v>27.38</v>
      </c>
      <c r="F468" s="5" t="str">
        <f aca="false">IF(AND(E468&gt;=5,E468&lt;=20,C468&gt;=80,B468&lt;=1),"Opportunity (pos 5-20, 80+ impr, 0-1 click)","")</f>
        <v/>
      </c>
    </row>
    <row r="469" customFormat="false" ht="15" hidden="false" customHeight="false" outlineLevel="0" collapsed="false">
      <c r="A469" s="14" t="s">
        <v>1348</v>
      </c>
      <c r="B469" s="14" t="n">
        <v>0</v>
      </c>
      <c r="C469" s="14" t="n">
        <v>8</v>
      </c>
      <c r="D469" s="42" t="n">
        <v>0</v>
      </c>
      <c r="E469" s="41" t="n">
        <v>27.62</v>
      </c>
      <c r="F469" s="5" t="str">
        <f aca="false">IF(AND(E469&gt;=5,E469&lt;=20,C469&gt;=80,B469&lt;=1),"Opportunity (pos 5-20, 80+ impr, 0-1 click)","")</f>
        <v/>
      </c>
    </row>
    <row r="470" customFormat="false" ht="15" hidden="false" customHeight="false" outlineLevel="0" collapsed="false">
      <c r="A470" s="14" t="s">
        <v>1349</v>
      </c>
      <c r="B470" s="14" t="n">
        <v>0</v>
      </c>
      <c r="C470" s="14" t="n">
        <v>8</v>
      </c>
      <c r="D470" s="42" t="n">
        <v>0</v>
      </c>
      <c r="E470" s="41" t="n">
        <v>27.88</v>
      </c>
      <c r="F470" s="5" t="str">
        <f aca="false">IF(AND(E470&gt;=5,E470&lt;=20,C470&gt;=80,B470&lt;=1),"Opportunity (pos 5-20, 80+ impr, 0-1 click)","")</f>
        <v/>
      </c>
    </row>
    <row r="471" customFormat="false" ht="15" hidden="false" customHeight="false" outlineLevel="0" collapsed="false">
      <c r="A471" s="14" t="s">
        <v>1350</v>
      </c>
      <c r="B471" s="14" t="n">
        <v>0</v>
      </c>
      <c r="C471" s="14" t="n">
        <v>8</v>
      </c>
      <c r="D471" s="42" t="n">
        <v>0</v>
      </c>
      <c r="E471" s="41" t="n">
        <v>27.88</v>
      </c>
      <c r="F471" s="5" t="str">
        <f aca="false">IF(AND(E471&gt;=5,E471&lt;=20,C471&gt;=80,B471&lt;=1),"Opportunity (pos 5-20, 80+ impr, 0-1 click)","")</f>
        <v/>
      </c>
    </row>
    <row r="472" customFormat="false" ht="15" hidden="false" customHeight="false" outlineLevel="0" collapsed="false">
      <c r="A472" s="14" t="s">
        <v>1351</v>
      </c>
      <c r="B472" s="14" t="n">
        <v>0</v>
      </c>
      <c r="C472" s="14" t="n">
        <v>8</v>
      </c>
      <c r="D472" s="42" t="n">
        <v>0</v>
      </c>
      <c r="E472" s="41" t="n">
        <v>28.5</v>
      </c>
      <c r="F472" s="5" t="str">
        <f aca="false">IF(AND(E472&gt;=5,E472&lt;=20,C472&gt;=80,B472&lt;=1),"Opportunity (pos 5-20, 80+ impr, 0-1 click)","")</f>
        <v/>
      </c>
    </row>
    <row r="473" customFormat="false" ht="15" hidden="false" customHeight="false" outlineLevel="0" collapsed="false">
      <c r="A473" s="14" t="s">
        <v>1352</v>
      </c>
      <c r="B473" s="14" t="n">
        <v>0</v>
      </c>
      <c r="C473" s="14" t="n">
        <v>8</v>
      </c>
      <c r="D473" s="42" t="n">
        <v>0</v>
      </c>
      <c r="E473" s="41" t="n">
        <v>28.75</v>
      </c>
      <c r="F473" s="5" t="str">
        <f aca="false">IF(AND(E473&gt;=5,E473&lt;=20,C473&gt;=80,B473&lt;=1),"Opportunity (pos 5-20, 80+ impr, 0-1 click)","")</f>
        <v/>
      </c>
    </row>
    <row r="474" customFormat="false" ht="15" hidden="false" customHeight="false" outlineLevel="0" collapsed="false">
      <c r="A474" s="14" t="s">
        <v>1353</v>
      </c>
      <c r="B474" s="14" t="n">
        <v>0</v>
      </c>
      <c r="C474" s="14" t="n">
        <v>8</v>
      </c>
      <c r="D474" s="42" t="n">
        <v>0</v>
      </c>
      <c r="E474" s="41" t="n">
        <v>29</v>
      </c>
      <c r="F474" s="5" t="str">
        <f aca="false">IF(AND(E474&gt;=5,E474&lt;=20,C474&gt;=80,B474&lt;=1),"Opportunity (pos 5-20, 80+ impr, 0-1 click)","")</f>
        <v/>
      </c>
    </row>
    <row r="475" customFormat="false" ht="15" hidden="false" customHeight="false" outlineLevel="0" collapsed="false">
      <c r="A475" s="14" t="s">
        <v>1354</v>
      </c>
      <c r="B475" s="14" t="n">
        <v>0</v>
      </c>
      <c r="C475" s="14" t="n">
        <v>8</v>
      </c>
      <c r="D475" s="42" t="n">
        <v>0</v>
      </c>
      <c r="E475" s="41" t="n">
        <v>29.62</v>
      </c>
      <c r="F475" s="5" t="str">
        <f aca="false">IF(AND(E475&gt;=5,E475&lt;=20,C475&gt;=80,B475&lt;=1),"Opportunity (pos 5-20, 80+ impr, 0-1 click)","")</f>
        <v/>
      </c>
    </row>
    <row r="476" customFormat="false" ht="15" hidden="false" customHeight="false" outlineLevel="0" collapsed="false">
      <c r="A476" s="14" t="s">
        <v>1355</v>
      </c>
      <c r="B476" s="14" t="n">
        <v>0</v>
      </c>
      <c r="C476" s="14" t="n">
        <v>8</v>
      </c>
      <c r="D476" s="42" t="n">
        <v>0</v>
      </c>
      <c r="E476" s="41" t="n">
        <v>30</v>
      </c>
      <c r="F476" s="5" t="str">
        <f aca="false">IF(AND(E476&gt;=5,E476&lt;=20,C476&gt;=80,B476&lt;=1),"Opportunity (pos 5-20, 80+ impr, 0-1 click)","")</f>
        <v/>
      </c>
    </row>
    <row r="477" customFormat="false" ht="15" hidden="false" customHeight="false" outlineLevel="0" collapsed="false">
      <c r="A477" s="14" t="s">
        <v>1356</v>
      </c>
      <c r="B477" s="14" t="n">
        <v>0</v>
      </c>
      <c r="C477" s="14" t="n">
        <v>8</v>
      </c>
      <c r="D477" s="42" t="n">
        <v>0</v>
      </c>
      <c r="E477" s="41" t="n">
        <v>31</v>
      </c>
      <c r="F477" s="5" t="str">
        <f aca="false">IF(AND(E477&gt;=5,E477&lt;=20,C477&gt;=80,B477&lt;=1),"Opportunity (pos 5-20, 80+ impr, 0-1 click)","")</f>
        <v/>
      </c>
    </row>
    <row r="478" customFormat="false" ht="15" hidden="false" customHeight="false" outlineLevel="0" collapsed="false">
      <c r="A478" s="14" t="s">
        <v>1357</v>
      </c>
      <c r="B478" s="14" t="n">
        <v>0</v>
      </c>
      <c r="C478" s="14" t="n">
        <v>8</v>
      </c>
      <c r="D478" s="42" t="n">
        <v>0</v>
      </c>
      <c r="E478" s="41" t="n">
        <v>31.12</v>
      </c>
      <c r="F478" s="5" t="str">
        <f aca="false">IF(AND(E478&gt;=5,E478&lt;=20,C478&gt;=80,B478&lt;=1),"Opportunity (pos 5-20, 80+ impr, 0-1 click)","")</f>
        <v/>
      </c>
    </row>
    <row r="479" customFormat="false" ht="15" hidden="false" customHeight="false" outlineLevel="0" collapsed="false">
      <c r="A479" s="14" t="s">
        <v>1358</v>
      </c>
      <c r="B479" s="14" t="n">
        <v>0</v>
      </c>
      <c r="C479" s="14" t="n">
        <v>8</v>
      </c>
      <c r="D479" s="42" t="n">
        <v>0</v>
      </c>
      <c r="E479" s="41" t="n">
        <v>31.62</v>
      </c>
      <c r="F479" s="5" t="str">
        <f aca="false">IF(AND(E479&gt;=5,E479&lt;=20,C479&gt;=80,B479&lt;=1),"Opportunity (pos 5-20, 80+ impr, 0-1 click)","")</f>
        <v/>
      </c>
    </row>
    <row r="480" customFormat="false" ht="15" hidden="false" customHeight="false" outlineLevel="0" collapsed="false">
      <c r="A480" s="14" t="s">
        <v>1359</v>
      </c>
      <c r="B480" s="14" t="n">
        <v>0</v>
      </c>
      <c r="C480" s="14" t="n">
        <v>8</v>
      </c>
      <c r="D480" s="42" t="n">
        <v>0</v>
      </c>
      <c r="E480" s="41" t="n">
        <v>31.75</v>
      </c>
      <c r="F480" s="5" t="str">
        <f aca="false">IF(AND(E480&gt;=5,E480&lt;=20,C480&gt;=80,B480&lt;=1),"Opportunity (pos 5-20, 80+ impr, 0-1 click)","")</f>
        <v/>
      </c>
    </row>
    <row r="481" customFormat="false" ht="15" hidden="false" customHeight="false" outlineLevel="0" collapsed="false">
      <c r="A481" s="14" t="s">
        <v>1360</v>
      </c>
      <c r="B481" s="14" t="n">
        <v>0</v>
      </c>
      <c r="C481" s="14" t="n">
        <v>8</v>
      </c>
      <c r="D481" s="42" t="n">
        <v>0</v>
      </c>
      <c r="E481" s="41" t="n">
        <v>32.12</v>
      </c>
      <c r="F481" s="5" t="str">
        <f aca="false">IF(AND(E481&gt;=5,E481&lt;=20,C481&gt;=80,B481&lt;=1),"Opportunity (pos 5-20, 80+ impr, 0-1 click)","")</f>
        <v/>
      </c>
    </row>
    <row r="482" customFormat="false" ht="15" hidden="false" customHeight="false" outlineLevel="0" collapsed="false">
      <c r="A482" s="14" t="s">
        <v>1361</v>
      </c>
      <c r="B482" s="14" t="n">
        <v>0</v>
      </c>
      <c r="C482" s="14" t="n">
        <v>8</v>
      </c>
      <c r="D482" s="42" t="n">
        <v>0</v>
      </c>
      <c r="E482" s="41" t="n">
        <v>32.62</v>
      </c>
      <c r="F482" s="5" t="str">
        <f aca="false">IF(AND(E482&gt;=5,E482&lt;=20,C482&gt;=80,B482&lt;=1),"Opportunity (pos 5-20, 80+ impr, 0-1 click)","")</f>
        <v/>
      </c>
    </row>
    <row r="483" customFormat="false" ht="15" hidden="false" customHeight="false" outlineLevel="0" collapsed="false">
      <c r="A483" s="14" t="s">
        <v>1362</v>
      </c>
      <c r="B483" s="14" t="n">
        <v>0</v>
      </c>
      <c r="C483" s="14" t="n">
        <v>8</v>
      </c>
      <c r="D483" s="42" t="n">
        <v>0</v>
      </c>
      <c r="E483" s="41" t="n">
        <v>32.62</v>
      </c>
      <c r="F483" s="5" t="str">
        <f aca="false">IF(AND(E483&gt;=5,E483&lt;=20,C483&gt;=80,B483&lt;=1),"Opportunity (pos 5-20, 80+ impr, 0-1 click)","")</f>
        <v/>
      </c>
    </row>
    <row r="484" customFormat="false" ht="15" hidden="false" customHeight="false" outlineLevel="0" collapsed="false">
      <c r="A484" s="14" t="s">
        <v>1363</v>
      </c>
      <c r="B484" s="14" t="n">
        <v>0</v>
      </c>
      <c r="C484" s="14" t="n">
        <v>8</v>
      </c>
      <c r="D484" s="42" t="n">
        <v>0</v>
      </c>
      <c r="E484" s="41" t="n">
        <v>34.75</v>
      </c>
      <c r="F484" s="5" t="str">
        <f aca="false">IF(AND(E484&gt;=5,E484&lt;=20,C484&gt;=80,B484&lt;=1),"Opportunity (pos 5-20, 80+ impr, 0-1 click)","")</f>
        <v/>
      </c>
    </row>
    <row r="485" customFormat="false" ht="15" hidden="false" customHeight="false" outlineLevel="0" collapsed="false">
      <c r="A485" s="14" t="s">
        <v>1364</v>
      </c>
      <c r="B485" s="14" t="n">
        <v>0</v>
      </c>
      <c r="C485" s="14" t="n">
        <v>8</v>
      </c>
      <c r="D485" s="42" t="n">
        <v>0</v>
      </c>
      <c r="E485" s="41" t="n">
        <v>35.25</v>
      </c>
      <c r="F485" s="5" t="str">
        <f aca="false">IF(AND(E485&gt;=5,E485&lt;=20,C485&gt;=80,B485&lt;=1),"Opportunity (pos 5-20, 80+ impr, 0-1 click)","")</f>
        <v/>
      </c>
    </row>
    <row r="486" customFormat="false" ht="15" hidden="false" customHeight="false" outlineLevel="0" collapsed="false">
      <c r="A486" s="14" t="s">
        <v>1365</v>
      </c>
      <c r="B486" s="14" t="n">
        <v>0</v>
      </c>
      <c r="C486" s="14" t="n">
        <v>8</v>
      </c>
      <c r="D486" s="42" t="n">
        <v>0</v>
      </c>
      <c r="E486" s="41" t="n">
        <v>37.25</v>
      </c>
      <c r="F486" s="5" t="str">
        <f aca="false">IF(AND(E486&gt;=5,E486&lt;=20,C486&gt;=80,B486&lt;=1),"Opportunity (pos 5-20, 80+ impr, 0-1 click)","")</f>
        <v/>
      </c>
    </row>
    <row r="487" customFormat="false" ht="15" hidden="false" customHeight="false" outlineLevel="0" collapsed="false">
      <c r="A487" s="14" t="s">
        <v>1366</v>
      </c>
      <c r="B487" s="14" t="n">
        <v>0</v>
      </c>
      <c r="C487" s="14" t="n">
        <v>8</v>
      </c>
      <c r="D487" s="42" t="n">
        <v>0</v>
      </c>
      <c r="E487" s="41" t="n">
        <v>37.38</v>
      </c>
      <c r="F487" s="5" t="str">
        <f aca="false">IF(AND(E487&gt;=5,E487&lt;=20,C487&gt;=80,B487&lt;=1),"Opportunity (pos 5-20, 80+ impr, 0-1 click)","")</f>
        <v/>
      </c>
    </row>
    <row r="488" customFormat="false" ht="15" hidden="false" customHeight="false" outlineLevel="0" collapsed="false">
      <c r="A488" s="14" t="s">
        <v>1367</v>
      </c>
      <c r="B488" s="14" t="n">
        <v>0</v>
      </c>
      <c r="C488" s="14" t="n">
        <v>8</v>
      </c>
      <c r="D488" s="42" t="n">
        <v>0</v>
      </c>
      <c r="E488" s="41" t="n">
        <v>40.25</v>
      </c>
      <c r="F488" s="5" t="str">
        <f aca="false">IF(AND(E488&gt;=5,E488&lt;=20,C488&gt;=80,B488&lt;=1),"Opportunity (pos 5-20, 80+ impr, 0-1 click)","")</f>
        <v/>
      </c>
    </row>
    <row r="489" customFormat="false" ht="15" hidden="false" customHeight="false" outlineLevel="0" collapsed="false">
      <c r="A489" s="14" t="s">
        <v>1368</v>
      </c>
      <c r="B489" s="14" t="n">
        <v>0</v>
      </c>
      <c r="C489" s="14" t="n">
        <v>8</v>
      </c>
      <c r="D489" s="42" t="n">
        <v>0</v>
      </c>
      <c r="E489" s="41" t="n">
        <v>42.12</v>
      </c>
      <c r="F489" s="5" t="str">
        <f aca="false">IF(AND(E489&gt;=5,E489&lt;=20,C489&gt;=80,B489&lt;=1),"Opportunity (pos 5-20, 80+ impr, 0-1 click)","")</f>
        <v/>
      </c>
    </row>
    <row r="490" customFormat="false" ht="15" hidden="false" customHeight="false" outlineLevel="0" collapsed="false">
      <c r="A490" s="14" t="s">
        <v>1369</v>
      </c>
      <c r="B490" s="14" t="n">
        <v>0</v>
      </c>
      <c r="C490" s="14" t="n">
        <v>8</v>
      </c>
      <c r="D490" s="42" t="n">
        <v>0</v>
      </c>
      <c r="E490" s="41" t="n">
        <v>42.25</v>
      </c>
      <c r="F490" s="5" t="str">
        <f aca="false">IF(AND(E490&gt;=5,E490&lt;=20,C490&gt;=80,B490&lt;=1),"Opportunity (pos 5-20, 80+ impr, 0-1 click)","")</f>
        <v/>
      </c>
    </row>
    <row r="491" customFormat="false" ht="15" hidden="false" customHeight="false" outlineLevel="0" collapsed="false">
      <c r="A491" s="14" t="s">
        <v>1370</v>
      </c>
      <c r="B491" s="14" t="n">
        <v>0</v>
      </c>
      <c r="C491" s="14" t="n">
        <v>8</v>
      </c>
      <c r="D491" s="42" t="n">
        <v>0</v>
      </c>
      <c r="E491" s="41" t="n">
        <v>44.5</v>
      </c>
      <c r="F491" s="5" t="str">
        <f aca="false">IF(AND(E491&gt;=5,E491&lt;=20,C491&gt;=80,B491&lt;=1),"Opportunity (pos 5-20, 80+ impr, 0-1 click)","")</f>
        <v/>
      </c>
    </row>
    <row r="492" customFormat="false" ht="15" hidden="false" customHeight="false" outlineLevel="0" collapsed="false">
      <c r="A492" s="14" t="s">
        <v>1371</v>
      </c>
      <c r="B492" s="14" t="n">
        <v>0</v>
      </c>
      <c r="C492" s="14" t="n">
        <v>8</v>
      </c>
      <c r="D492" s="42" t="n">
        <v>0</v>
      </c>
      <c r="E492" s="41" t="n">
        <v>44.88</v>
      </c>
      <c r="F492" s="5" t="str">
        <f aca="false">IF(AND(E492&gt;=5,E492&lt;=20,C492&gt;=80,B492&lt;=1),"Opportunity (pos 5-20, 80+ impr, 0-1 click)","")</f>
        <v/>
      </c>
    </row>
    <row r="493" customFormat="false" ht="15" hidden="false" customHeight="false" outlineLevel="0" collapsed="false">
      <c r="A493" s="14" t="s">
        <v>1372</v>
      </c>
      <c r="B493" s="14" t="n">
        <v>0</v>
      </c>
      <c r="C493" s="14" t="n">
        <v>8</v>
      </c>
      <c r="D493" s="42" t="n">
        <v>0</v>
      </c>
      <c r="E493" s="41" t="n">
        <v>45.75</v>
      </c>
      <c r="F493" s="5" t="str">
        <f aca="false">IF(AND(E493&gt;=5,E493&lt;=20,C493&gt;=80,B493&lt;=1),"Opportunity (pos 5-20, 80+ impr, 0-1 click)","")</f>
        <v/>
      </c>
    </row>
    <row r="494" customFormat="false" ht="15" hidden="false" customHeight="false" outlineLevel="0" collapsed="false">
      <c r="A494" s="14" t="s">
        <v>1373</v>
      </c>
      <c r="B494" s="14" t="n">
        <v>0</v>
      </c>
      <c r="C494" s="14" t="n">
        <v>8</v>
      </c>
      <c r="D494" s="42" t="n">
        <v>0</v>
      </c>
      <c r="E494" s="41" t="n">
        <v>46.25</v>
      </c>
      <c r="F494" s="5" t="str">
        <f aca="false">IF(AND(E494&gt;=5,E494&lt;=20,C494&gt;=80,B494&lt;=1),"Opportunity (pos 5-20, 80+ impr, 0-1 click)","")</f>
        <v/>
      </c>
    </row>
    <row r="495" customFormat="false" ht="15" hidden="false" customHeight="false" outlineLevel="0" collapsed="false">
      <c r="A495" s="14" t="s">
        <v>1374</v>
      </c>
      <c r="B495" s="14" t="n">
        <v>0</v>
      </c>
      <c r="C495" s="14" t="n">
        <v>8</v>
      </c>
      <c r="D495" s="42" t="n">
        <v>0</v>
      </c>
      <c r="E495" s="41" t="n">
        <v>52.5</v>
      </c>
      <c r="F495" s="5" t="str">
        <f aca="false">IF(AND(E495&gt;=5,E495&lt;=20,C495&gt;=80,B495&lt;=1),"Opportunity (pos 5-20, 80+ impr, 0-1 click)","")</f>
        <v/>
      </c>
    </row>
    <row r="496" customFormat="false" ht="15" hidden="false" customHeight="false" outlineLevel="0" collapsed="false">
      <c r="A496" s="14" t="s">
        <v>1375</v>
      </c>
      <c r="B496" s="14" t="n">
        <v>0</v>
      </c>
      <c r="C496" s="14" t="n">
        <v>8</v>
      </c>
      <c r="D496" s="42" t="n">
        <v>0</v>
      </c>
      <c r="E496" s="41" t="n">
        <v>63.38</v>
      </c>
      <c r="F496" s="5" t="str">
        <f aca="false">IF(AND(E496&gt;=5,E496&lt;=20,C496&gt;=80,B496&lt;=1),"Opportunity (pos 5-20, 80+ impr, 0-1 click)","")</f>
        <v/>
      </c>
    </row>
    <row r="497" customFormat="false" ht="15" hidden="false" customHeight="false" outlineLevel="0" collapsed="false">
      <c r="A497" s="14" t="s">
        <v>1376</v>
      </c>
      <c r="B497" s="14" t="n">
        <v>0</v>
      </c>
      <c r="C497" s="14" t="n">
        <v>8</v>
      </c>
      <c r="D497" s="42" t="n">
        <v>0</v>
      </c>
      <c r="E497" s="41" t="n">
        <v>67.25</v>
      </c>
      <c r="F497" s="5" t="str">
        <f aca="false">IF(AND(E497&gt;=5,E497&lt;=20,C497&gt;=80,B497&lt;=1),"Opportunity (pos 5-20, 80+ impr, 0-1 click)","")</f>
        <v/>
      </c>
    </row>
    <row r="498" customFormat="false" ht="15" hidden="false" customHeight="false" outlineLevel="0" collapsed="false">
      <c r="A498" s="14" t="s">
        <v>1377</v>
      </c>
      <c r="B498" s="14" t="n">
        <v>0</v>
      </c>
      <c r="C498" s="14" t="n">
        <v>7</v>
      </c>
      <c r="D498" s="42" t="n">
        <v>0</v>
      </c>
      <c r="E498" s="41" t="n">
        <v>3.43</v>
      </c>
      <c r="F498" s="5" t="str">
        <f aca="false">IF(AND(E498&gt;=5,E498&lt;=20,C498&gt;=80,B498&lt;=1),"Opportunity (pos 5-20, 80+ impr, 0-1 click)","")</f>
        <v/>
      </c>
    </row>
    <row r="499" customFormat="false" ht="15" hidden="false" customHeight="false" outlineLevel="0" collapsed="false">
      <c r="A499" s="14" t="s">
        <v>1378</v>
      </c>
      <c r="B499" s="14" t="n">
        <v>0</v>
      </c>
      <c r="C499" s="14" t="n">
        <v>7</v>
      </c>
      <c r="D499" s="42" t="n">
        <v>0</v>
      </c>
      <c r="E499" s="41" t="n">
        <v>6.57</v>
      </c>
      <c r="F499" s="5" t="str">
        <f aca="false">IF(AND(E499&gt;=5,E499&lt;=20,C499&gt;=80,B499&lt;=1),"Opportunity (pos 5-20, 80+ impr, 0-1 click)","")</f>
        <v/>
      </c>
    </row>
    <row r="500" customFormat="false" ht="15" hidden="false" customHeight="false" outlineLevel="0" collapsed="false">
      <c r="A500" s="14" t="s">
        <v>1379</v>
      </c>
      <c r="B500" s="14" t="n">
        <v>0</v>
      </c>
      <c r="C500" s="14" t="n">
        <v>7</v>
      </c>
      <c r="D500" s="42" t="n">
        <v>0</v>
      </c>
      <c r="E500" s="41" t="n">
        <v>7</v>
      </c>
      <c r="F500" s="5" t="str">
        <f aca="false">IF(AND(E500&gt;=5,E500&lt;=20,C500&gt;=80,B500&lt;=1),"Opportunity (pos 5-20, 80+ impr, 0-1 click)","")</f>
        <v/>
      </c>
    </row>
    <row r="501" customFormat="false" ht="15" hidden="false" customHeight="false" outlineLevel="0" collapsed="false">
      <c r="A501" s="14" t="s">
        <v>1380</v>
      </c>
      <c r="B501" s="14" t="n">
        <v>0</v>
      </c>
      <c r="C501" s="14" t="n">
        <v>7</v>
      </c>
      <c r="D501" s="42" t="n">
        <v>0</v>
      </c>
      <c r="E501" s="41" t="n">
        <v>7.57</v>
      </c>
      <c r="F501" s="5" t="str">
        <f aca="false">IF(AND(E501&gt;=5,E501&lt;=20,C501&gt;=80,B501&lt;=1),"Opportunity (pos 5-20, 80+ impr, 0-1 click)","")</f>
        <v/>
      </c>
    </row>
    <row r="502" customFormat="false" ht="15" hidden="false" customHeight="false" outlineLevel="0" collapsed="false">
      <c r="A502" s="14" t="s">
        <v>1381</v>
      </c>
      <c r="B502" s="14" t="n">
        <v>0</v>
      </c>
      <c r="C502" s="14" t="n">
        <v>7</v>
      </c>
      <c r="D502" s="42" t="n">
        <v>0</v>
      </c>
      <c r="E502" s="41" t="n">
        <v>8.14</v>
      </c>
      <c r="F502" s="5" t="str">
        <f aca="false">IF(AND(E502&gt;=5,E502&lt;=20,C502&gt;=80,B502&lt;=1),"Opportunity (pos 5-20, 80+ impr, 0-1 click)","")</f>
        <v/>
      </c>
    </row>
    <row r="503" customFormat="false" ht="15" hidden="false" customHeight="false" outlineLevel="0" collapsed="false">
      <c r="A503" s="14" t="s">
        <v>1382</v>
      </c>
      <c r="B503" s="14" t="n">
        <v>0</v>
      </c>
      <c r="C503" s="14" t="n">
        <v>7</v>
      </c>
      <c r="D503" s="42" t="n">
        <v>0</v>
      </c>
      <c r="E503" s="41" t="n">
        <v>9.43</v>
      </c>
      <c r="F503" s="5" t="str">
        <f aca="false">IF(AND(E503&gt;=5,E503&lt;=20,C503&gt;=80,B503&lt;=1),"Opportunity (pos 5-20, 80+ impr, 0-1 click)","")</f>
        <v/>
      </c>
    </row>
    <row r="504" customFormat="false" ht="15" hidden="false" customHeight="false" outlineLevel="0" collapsed="false">
      <c r="A504" s="14" t="s">
        <v>1383</v>
      </c>
      <c r="B504" s="14" t="n">
        <v>0</v>
      </c>
      <c r="C504" s="14" t="n">
        <v>7</v>
      </c>
      <c r="D504" s="42" t="n">
        <v>0</v>
      </c>
      <c r="E504" s="41" t="n">
        <v>9.57</v>
      </c>
      <c r="F504" s="5" t="str">
        <f aca="false">IF(AND(E504&gt;=5,E504&lt;=20,C504&gt;=80,B504&lt;=1),"Opportunity (pos 5-20, 80+ impr, 0-1 click)","")</f>
        <v/>
      </c>
    </row>
    <row r="505" customFormat="false" ht="15" hidden="false" customHeight="false" outlineLevel="0" collapsed="false">
      <c r="A505" s="14" t="s">
        <v>1384</v>
      </c>
      <c r="B505" s="14" t="n">
        <v>0</v>
      </c>
      <c r="C505" s="14" t="n">
        <v>7</v>
      </c>
      <c r="D505" s="42" t="n">
        <v>0</v>
      </c>
      <c r="E505" s="41" t="n">
        <v>9.86</v>
      </c>
      <c r="F505" s="5" t="str">
        <f aca="false">IF(AND(E505&gt;=5,E505&lt;=20,C505&gt;=80,B505&lt;=1),"Opportunity (pos 5-20, 80+ impr, 0-1 click)","")</f>
        <v/>
      </c>
    </row>
    <row r="506" customFormat="false" ht="15" hidden="false" customHeight="false" outlineLevel="0" collapsed="false">
      <c r="A506" s="14" t="s">
        <v>1385</v>
      </c>
      <c r="B506" s="14" t="n">
        <v>0</v>
      </c>
      <c r="C506" s="14" t="n">
        <v>7</v>
      </c>
      <c r="D506" s="42" t="n">
        <v>0</v>
      </c>
      <c r="E506" s="41" t="n">
        <v>10</v>
      </c>
      <c r="F506" s="5" t="str">
        <f aca="false">IF(AND(E506&gt;=5,E506&lt;=20,C506&gt;=80,B506&lt;=1),"Opportunity (pos 5-20, 80+ impr, 0-1 click)","")</f>
        <v/>
      </c>
    </row>
    <row r="507" customFormat="false" ht="15" hidden="false" customHeight="false" outlineLevel="0" collapsed="false">
      <c r="A507" s="14" t="s">
        <v>1386</v>
      </c>
      <c r="B507" s="14" t="n">
        <v>0</v>
      </c>
      <c r="C507" s="14" t="n">
        <v>7</v>
      </c>
      <c r="D507" s="42" t="n">
        <v>0</v>
      </c>
      <c r="E507" s="41" t="n">
        <v>10</v>
      </c>
      <c r="F507" s="5" t="str">
        <f aca="false">IF(AND(E507&gt;=5,E507&lt;=20,C507&gt;=80,B507&lt;=1),"Opportunity (pos 5-20, 80+ impr, 0-1 click)","")</f>
        <v/>
      </c>
    </row>
    <row r="508" customFormat="false" ht="15" hidden="false" customHeight="false" outlineLevel="0" collapsed="false">
      <c r="A508" s="14" t="s">
        <v>1387</v>
      </c>
      <c r="B508" s="14" t="n">
        <v>0</v>
      </c>
      <c r="C508" s="14" t="n">
        <v>7</v>
      </c>
      <c r="D508" s="42" t="n">
        <v>0</v>
      </c>
      <c r="E508" s="41" t="n">
        <v>10</v>
      </c>
      <c r="F508" s="5" t="str">
        <f aca="false">IF(AND(E508&gt;=5,E508&lt;=20,C508&gt;=80,B508&lt;=1),"Opportunity (pos 5-20, 80+ impr, 0-1 click)","")</f>
        <v/>
      </c>
    </row>
    <row r="509" customFormat="false" ht="15" hidden="false" customHeight="false" outlineLevel="0" collapsed="false">
      <c r="A509" s="14" t="s">
        <v>1388</v>
      </c>
      <c r="B509" s="14" t="n">
        <v>0</v>
      </c>
      <c r="C509" s="14" t="n">
        <v>7</v>
      </c>
      <c r="D509" s="42" t="n">
        <v>0</v>
      </c>
      <c r="E509" s="41" t="n">
        <v>11.14</v>
      </c>
      <c r="F509" s="5" t="str">
        <f aca="false">IF(AND(E509&gt;=5,E509&lt;=20,C509&gt;=80,B509&lt;=1),"Opportunity (pos 5-20, 80+ impr, 0-1 click)","")</f>
        <v/>
      </c>
    </row>
    <row r="510" customFormat="false" ht="15" hidden="false" customHeight="false" outlineLevel="0" collapsed="false">
      <c r="A510" s="14" t="s">
        <v>1389</v>
      </c>
      <c r="B510" s="14" t="n">
        <v>0</v>
      </c>
      <c r="C510" s="14" t="n">
        <v>7</v>
      </c>
      <c r="D510" s="42" t="n">
        <v>0</v>
      </c>
      <c r="E510" s="41" t="n">
        <v>11.29</v>
      </c>
      <c r="F510" s="5" t="str">
        <f aca="false">IF(AND(E510&gt;=5,E510&lt;=20,C510&gt;=80,B510&lt;=1),"Opportunity (pos 5-20, 80+ impr, 0-1 click)","")</f>
        <v/>
      </c>
    </row>
    <row r="511" customFormat="false" ht="15" hidden="false" customHeight="false" outlineLevel="0" collapsed="false">
      <c r="A511" s="14" t="s">
        <v>1390</v>
      </c>
      <c r="B511" s="14" t="n">
        <v>0</v>
      </c>
      <c r="C511" s="14" t="n">
        <v>7</v>
      </c>
      <c r="D511" s="42" t="n">
        <v>0</v>
      </c>
      <c r="E511" s="41" t="n">
        <v>11.29</v>
      </c>
      <c r="F511" s="5" t="str">
        <f aca="false">IF(AND(E511&gt;=5,E511&lt;=20,C511&gt;=80,B511&lt;=1),"Opportunity (pos 5-20, 80+ impr, 0-1 click)","")</f>
        <v/>
      </c>
    </row>
    <row r="512" customFormat="false" ht="15" hidden="false" customHeight="false" outlineLevel="0" collapsed="false">
      <c r="A512" s="14" t="s">
        <v>1391</v>
      </c>
      <c r="B512" s="14" t="n">
        <v>0</v>
      </c>
      <c r="C512" s="14" t="n">
        <v>7</v>
      </c>
      <c r="D512" s="42" t="n">
        <v>0</v>
      </c>
      <c r="E512" s="41" t="n">
        <v>11.29</v>
      </c>
      <c r="F512" s="5" t="str">
        <f aca="false">IF(AND(E512&gt;=5,E512&lt;=20,C512&gt;=80,B512&lt;=1),"Opportunity (pos 5-20, 80+ impr, 0-1 click)","")</f>
        <v/>
      </c>
    </row>
    <row r="513" customFormat="false" ht="15" hidden="false" customHeight="false" outlineLevel="0" collapsed="false">
      <c r="A513" s="14" t="s">
        <v>1392</v>
      </c>
      <c r="B513" s="14" t="n">
        <v>0</v>
      </c>
      <c r="C513" s="14" t="n">
        <v>7</v>
      </c>
      <c r="D513" s="42" t="n">
        <v>0</v>
      </c>
      <c r="E513" s="41" t="n">
        <v>11.29</v>
      </c>
      <c r="F513" s="5" t="str">
        <f aca="false">IF(AND(E513&gt;=5,E513&lt;=20,C513&gt;=80,B513&lt;=1),"Opportunity (pos 5-20, 80+ impr, 0-1 click)","")</f>
        <v/>
      </c>
    </row>
    <row r="514" customFormat="false" ht="15" hidden="false" customHeight="false" outlineLevel="0" collapsed="false">
      <c r="A514" s="14" t="s">
        <v>1393</v>
      </c>
      <c r="B514" s="14" t="n">
        <v>0</v>
      </c>
      <c r="C514" s="14" t="n">
        <v>7</v>
      </c>
      <c r="D514" s="42" t="n">
        <v>0</v>
      </c>
      <c r="E514" s="41" t="n">
        <v>11.86</v>
      </c>
      <c r="F514" s="5" t="str">
        <f aca="false">IF(AND(E514&gt;=5,E514&lt;=20,C514&gt;=80,B514&lt;=1),"Opportunity (pos 5-20, 80+ impr, 0-1 click)","")</f>
        <v/>
      </c>
    </row>
    <row r="515" customFormat="false" ht="15" hidden="false" customHeight="false" outlineLevel="0" collapsed="false">
      <c r="A515" s="14" t="s">
        <v>1394</v>
      </c>
      <c r="B515" s="14" t="n">
        <v>0</v>
      </c>
      <c r="C515" s="14" t="n">
        <v>7</v>
      </c>
      <c r="D515" s="42" t="n">
        <v>0</v>
      </c>
      <c r="E515" s="41" t="n">
        <v>12.29</v>
      </c>
      <c r="F515" s="5" t="str">
        <f aca="false">IF(AND(E515&gt;=5,E515&lt;=20,C515&gt;=80,B515&lt;=1),"Opportunity (pos 5-20, 80+ impr, 0-1 click)","")</f>
        <v/>
      </c>
    </row>
    <row r="516" customFormat="false" ht="15" hidden="false" customHeight="false" outlineLevel="0" collapsed="false">
      <c r="A516" s="14" t="s">
        <v>1395</v>
      </c>
      <c r="B516" s="14" t="n">
        <v>0</v>
      </c>
      <c r="C516" s="14" t="n">
        <v>7</v>
      </c>
      <c r="D516" s="42" t="n">
        <v>0</v>
      </c>
      <c r="E516" s="41" t="n">
        <v>12.86</v>
      </c>
      <c r="F516" s="5" t="str">
        <f aca="false">IF(AND(E516&gt;=5,E516&lt;=20,C516&gt;=80,B516&lt;=1),"Opportunity (pos 5-20, 80+ impr, 0-1 click)","")</f>
        <v/>
      </c>
    </row>
    <row r="517" customFormat="false" ht="15" hidden="false" customHeight="false" outlineLevel="0" collapsed="false">
      <c r="A517" s="14" t="s">
        <v>1396</v>
      </c>
      <c r="B517" s="14" t="n">
        <v>0</v>
      </c>
      <c r="C517" s="14" t="n">
        <v>7</v>
      </c>
      <c r="D517" s="42" t="n">
        <v>0</v>
      </c>
      <c r="E517" s="41" t="n">
        <v>13.14</v>
      </c>
      <c r="F517" s="5" t="str">
        <f aca="false">IF(AND(E517&gt;=5,E517&lt;=20,C517&gt;=80,B517&lt;=1),"Opportunity (pos 5-20, 80+ impr, 0-1 click)","")</f>
        <v/>
      </c>
    </row>
    <row r="518" customFormat="false" ht="15" hidden="false" customHeight="false" outlineLevel="0" collapsed="false">
      <c r="A518" s="14" t="s">
        <v>1397</v>
      </c>
      <c r="B518" s="14" t="n">
        <v>0</v>
      </c>
      <c r="C518" s="14" t="n">
        <v>7</v>
      </c>
      <c r="D518" s="42" t="n">
        <v>0</v>
      </c>
      <c r="E518" s="41" t="n">
        <v>13.29</v>
      </c>
      <c r="F518" s="5" t="str">
        <f aca="false">IF(AND(E518&gt;=5,E518&lt;=20,C518&gt;=80,B518&lt;=1),"Opportunity (pos 5-20, 80+ impr, 0-1 click)","")</f>
        <v/>
      </c>
    </row>
    <row r="519" customFormat="false" ht="15" hidden="false" customHeight="false" outlineLevel="0" collapsed="false">
      <c r="A519" s="14" t="s">
        <v>1398</v>
      </c>
      <c r="B519" s="14" t="n">
        <v>0</v>
      </c>
      <c r="C519" s="14" t="n">
        <v>7</v>
      </c>
      <c r="D519" s="42" t="n">
        <v>0</v>
      </c>
      <c r="E519" s="41" t="n">
        <v>13.43</v>
      </c>
      <c r="F519" s="5" t="str">
        <f aca="false">IF(AND(E519&gt;=5,E519&lt;=20,C519&gt;=80,B519&lt;=1),"Opportunity (pos 5-20, 80+ impr, 0-1 click)","")</f>
        <v/>
      </c>
    </row>
    <row r="520" customFormat="false" ht="15" hidden="false" customHeight="false" outlineLevel="0" collapsed="false">
      <c r="A520" s="14" t="s">
        <v>1399</v>
      </c>
      <c r="B520" s="14" t="n">
        <v>0</v>
      </c>
      <c r="C520" s="14" t="n">
        <v>7</v>
      </c>
      <c r="D520" s="42" t="n">
        <v>0</v>
      </c>
      <c r="E520" s="41" t="n">
        <v>14.14</v>
      </c>
      <c r="F520" s="5" t="str">
        <f aca="false">IF(AND(E520&gt;=5,E520&lt;=20,C520&gt;=80,B520&lt;=1),"Opportunity (pos 5-20, 80+ impr, 0-1 click)","")</f>
        <v/>
      </c>
    </row>
    <row r="521" customFormat="false" ht="15" hidden="false" customHeight="false" outlineLevel="0" collapsed="false">
      <c r="A521" s="14" t="s">
        <v>1400</v>
      </c>
      <c r="B521" s="14" t="n">
        <v>0</v>
      </c>
      <c r="C521" s="14" t="n">
        <v>7</v>
      </c>
      <c r="D521" s="42" t="n">
        <v>0</v>
      </c>
      <c r="E521" s="41" t="n">
        <v>14.29</v>
      </c>
      <c r="F521" s="5" t="str">
        <f aca="false">IF(AND(E521&gt;=5,E521&lt;=20,C521&gt;=80,B521&lt;=1),"Opportunity (pos 5-20, 80+ impr, 0-1 click)","")</f>
        <v/>
      </c>
    </row>
    <row r="522" customFormat="false" ht="15" hidden="false" customHeight="false" outlineLevel="0" collapsed="false">
      <c r="A522" s="14" t="s">
        <v>1401</v>
      </c>
      <c r="B522" s="14" t="n">
        <v>0</v>
      </c>
      <c r="C522" s="14" t="n">
        <v>7</v>
      </c>
      <c r="D522" s="42" t="n">
        <v>0</v>
      </c>
      <c r="E522" s="41" t="n">
        <v>15</v>
      </c>
      <c r="F522" s="5" t="str">
        <f aca="false">IF(AND(E522&gt;=5,E522&lt;=20,C522&gt;=80,B522&lt;=1),"Opportunity (pos 5-20, 80+ impr, 0-1 click)","")</f>
        <v/>
      </c>
    </row>
    <row r="523" customFormat="false" ht="15" hidden="false" customHeight="false" outlineLevel="0" collapsed="false">
      <c r="A523" s="14" t="s">
        <v>1402</v>
      </c>
      <c r="B523" s="14" t="n">
        <v>0</v>
      </c>
      <c r="C523" s="14" t="n">
        <v>7</v>
      </c>
      <c r="D523" s="42" t="n">
        <v>0</v>
      </c>
      <c r="E523" s="41" t="n">
        <v>15.43</v>
      </c>
      <c r="F523" s="5" t="str">
        <f aca="false">IF(AND(E523&gt;=5,E523&lt;=20,C523&gt;=80,B523&lt;=1),"Opportunity (pos 5-20, 80+ impr, 0-1 click)","")</f>
        <v/>
      </c>
    </row>
    <row r="524" customFormat="false" ht="15" hidden="false" customHeight="false" outlineLevel="0" collapsed="false">
      <c r="A524" s="14" t="s">
        <v>1403</v>
      </c>
      <c r="B524" s="14" t="n">
        <v>0</v>
      </c>
      <c r="C524" s="14" t="n">
        <v>7</v>
      </c>
      <c r="D524" s="42" t="n">
        <v>0</v>
      </c>
      <c r="E524" s="41" t="n">
        <v>15.43</v>
      </c>
      <c r="F524" s="5" t="str">
        <f aca="false">IF(AND(E524&gt;=5,E524&lt;=20,C524&gt;=80,B524&lt;=1),"Opportunity (pos 5-20, 80+ impr, 0-1 click)","")</f>
        <v/>
      </c>
    </row>
    <row r="525" customFormat="false" ht="15" hidden="false" customHeight="false" outlineLevel="0" collapsed="false">
      <c r="A525" s="14" t="s">
        <v>1404</v>
      </c>
      <c r="B525" s="14" t="n">
        <v>0</v>
      </c>
      <c r="C525" s="14" t="n">
        <v>7</v>
      </c>
      <c r="D525" s="42" t="n">
        <v>0</v>
      </c>
      <c r="E525" s="41" t="n">
        <v>16.71</v>
      </c>
      <c r="F525" s="5" t="str">
        <f aca="false">IF(AND(E525&gt;=5,E525&lt;=20,C525&gt;=80,B525&lt;=1),"Opportunity (pos 5-20, 80+ impr, 0-1 click)","")</f>
        <v/>
      </c>
    </row>
    <row r="526" customFormat="false" ht="15" hidden="false" customHeight="false" outlineLevel="0" collapsed="false">
      <c r="A526" s="14" t="s">
        <v>1405</v>
      </c>
      <c r="B526" s="14" t="n">
        <v>0</v>
      </c>
      <c r="C526" s="14" t="n">
        <v>7</v>
      </c>
      <c r="D526" s="42" t="n">
        <v>0</v>
      </c>
      <c r="E526" s="41" t="n">
        <v>17</v>
      </c>
      <c r="F526" s="5" t="str">
        <f aca="false">IF(AND(E526&gt;=5,E526&lt;=20,C526&gt;=80,B526&lt;=1),"Opportunity (pos 5-20, 80+ impr, 0-1 click)","")</f>
        <v/>
      </c>
    </row>
    <row r="527" customFormat="false" ht="15" hidden="false" customHeight="false" outlineLevel="0" collapsed="false">
      <c r="A527" s="14" t="s">
        <v>1406</v>
      </c>
      <c r="B527" s="14" t="n">
        <v>0</v>
      </c>
      <c r="C527" s="14" t="n">
        <v>7</v>
      </c>
      <c r="D527" s="42" t="n">
        <v>0</v>
      </c>
      <c r="E527" s="41" t="n">
        <v>17.14</v>
      </c>
      <c r="F527" s="5" t="str">
        <f aca="false">IF(AND(E527&gt;=5,E527&lt;=20,C527&gt;=80,B527&lt;=1),"Opportunity (pos 5-20, 80+ impr, 0-1 click)","")</f>
        <v/>
      </c>
    </row>
    <row r="528" customFormat="false" ht="15" hidden="false" customHeight="false" outlineLevel="0" collapsed="false">
      <c r="A528" s="14" t="s">
        <v>1407</v>
      </c>
      <c r="B528" s="14" t="n">
        <v>0</v>
      </c>
      <c r="C528" s="14" t="n">
        <v>7</v>
      </c>
      <c r="D528" s="42" t="n">
        <v>0</v>
      </c>
      <c r="E528" s="41" t="n">
        <v>18.14</v>
      </c>
      <c r="F528" s="5" t="str">
        <f aca="false">IF(AND(E528&gt;=5,E528&lt;=20,C528&gt;=80,B528&lt;=1),"Opportunity (pos 5-20, 80+ impr, 0-1 click)","")</f>
        <v/>
      </c>
    </row>
    <row r="529" customFormat="false" ht="15" hidden="false" customHeight="false" outlineLevel="0" collapsed="false">
      <c r="A529" s="14" t="s">
        <v>1408</v>
      </c>
      <c r="B529" s="14" t="n">
        <v>0</v>
      </c>
      <c r="C529" s="14" t="n">
        <v>7</v>
      </c>
      <c r="D529" s="42" t="n">
        <v>0</v>
      </c>
      <c r="E529" s="41" t="n">
        <v>18.29</v>
      </c>
      <c r="F529" s="5" t="str">
        <f aca="false">IF(AND(E529&gt;=5,E529&lt;=20,C529&gt;=80,B529&lt;=1),"Opportunity (pos 5-20, 80+ impr, 0-1 click)","")</f>
        <v/>
      </c>
    </row>
    <row r="530" customFormat="false" ht="15" hidden="false" customHeight="false" outlineLevel="0" collapsed="false">
      <c r="A530" s="14" t="s">
        <v>1409</v>
      </c>
      <c r="B530" s="14" t="n">
        <v>0</v>
      </c>
      <c r="C530" s="14" t="n">
        <v>7</v>
      </c>
      <c r="D530" s="42" t="n">
        <v>0</v>
      </c>
      <c r="E530" s="41" t="n">
        <v>18.57</v>
      </c>
      <c r="F530" s="5" t="str">
        <f aca="false">IF(AND(E530&gt;=5,E530&lt;=20,C530&gt;=80,B530&lt;=1),"Opportunity (pos 5-20, 80+ impr, 0-1 click)","")</f>
        <v/>
      </c>
    </row>
    <row r="531" customFormat="false" ht="15" hidden="false" customHeight="false" outlineLevel="0" collapsed="false">
      <c r="A531" s="14" t="s">
        <v>1410</v>
      </c>
      <c r="B531" s="14" t="n">
        <v>0</v>
      </c>
      <c r="C531" s="14" t="n">
        <v>7</v>
      </c>
      <c r="D531" s="42" t="n">
        <v>0</v>
      </c>
      <c r="E531" s="41" t="n">
        <v>18.71</v>
      </c>
      <c r="F531" s="5" t="str">
        <f aca="false">IF(AND(E531&gt;=5,E531&lt;=20,C531&gt;=80,B531&lt;=1),"Opportunity (pos 5-20, 80+ impr, 0-1 click)","")</f>
        <v/>
      </c>
    </row>
    <row r="532" customFormat="false" ht="15" hidden="false" customHeight="false" outlineLevel="0" collapsed="false">
      <c r="A532" s="14" t="s">
        <v>1411</v>
      </c>
      <c r="B532" s="14" t="n">
        <v>0</v>
      </c>
      <c r="C532" s="14" t="n">
        <v>7</v>
      </c>
      <c r="D532" s="42" t="n">
        <v>0</v>
      </c>
      <c r="E532" s="41" t="n">
        <v>18.86</v>
      </c>
      <c r="F532" s="5" t="str">
        <f aca="false">IF(AND(E532&gt;=5,E532&lt;=20,C532&gt;=80,B532&lt;=1),"Opportunity (pos 5-20, 80+ impr, 0-1 click)","")</f>
        <v/>
      </c>
    </row>
    <row r="533" customFormat="false" ht="15" hidden="false" customHeight="false" outlineLevel="0" collapsed="false">
      <c r="A533" s="14" t="s">
        <v>1412</v>
      </c>
      <c r="B533" s="14" t="n">
        <v>0</v>
      </c>
      <c r="C533" s="14" t="n">
        <v>7</v>
      </c>
      <c r="D533" s="42" t="n">
        <v>0</v>
      </c>
      <c r="E533" s="41" t="n">
        <v>18.86</v>
      </c>
      <c r="F533" s="5" t="str">
        <f aca="false">IF(AND(E533&gt;=5,E533&lt;=20,C533&gt;=80,B533&lt;=1),"Opportunity (pos 5-20, 80+ impr, 0-1 click)","")</f>
        <v/>
      </c>
    </row>
    <row r="534" customFormat="false" ht="15" hidden="false" customHeight="false" outlineLevel="0" collapsed="false">
      <c r="A534" s="14" t="s">
        <v>1413</v>
      </c>
      <c r="B534" s="14" t="n">
        <v>0</v>
      </c>
      <c r="C534" s="14" t="n">
        <v>7</v>
      </c>
      <c r="D534" s="42" t="n">
        <v>0</v>
      </c>
      <c r="E534" s="41" t="n">
        <v>19.71</v>
      </c>
      <c r="F534" s="5" t="str">
        <f aca="false">IF(AND(E534&gt;=5,E534&lt;=20,C534&gt;=80,B534&lt;=1),"Opportunity (pos 5-20, 80+ impr, 0-1 click)","")</f>
        <v/>
      </c>
    </row>
    <row r="535" customFormat="false" ht="15" hidden="false" customHeight="false" outlineLevel="0" collapsed="false">
      <c r="A535" s="14" t="s">
        <v>1414</v>
      </c>
      <c r="B535" s="14" t="n">
        <v>0</v>
      </c>
      <c r="C535" s="14" t="n">
        <v>7</v>
      </c>
      <c r="D535" s="42" t="n">
        <v>0</v>
      </c>
      <c r="E535" s="41" t="n">
        <v>19.86</v>
      </c>
      <c r="F535" s="5" t="str">
        <f aca="false">IF(AND(E535&gt;=5,E535&lt;=20,C535&gt;=80,B535&lt;=1),"Opportunity (pos 5-20, 80+ impr, 0-1 click)","")</f>
        <v/>
      </c>
    </row>
    <row r="536" customFormat="false" ht="15" hidden="false" customHeight="false" outlineLevel="0" collapsed="false">
      <c r="A536" s="14" t="s">
        <v>1415</v>
      </c>
      <c r="B536" s="14" t="n">
        <v>0</v>
      </c>
      <c r="C536" s="14" t="n">
        <v>7</v>
      </c>
      <c r="D536" s="42" t="n">
        <v>0</v>
      </c>
      <c r="E536" s="41" t="n">
        <v>20.43</v>
      </c>
      <c r="F536" s="5" t="str">
        <f aca="false">IF(AND(E536&gt;=5,E536&lt;=20,C536&gt;=80,B536&lt;=1),"Opportunity (pos 5-20, 80+ impr, 0-1 click)","")</f>
        <v/>
      </c>
    </row>
    <row r="537" customFormat="false" ht="15" hidden="false" customHeight="false" outlineLevel="0" collapsed="false">
      <c r="A537" s="14" t="s">
        <v>1416</v>
      </c>
      <c r="B537" s="14" t="n">
        <v>0</v>
      </c>
      <c r="C537" s="14" t="n">
        <v>7</v>
      </c>
      <c r="D537" s="42" t="n">
        <v>0</v>
      </c>
      <c r="E537" s="41" t="n">
        <v>20.71</v>
      </c>
      <c r="F537" s="5" t="str">
        <f aca="false">IF(AND(E537&gt;=5,E537&lt;=20,C537&gt;=80,B537&lt;=1),"Opportunity (pos 5-20, 80+ impr, 0-1 click)","")</f>
        <v/>
      </c>
    </row>
    <row r="538" customFormat="false" ht="15" hidden="false" customHeight="false" outlineLevel="0" collapsed="false">
      <c r="A538" s="14" t="s">
        <v>1417</v>
      </c>
      <c r="B538" s="14" t="n">
        <v>0</v>
      </c>
      <c r="C538" s="14" t="n">
        <v>7</v>
      </c>
      <c r="D538" s="42" t="n">
        <v>0</v>
      </c>
      <c r="E538" s="41" t="n">
        <v>20.71</v>
      </c>
      <c r="F538" s="5" t="str">
        <f aca="false">IF(AND(E538&gt;=5,E538&lt;=20,C538&gt;=80,B538&lt;=1),"Opportunity (pos 5-20, 80+ impr, 0-1 click)","")</f>
        <v/>
      </c>
    </row>
    <row r="539" customFormat="false" ht="15" hidden="false" customHeight="false" outlineLevel="0" collapsed="false">
      <c r="A539" s="14" t="s">
        <v>1418</v>
      </c>
      <c r="B539" s="14" t="n">
        <v>0</v>
      </c>
      <c r="C539" s="14" t="n">
        <v>7</v>
      </c>
      <c r="D539" s="42" t="n">
        <v>0</v>
      </c>
      <c r="E539" s="41" t="n">
        <v>20.86</v>
      </c>
      <c r="F539" s="5" t="str">
        <f aca="false">IF(AND(E539&gt;=5,E539&lt;=20,C539&gt;=80,B539&lt;=1),"Opportunity (pos 5-20, 80+ impr, 0-1 click)","")</f>
        <v/>
      </c>
    </row>
    <row r="540" customFormat="false" ht="15" hidden="false" customHeight="false" outlineLevel="0" collapsed="false">
      <c r="A540" s="14" t="s">
        <v>1419</v>
      </c>
      <c r="B540" s="14" t="n">
        <v>0</v>
      </c>
      <c r="C540" s="14" t="n">
        <v>7</v>
      </c>
      <c r="D540" s="42" t="n">
        <v>0</v>
      </c>
      <c r="E540" s="41" t="n">
        <v>21</v>
      </c>
      <c r="F540" s="5" t="str">
        <f aca="false">IF(AND(E540&gt;=5,E540&lt;=20,C540&gt;=80,B540&lt;=1),"Opportunity (pos 5-20, 80+ impr, 0-1 click)","")</f>
        <v/>
      </c>
    </row>
    <row r="541" customFormat="false" ht="15" hidden="false" customHeight="false" outlineLevel="0" collapsed="false">
      <c r="A541" s="14" t="s">
        <v>1420</v>
      </c>
      <c r="B541" s="14" t="n">
        <v>0</v>
      </c>
      <c r="C541" s="14" t="n">
        <v>7</v>
      </c>
      <c r="D541" s="42" t="n">
        <v>0</v>
      </c>
      <c r="E541" s="41" t="n">
        <v>21.14</v>
      </c>
      <c r="F541" s="5" t="str">
        <f aca="false">IF(AND(E541&gt;=5,E541&lt;=20,C541&gt;=80,B541&lt;=1),"Opportunity (pos 5-20, 80+ impr, 0-1 click)","")</f>
        <v/>
      </c>
    </row>
    <row r="542" customFormat="false" ht="15" hidden="false" customHeight="false" outlineLevel="0" collapsed="false">
      <c r="A542" s="14" t="s">
        <v>1421</v>
      </c>
      <c r="B542" s="14" t="n">
        <v>0</v>
      </c>
      <c r="C542" s="14" t="n">
        <v>7</v>
      </c>
      <c r="D542" s="42" t="n">
        <v>0</v>
      </c>
      <c r="E542" s="41" t="n">
        <v>21.29</v>
      </c>
      <c r="F542" s="5" t="str">
        <f aca="false">IF(AND(E542&gt;=5,E542&lt;=20,C542&gt;=80,B542&lt;=1),"Opportunity (pos 5-20, 80+ impr, 0-1 click)","")</f>
        <v/>
      </c>
    </row>
    <row r="543" customFormat="false" ht="15" hidden="false" customHeight="false" outlineLevel="0" collapsed="false">
      <c r="A543" s="14" t="s">
        <v>1422</v>
      </c>
      <c r="B543" s="14" t="n">
        <v>0</v>
      </c>
      <c r="C543" s="14" t="n">
        <v>7</v>
      </c>
      <c r="D543" s="42" t="n">
        <v>0</v>
      </c>
      <c r="E543" s="41" t="n">
        <v>21.57</v>
      </c>
      <c r="F543" s="5" t="str">
        <f aca="false">IF(AND(E543&gt;=5,E543&lt;=20,C543&gt;=80,B543&lt;=1),"Opportunity (pos 5-20, 80+ impr, 0-1 click)","")</f>
        <v/>
      </c>
    </row>
    <row r="544" customFormat="false" ht="15" hidden="false" customHeight="false" outlineLevel="0" collapsed="false">
      <c r="A544" s="14" t="s">
        <v>1423</v>
      </c>
      <c r="B544" s="14" t="n">
        <v>0</v>
      </c>
      <c r="C544" s="14" t="n">
        <v>7</v>
      </c>
      <c r="D544" s="42" t="n">
        <v>0</v>
      </c>
      <c r="E544" s="41" t="n">
        <v>21.71</v>
      </c>
      <c r="F544" s="5" t="str">
        <f aca="false">IF(AND(E544&gt;=5,E544&lt;=20,C544&gt;=80,B544&lt;=1),"Opportunity (pos 5-20, 80+ impr, 0-1 click)","")</f>
        <v/>
      </c>
    </row>
    <row r="545" customFormat="false" ht="15" hidden="false" customHeight="false" outlineLevel="0" collapsed="false">
      <c r="A545" s="14" t="s">
        <v>1424</v>
      </c>
      <c r="B545" s="14" t="n">
        <v>0</v>
      </c>
      <c r="C545" s="14" t="n">
        <v>7</v>
      </c>
      <c r="D545" s="42" t="n">
        <v>0</v>
      </c>
      <c r="E545" s="41" t="n">
        <v>21.86</v>
      </c>
      <c r="F545" s="5" t="str">
        <f aca="false">IF(AND(E545&gt;=5,E545&lt;=20,C545&gt;=80,B545&lt;=1),"Opportunity (pos 5-20, 80+ impr, 0-1 click)","")</f>
        <v/>
      </c>
    </row>
    <row r="546" customFormat="false" ht="15" hidden="false" customHeight="false" outlineLevel="0" collapsed="false">
      <c r="A546" s="14" t="s">
        <v>1425</v>
      </c>
      <c r="B546" s="14" t="n">
        <v>0</v>
      </c>
      <c r="C546" s="14" t="n">
        <v>7</v>
      </c>
      <c r="D546" s="42" t="n">
        <v>0</v>
      </c>
      <c r="E546" s="41" t="n">
        <v>21.86</v>
      </c>
      <c r="F546" s="5" t="str">
        <f aca="false">IF(AND(E546&gt;=5,E546&lt;=20,C546&gt;=80,B546&lt;=1),"Opportunity (pos 5-20, 80+ impr, 0-1 click)","")</f>
        <v/>
      </c>
    </row>
    <row r="547" customFormat="false" ht="15" hidden="false" customHeight="false" outlineLevel="0" collapsed="false">
      <c r="A547" s="14" t="s">
        <v>1426</v>
      </c>
      <c r="B547" s="14" t="n">
        <v>0</v>
      </c>
      <c r="C547" s="14" t="n">
        <v>7</v>
      </c>
      <c r="D547" s="42" t="n">
        <v>0</v>
      </c>
      <c r="E547" s="41" t="n">
        <v>22</v>
      </c>
      <c r="F547" s="5" t="str">
        <f aca="false">IF(AND(E547&gt;=5,E547&lt;=20,C547&gt;=80,B547&lt;=1),"Opportunity (pos 5-20, 80+ impr, 0-1 click)","")</f>
        <v/>
      </c>
    </row>
    <row r="548" customFormat="false" ht="15" hidden="false" customHeight="false" outlineLevel="0" collapsed="false">
      <c r="A548" s="14" t="s">
        <v>1427</v>
      </c>
      <c r="B548" s="14" t="n">
        <v>0</v>
      </c>
      <c r="C548" s="14" t="n">
        <v>7</v>
      </c>
      <c r="D548" s="42" t="n">
        <v>0</v>
      </c>
      <c r="E548" s="41" t="n">
        <v>22.57</v>
      </c>
      <c r="F548" s="5" t="str">
        <f aca="false">IF(AND(E548&gt;=5,E548&lt;=20,C548&gt;=80,B548&lt;=1),"Opportunity (pos 5-20, 80+ impr, 0-1 click)","")</f>
        <v/>
      </c>
    </row>
    <row r="549" customFormat="false" ht="15" hidden="false" customHeight="false" outlineLevel="0" collapsed="false">
      <c r="A549" s="14" t="s">
        <v>1428</v>
      </c>
      <c r="B549" s="14" t="n">
        <v>0</v>
      </c>
      <c r="C549" s="14" t="n">
        <v>7</v>
      </c>
      <c r="D549" s="42" t="n">
        <v>0</v>
      </c>
      <c r="E549" s="41" t="n">
        <v>23.14</v>
      </c>
      <c r="F549" s="5" t="str">
        <f aca="false">IF(AND(E549&gt;=5,E549&lt;=20,C549&gt;=80,B549&lt;=1),"Opportunity (pos 5-20, 80+ impr, 0-1 click)","")</f>
        <v/>
      </c>
    </row>
    <row r="550" customFormat="false" ht="15" hidden="false" customHeight="false" outlineLevel="0" collapsed="false">
      <c r="A550" s="14" t="s">
        <v>1429</v>
      </c>
      <c r="B550" s="14" t="n">
        <v>0</v>
      </c>
      <c r="C550" s="14" t="n">
        <v>7</v>
      </c>
      <c r="D550" s="42" t="n">
        <v>0</v>
      </c>
      <c r="E550" s="41" t="n">
        <v>23.43</v>
      </c>
      <c r="F550" s="5" t="str">
        <f aca="false">IF(AND(E550&gt;=5,E550&lt;=20,C550&gt;=80,B550&lt;=1),"Opportunity (pos 5-20, 80+ impr, 0-1 click)","")</f>
        <v/>
      </c>
    </row>
    <row r="551" customFormat="false" ht="15" hidden="false" customHeight="false" outlineLevel="0" collapsed="false">
      <c r="A551" s="14" t="s">
        <v>1430</v>
      </c>
      <c r="B551" s="14" t="n">
        <v>0</v>
      </c>
      <c r="C551" s="14" t="n">
        <v>7</v>
      </c>
      <c r="D551" s="42" t="n">
        <v>0</v>
      </c>
      <c r="E551" s="41" t="n">
        <v>23.57</v>
      </c>
      <c r="F551" s="5" t="str">
        <f aca="false">IF(AND(E551&gt;=5,E551&lt;=20,C551&gt;=80,B551&lt;=1),"Opportunity (pos 5-20, 80+ impr, 0-1 click)","")</f>
        <v/>
      </c>
    </row>
    <row r="552" customFormat="false" ht="15" hidden="false" customHeight="false" outlineLevel="0" collapsed="false">
      <c r="A552" s="14" t="s">
        <v>1431</v>
      </c>
      <c r="B552" s="14" t="n">
        <v>0</v>
      </c>
      <c r="C552" s="14" t="n">
        <v>7</v>
      </c>
      <c r="D552" s="42" t="n">
        <v>0</v>
      </c>
      <c r="E552" s="41" t="n">
        <v>23.57</v>
      </c>
      <c r="F552" s="5" t="str">
        <f aca="false">IF(AND(E552&gt;=5,E552&lt;=20,C552&gt;=80,B552&lt;=1),"Opportunity (pos 5-20, 80+ impr, 0-1 click)","")</f>
        <v/>
      </c>
    </row>
    <row r="553" customFormat="false" ht="15" hidden="false" customHeight="false" outlineLevel="0" collapsed="false">
      <c r="A553" s="14" t="s">
        <v>1432</v>
      </c>
      <c r="B553" s="14" t="n">
        <v>0</v>
      </c>
      <c r="C553" s="14" t="n">
        <v>7</v>
      </c>
      <c r="D553" s="42" t="n">
        <v>0</v>
      </c>
      <c r="E553" s="41" t="n">
        <v>24</v>
      </c>
      <c r="F553" s="5" t="str">
        <f aca="false">IF(AND(E553&gt;=5,E553&lt;=20,C553&gt;=80,B553&lt;=1),"Opportunity (pos 5-20, 80+ impr, 0-1 click)","")</f>
        <v/>
      </c>
    </row>
    <row r="554" customFormat="false" ht="15" hidden="false" customHeight="false" outlineLevel="0" collapsed="false">
      <c r="A554" s="14" t="s">
        <v>1433</v>
      </c>
      <c r="B554" s="14" t="n">
        <v>0</v>
      </c>
      <c r="C554" s="14" t="n">
        <v>7</v>
      </c>
      <c r="D554" s="42" t="n">
        <v>0</v>
      </c>
      <c r="E554" s="41" t="n">
        <v>24</v>
      </c>
      <c r="F554" s="5" t="str">
        <f aca="false">IF(AND(E554&gt;=5,E554&lt;=20,C554&gt;=80,B554&lt;=1),"Opportunity (pos 5-20, 80+ impr, 0-1 click)","")</f>
        <v/>
      </c>
    </row>
    <row r="555" customFormat="false" ht="15" hidden="false" customHeight="false" outlineLevel="0" collapsed="false">
      <c r="A555" s="14" t="s">
        <v>1434</v>
      </c>
      <c r="B555" s="14" t="n">
        <v>0</v>
      </c>
      <c r="C555" s="14" t="n">
        <v>7</v>
      </c>
      <c r="D555" s="42" t="n">
        <v>0</v>
      </c>
      <c r="E555" s="41" t="n">
        <v>24.14</v>
      </c>
      <c r="F555" s="5" t="str">
        <f aca="false">IF(AND(E555&gt;=5,E555&lt;=20,C555&gt;=80,B555&lt;=1),"Opportunity (pos 5-20, 80+ impr, 0-1 click)","")</f>
        <v/>
      </c>
    </row>
    <row r="556" customFormat="false" ht="15" hidden="false" customHeight="false" outlineLevel="0" collapsed="false">
      <c r="A556" s="14" t="s">
        <v>1435</v>
      </c>
      <c r="B556" s="14" t="n">
        <v>0</v>
      </c>
      <c r="C556" s="14" t="n">
        <v>7</v>
      </c>
      <c r="D556" s="42" t="n">
        <v>0</v>
      </c>
      <c r="E556" s="41" t="n">
        <v>24.29</v>
      </c>
      <c r="F556" s="5" t="str">
        <f aca="false">IF(AND(E556&gt;=5,E556&lt;=20,C556&gt;=80,B556&lt;=1),"Opportunity (pos 5-20, 80+ impr, 0-1 click)","")</f>
        <v/>
      </c>
    </row>
    <row r="557" customFormat="false" ht="15" hidden="false" customHeight="false" outlineLevel="0" collapsed="false">
      <c r="A557" s="14" t="s">
        <v>1436</v>
      </c>
      <c r="B557" s="14" t="n">
        <v>0</v>
      </c>
      <c r="C557" s="14" t="n">
        <v>7</v>
      </c>
      <c r="D557" s="42" t="n">
        <v>0</v>
      </c>
      <c r="E557" s="41" t="n">
        <v>24.71</v>
      </c>
      <c r="F557" s="5" t="str">
        <f aca="false">IF(AND(E557&gt;=5,E557&lt;=20,C557&gt;=80,B557&lt;=1),"Opportunity (pos 5-20, 80+ impr, 0-1 click)","")</f>
        <v/>
      </c>
    </row>
    <row r="558" customFormat="false" ht="15" hidden="false" customHeight="false" outlineLevel="0" collapsed="false">
      <c r="A558" s="14" t="s">
        <v>1437</v>
      </c>
      <c r="B558" s="14" t="n">
        <v>0</v>
      </c>
      <c r="C558" s="14" t="n">
        <v>7</v>
      </c>
      <c r="D558" s="42" t="n">
        <v>0</v>
      </c>
      <c r="E558" s="41" t="n">
        <v>24.86</v>
      </c>
      <c r="F558" s="5" t="str">
        <f aca="false">IF(AND(E558&gt;=5,E558&lt;=20,C558&gt;=80,B558&lt;=1),"Opportunity (pos 5-20, 80+ impr, 0-1 click)","")</f>
        <v/>
      </c>
    </row>
    <row r="559" customFormat="false" ht="15" hidden="false" customHeight="false" outlineLevel="0" collapsed="false">
      <c r="A559" s="14" t="s">
        <v>1438</v>
      </c>
      <c r="B559" s="14" t="n">
        <v>0</v>
      </c>
      <c r="C559" s="14" t="n">
        <v>7</v>
      </c>
      <c r="D559" s="42" t="n">
        <v>0</v>
      </c>
      <c r="E559" s="41" t="n">
        <v>24.86</v>
      </c>
      <c r="F559" s="5" t="str">
        <f aca="false">IF(AND(E559&gt;=5,E559&lt;=20,C559&gt;=80,B559&lt;=1),"Opportunity (pos 5-20, 80+ impr, 0-1 click)","")</f>
        <v/>
      </c>
    </row>
    <row r="560" customFormat="false" ht="15" hidden="false" customHeight="false" outlineLevel="0" collapsed="false">
      <c r="A560" s="14" t="s">
        <v>1439</v>
      </c>
      <c r="B560" s="14" t="n">
        <v>0</v>
      </c>
      <c r="C560" s="14" t="n">
        <v>7</v>
      </c>
      <c r="D560" s="42" t="n">
        <v>0</v>
      </c>
      <c r="E560" s="41" t="n">
        <v>25</v>
      </c>
      <c r="F560" s="5" t="str">
        <f aca="false">IF(AND(E560&gt;=5,E560&lt;=20,C560&gt;=80,B560&lt;=1),"Opportunity (pos 5-20, 80+ impr, 0-1 click)","")</f>
        <v/>
      </c>
    </row>
    <row r="561" customFormat="false" ht="15" hidden="false" customHeight="false" outlineLevel="0" collapsed="false">
      <c r="A561" s="14" t="s">
        <v>1440</v>
      </c>
      <c r="B561" s="14" t="n">
        <v>0</v>
      </c>
      <c r="C561" s="14" t="n">
        <v>7</v>
      </c>
      <c r="D561" s="42" t="n">
        <v>0</v>
      </c>
      <c r="E561" s="41" t="n">
        <v>25.14</v>
      </c>
      <c r="F561" s="5" t="str">
        <f aca="false">IF(AND(E561&gt;=5,E561&lt;=20,C561&gt;=80,B561&lt;=1),"Opportunity (pos 5-20, 80+ impr, 0-1 click)","")</f>
        <v/>
      </c>
    </row>
    <row r="562" customFormat="false" ht="15" hidden="false" customHeight="false" outlineLevel="0" collapsed="false">
      <c r="A562" s="14" t="s">
        <v>1441</v>
      </c>
      <c r="B562" s="14" t="n">
        <v>0</v>
      </c>
      <c r="C562" s="14" t="n">
        <v>7</v>
      </c>
      <c r="D562" s="42" t="n">
        <v>0</v>
      </c>
      <c r="E562" s="41" t="n">
        <v>25.29</v>
      </c>
      <c r="F562" s="5" t="str">
        <f aca="false">IF(AND(E562&gt;=5,E562&lt;=20,C562&gt;=80,B562&lt;=1),"Opportunity (pos 5-20, 80+ impr, 0-1 click)","")</f>
        <v/>
      </c>
    </row>
    <row r="563" customFormat="false" ht="15" hidden="false" customHeight="false" outlineLevel="0" collapsed="false">
      <c r="A563" s="14" t="s">
        <v>1442</v>
      </c>
      <c r="B563" s="14" t="n">
        <v>0</v>
      </c>
      <c r="C563" s="14" t="n">
        <v>7</v>
      </c>
      <c r="D563" s="42" t="n">
        <v>0</v>
      </c>
      <c r="E563" s="41" t="n">
        <v>25.71</v>
      </c>
      <c r="F563" s="5" t="str">
        <f aca="false">IF(AND(E563&gt;=5,E563&lt;=20,C563&gt;=80,B563&lt;=1),"Opportunity (pos 5-20, 80+ impr, 0-1 click)","")</f>
        <v/>
      </c>
    </row>
    <row r="564" customFormat="false" ht="15" hidden="false" customHeight="false" outlineLevel="0" collapsed="false">
      <c r="A564" s="14" t="s">
        <v>1443</v>
      </c>
      <c r="B564" s="14" t="n">
        <v>0</v>
      </c>
      <c r="C564" s="14" t="n">
        <v>7</v>
      </c>
      <c r="D564" s="42" t="n">
        <v>0</v>
      </c>
      <c r="E564" s="41" t="n">
        <v>26.14</v>
      </c>
      <c r="F564" s="5" t="str">
        <f aca="false">IF(AND(E564&gt;=5,E564&lt;=20,C564&gt;=80,B564&lt;=1),"Opportunity (pos 5-20, 80+ impr, 0-1 click)","")</f>
        <v/>
      </c>
    </row>
    <row r="565" customFormat="false" ht="15" hidden="false" customHeight="false" outlineLevel="0" collapsed="false">
      <c r="A565" s="14" t="s">
        <v>1444</v>
      </c>
      <c r="B565" s="14" t="n">
        <v>0</v>
      </c>
      <c r="C565" s="14" t="n">
        <v>7</v>
      </c>
      <c r="D565" s="42" t="n">
        <v>0</v>
      </c>
      <c r="E565" s="41" t="n">
        <v>27.29</v>
      </c>
      <c r="F565" s="5" t="str">
        <f aca="false">IF(AND(E565&gt;=5,E565&lt;=20,C565&gt;=80,B565&lt;=1),"Opportunity (pos 5-20, 80+ impr, 0-1 click)","")</f>
        <v/>
      </c>
    </row>
    <row r="566" customFormat="false" ht="15" hidden="false" customHeight="false" outlineLevel="0" collapsed="false">
      <c r="A566" s="14" t="s">
        <v>1445</v>
      </c>
      <c r="B566" s="14" t="n">
        <v>0</v>
      </c>
      <c r="C566" s="14" t="n">
        <v>7</v>
      </c>
      <c r="D566" s="42" t="n">
        <v>0</v>
      </c>
      <c r="E566" s="41" t="n">
        <v>27.43</v>
      </c>
      <c r="F566" s="5" t="str">
        <f aca="false">IF(AND(E566&gt;=5,E566&lt;=20,C566&gt;=80,B566&lt;=1),"Opportunity (pos 5-20, 80+ impr, 0-1 click)","")</f>
        <v/>
      </c>
    </row>
    <row r="567" customFormat="false" ht="15" hidden="false" customHeight="false" outlineLevel="0" collapsed="false">
      <c r="A567" s="14" t="s">
        <v>1446</v>
      </c>
      <c r="B567" s="14" t="n">
        <v>0</v>
      </c>
      <c r="C567" s="14" t="n">
        <v>7</v>
      </c>
      <c r="D567" s="42" t="n">
        <v>0</v>
      </c>
      <c r="E567" s="41" t="n">
        <v>28.14</v>
      </c>
      <c r="F567" s="5" t="str">
        <f aca="false">IF(AND(E567&gt;=5,E567&lt;=20,C567&gt;=80,B567&lt;=1),"Opportunity (pos 5-20, 80+ impr, 0-1 click)","")</f>
        <v/>
      </c>
    </row>
    <row r="568" customFormat="false" ht="15" hidden="false" customHeight="false" outlineLevel="0" collapsed="false">
      <c r="A568" s="14" t="s">
        <v>1447</v>
      </c>
      <c r="B568" s="14" t="n">
        <v>0</v>
      </c>
      <c r="C568" s="14" t="n">
        <v>7</v>
      </c>
      <c r="D568" s="42" t="n">
        <v>0</v>
      </c>
      <c r="E568" s="41" t="n">
        <v>28.71</v>
      </c>
      <c r="F568" s="5" t="str">
        <f aca="false">IF(AND(E568&gt;=5,E568&lt;=20,C568&gt;=80,B568&lt;=1),"Opportunity (pos 5-20, 80+ impr, 0-1 click)","")</f>
        <v/>
      </c>
    </row>
    <row r="569" customFormat="false" ht="15" hidden="false" customHeight="false" outlineLevel="0" collapsed="false">
      <c r="A569" s="14" t="s">
        <v>1448</v>
      </c>
      <c r="B569" s="14" t="n">
        <v>0</v>
      </c>
      <c r="C569" s="14" t="n">
        <v>7</v>
      </c>
      <c r="D569" s="42" t="n">
        <v>0</v>
      </c>
      <c r="E569" s="41" t="n">
        <v>29</v>
      </c>
      <c r="F569" s="5" t="str">
        <f aca="false">IF(AND(E569&gt;=5,E569&lt;=20,C569&gt;=80,B569&lt;=1),"Opportunity (pos 5-20, 80+ impr, 0-1 click)","")</f>
        <v/>
      </c>
    </row>
    <row r="570" customFormat="false" ht="15" hidden="false" customHeight="false" outlineLevel="0" collapsed="false">
      <c r="A570" s="14" t="s">
        <v>1449</v>
      </c>
      <c r="B570" s="14" t="n">
        <v>0</v>
      </c>
      <c r="C570" s="14" t="n">
        <v>7</v>
      </c>
      <c r="D570" s="42" t="n">
        <v>0</v>
      </c>
      <c r="E570" s="41" t="n">
        <v>29.14</v>
      </c>
      <c r="F570" s="5" t="str">
        <f aca="false">IF(AND(E570&gt;=5,E570&lt;=20,C570&gt;=80,B570&lt;=1),"Opportunity (pos 5-20, 80+ impr, 0-1 click)","")</f>
        <v/>
      </c>
    </row>
    <row r="571" customFormat="false" ht="15" hidden="false" customHeight="false" outlineLevel="0" collapsed="false">
      <c r="A571" s="14" t="s">
        <v>1450</v>
      </c>
      <c r="B571" s="14" t="n">
        <v>0</v>
      </c>
      <c r="C571" s="14" t="n">
        <v>7</v>
      </c>
      <c r="D571" s="42" t="n">
        <v>0</v>
      </c>
      <c r="E571" s="41" t="n">
        <v>29.14</v>
      </c>
      <c r="F571" s="5" t="str">
        <f aca="false">IF(AND(E571&gt;=5,E571&lt;=20,C571&gt;=80,B571&lt;=1),"Opportunity (pos 5-20, 80+ impr, 0-1 click)","")</f>
        <v/>
      </c>
    </row>
    <row r="572" customFormat="false" ht="15" hidden="false" customHeight="false" outlineLevel="0" collapsed="false">
      <c r="A572" s="14" t="s">
        <v>1451</v>
      </c>
      <c r="B572" s="14" t="n">
        <v>0</v>
      </c>
      <c r="C572" s="14" t="n">
        <v>7</v>
      </c>
      <c r="D572" s="42" t="n">
        <v>0</v>
      </c>
      <c r="E572" s="41" t="n">
        <v>29.86</v>
      </c>
      <c r="F572" s="5" t="str">
        <f aca="false">IF(AND(E572&gt;=5,E572&lt;=20,C572&gt;=80,B572&lt;=1),"Opportunity (pos 5-20, 80+ impr, 0-1 click)","")</f>
        <v/>
      </c>
    </row>
    <row r="573" customFormat="false" ht="15" hidden="false" customHeight="false" outlineLevel="0" collapsed="false">
      <c r="A573" s="14" t="s">
        <v>1452</v>
      </c>
      <c r="B573" s="14" t="n">
        <v>0</v>
      </c>
      <c r="C573" s="14" t="n">
        <v>7</v>
      </c>
      <c r="D573" s="42" t="n">
        <v>0</v>
      </c>
      <c r="E573" s="41" t="n">
        <v>30</v>
      </c>
      <c r="F573" s="5" t="str">
        <f aca="false">IF(AND(E573&gt;=5,E573&lt;=20,C573&gt;=80,B573&lt;=1),"Opportunity (pos 5-20, 80+ impr, 0-1 click)","")</f>
        <v/>
      </c>
    </row>
    <row r="574" customFormat="false" ht="15" hidden="false" customHeight="false" outlineLevel="0" collapsed="false">
      <c r="A574" s="14" t="s">
        <v>1453</v>
      </c>
      <c r="B574" s="14" t="n">
        <v>0</v>
      </c>
      <c r="C574" s="14" t="n">
        <v>7</v>
      </c>
      <c r="D574" s="42" t="n">
        <v>0</v>
      </c>
      <c r="E574" s="41" t="n">
        <v>30.14</v>
      </c>
      <c r="F574" s="5" t="str">
        <f aca="false">IF(AND(E574&gt;=5,E574&lt;=20,C574&gt;=80,B574&lt;=1),"Opportunity (pos 5-20, 80+ impr, 0-1 click)","")</f>
        <v/>
      </c>
    </row>
    <row r="575" customFormat="false" ht="15" hidden="false" customHeight="false" outlineLevel="0" collapsed="false">
      <c r="A575" s="14" t="s">
        <v>1454</v>
      </c>
      <c r="B575" s="14" t="n">
        <v>0</v>
      </c>
      <c r="C575" s="14" t="n">
        <v>7</v>
      </c>
      <c r="D575" s="42" t="n">
        <v>0</v>
      </c>
      <c r="E575" s="41" t="n">
        <v>30.14</v>
      </c>
      <c r="F575" s="5" t="str">
        <f aca="false">IF(AND(E575&gt;=5,E575&lt;=20,C575&gt;=80,B575&lt;=1),"Opportunity (pos 5-20, 80+ impr, 0-1 click)","")</f>
        <v/>
      </c>
    </row>
    <row r="576" customFormat="false" ht="15" hidden="false" customHeight="false" outlineLevel="0" collapsed="false">
      <c r="A576" s="14" t="s">
        <v>1455</v>
      </c>
      <c r="B576" s="14" t="n">
        <v>0</v>
      </c>
      <c r="C576" s="14" t="n">
        <v>7</v>
      </c>
      <c r="D576" s="42" t="n">
        <v>0</v>
      </c>
      <c r="E576" s="41" t="n">
        <v>30.71</v>
      </c>
      <c r="F576" s="5" t="str">
        <f aca="false">IF(AND(E576&gt;=5,E576&lt;=20,C576&gt;=80,B576&lt;=1),"Opportunity (pos 5-20, 80+ impr, 0-1 click)","")</f>
        <v/>
      </c>
    </row>
    <row r="577" customFormat="false" ht="15" hidden="false" customHeight="false" outlineLevel="0" collapsed="false">
      <c r="A577" s="14" t="s">
        <v>1456</v>
      </c>
      <c r="B577" s="14" t="n">
        <v>0</v>
      </c>
      <c r="C577" s="14" t="n">
        <v>7</v>
      </c>
      <c r="D577" s="42" t="n">
        <v>0</v>
      </c>
      <c r="E577" s="41" t="n">
        <v>31</v>
      </c>
      <c r="F577" s="5" t="str">
        <f aca="false">IF(AND(E577&gt;=5,E577&lt;=20,C577&gt;=80,B577&lt;=1),"Opportunity (pos 5-20, 80+ impr, 0-1 click)","")</f>
        <v/>
      </c>
    </row>
    <row r="578" customFormat="false" ht="15" hidden="false" customHeight="false" outlineLevel="0" collapsed="false">
      <c r="A578" s="14" t="s">
        <v>1457</v>
      </c>
      <c r="B578" s="14" t="n">
        <v>0</v>
      </c>
      <c r="C578" s="14" t="n">
        <v>7</v>
      </c>
      <c r="D578" s="42" t="n">
        <v>0</v>
      </c>
      <c r="E578" s="41" t="n">
        <v>32</v>
      </c>
      <c r="F578" s="5" t="str">
        <f aca="false">IF(AND(E578&gt;=5,E578&lt;=20,C578&gt;=80,B578&lt;=1),"Opportunity (pos 5-20, 80+ impr, 0-1 click)","")</f>
        <v/>
      </c>
    </row>
    <row r="579" customFormat="false" ht="15" hidden="false" customHeight="false" outlineLevel="0" collapsed="false">
      <c r="A579" s="14" t="s">
        <v>1458</v>
      </c>
      <c r="B579" s="14" t="n">
        <v>0</v>
      </c>
      <c r="C579" s="14" t="n">
        <v>7</v>
      </c>
      <c r="D579" s="42" t="n">
        <v>0</v>
      </c>
      <c r="E579" s="41" t="n">
        <v>32.29</v>
      </c>
      <c r="F579" s="5" t="str">
        <f aca="false">IF(AND(E579&gt;=5,E579&lt;=20,C579&gt;=80,B579&lt;=1),"Opportunity (pos 5-20, 80+ impr, 0-1 click)","")</f>
        <v/>
      </c>
    </row>
    <row r="580" customFormat="false" ht="15" hidden="false" customHeight="false" outlineLevel="0" collapsed="false">
      <c r="A580" s="14" t="s">
        <v>1459</v>
      </c>
      <c r="B580" s="14" t="n">
        <v>0</v>
      </c>
      <c r="C580" s="14" t="n">
        <v>7</v>
      </c>
      <c r="D580" s="42" t="n">
        <v>0</v>
      </c>
      <c r="E580" s="41" t="n">
        <v>33.57</v>
      </c>
      <c r="F580" s="5" t="str">
        <f aca="false">IF(AND(E580&gt;=5,E580&lt;=20,C580&gt;=80,B580&lt;=1),"Opportunity (pos 5-20, 80+ impr, 0-1 click)","")</f>
        <v/>
      </c>
    </row>
    <row r="581" customFormat="false" ht="15" hidden="false" customHeight="false" outlineLevel="0" collapsed="false">
      <c r="A581" s="14" t="s">
        <v>1460</v>
      </c>
      <c r="B581" s="14" t="n">
        <v>0</v>
      </c>
      <c r="C581" s="14" t="n">
        <v>7</v>
      </c>
      <c r="D581" s="42" t="n">
        <v>0</v>
      </c>
      <c r="E581" s="41" t="n">
        <v>33.71</v>
      </c>
      <c r="F581" s="5" t="str">
        <f aca="false">IF(AND(E581&gt;=5,E581&lt;=20,C581&gt;=80,B581&lt;=1),"Opportunity (pos 5-20, 80+ impr, 0-1 click)","")</f>
        <v/>
      </c>
    </row>
    <row r="582" customFormat="false" ht="15" hidden="false" customHeight="false" outlineLevel="0" collapsed="false">
      <c r="A582" s="14" t="s">
        <v>1461</v>
      </c>
      <c r="B582" s="14" t="n">
        <v>0</v>
      </c>
      <c r="C582" s="14" t="n">
        <v>7</v>
      </c>
      <c r="D582" s="42" t="n">
        <v>0</v>
      </c>
      <c r="E582" s="41" t="n">
        <v>33.86</v>
      </c>
      <c r="F582" s="5" t="str">
        <f aca="false">IF(AND(E582&gt;=5,E582&lt;=20,C582&gt;=80,B582&lt;=1),"Opportunity (pos 5-20, 80+ impr, 0-1 click)","")</f>
        <v/>
      </c>
    </row>
    <row r="583" customFormat="false" ht="15" hidden="false" customHeight="false" outlineLevel="0" collapsed="false">
      <c r="A583" s="14" t="s">
        <v>1462</v>
      </c>
      <c r="B583" s="14" t="n">
        <v>0</v>
      </c>
      <c r="C583" s="14" t="n">
        <v>7</v>
      </c>
      <c r="D583" s="42" t="n">
        <v>0</v>
      </c>
      <c r="E583" s="41" t="n">
        <v>37</v>
      </c>
      <c r="F583" s="5" t="str">
        <f aca="false">IF(AND(E583&gt;=5,E583&lt;=20,C583&gt;=80,B583&lt;=1),"Opportunity (pos 5-20, 80+ impr, 0-1 click)","")</f>
        <v/>
      </c>
    </row>
    <row r="584" customFormat="false" ht="15" hidden="false" customHeight="false" outlineLevel="0" collapsed="false">
      <c r="A584" s="14" t="s">
        <v>1463</v>
      </c>
      <c r="B584" s="14" t="n">
        <v>0</v>
      </c>
      <c r="C584" s="14" t="n">
        <v>7</v>
      </c>
      <c r="D584" s="42" t="n">
        <v>0</v>
      </c>
      <c r="E584" s="41" t="n">
        <v>39.86</v>
      </c>
      <c r="F584" s="5" t="str">
        <f aca="false">IF(AND(E584&gt;=5,E584&lt;=20,C584&gt;=80,B584&lt;=1),"Opportunity (pos 5-20, 80+ impr, 0-1 click)","")</f>
        <v/>
      </c>
    </row>
    <row r="585" customFormat="false" ht="15" hidden="false" customHeight="false" outlineLevel="0" collapsed="false">
      <c r="A585" s="14" t="s">
        <v>1464</v>
      </c>
      <c r="B585" s="14" t="n">
        <v>0</v>
      </c>
      <c r="C585" s="14" t="n">
        <v>7</v>
      </c>
      <c r="D585" s="42" t="n">
        <v>0</v>
      </c>
      <c r="E585" s="41" t="n">
        <v>41.71</v>
      </c>
      <c r="F585" s="5" t="str">
        <f aca="false">IF(AND(E585&gt;=5,E585&lt;=20,C585&gt;=80,B585&lt;=1),"Opportunity (pos 5-20, 80+ impr, 0-1 click)","")</f>
        <v/>
      </c>
    </row>
    <row r="586" customFormat="false" ht="15" hidden="false" customHeight="false" outlineLevel="0" collapsed="false">
      <c r="A586" s="14" t="s">
        <v>1465</v>
      </c>
      <c r="B586" s="14" t="n">
        <v>0</v>
      </c>
      <c r="C586" s="14" t="n">
        <v>7</v>
      </c>
      <c r="D586" s="42" t="n">
        <v>0</v>
      </c>
      <c r="E586" s="41" t="n">
        <v>41.71</v>
      </c>
      <c r="F586" s="5" t="str">
        <f aca="false">IF(AND(E586&gt;=5,E586&lt;=20,C586&gt;=80,B586&lt;=1),"Opportunity (pos 5-20, 80+ impr, 0-1 click)","")</f>
        <v/>
      </c>
    </row>
    <row r="587" customFormat="false" ht="15" hidden="false" customHeight="false" outlineLevel="0" collapsed="false">
      <c r="A587" s="14" t="s">
        <v>1466</v>
      </c>
      <c r="B587" s="14" t="n">
        <v>0</v>
      </c>
      <c r="C587" s="14" t="n">
        <v>7</v>
      </c>
      <c r="D587" s="42" t="n">
        <v>0</v>
      </c>
      <c r="E587" s="41" t="n">
        <v>43.43</v>
      </c>
      <c r="F587" s="5" t="str">
        <f aca="false">IF(AND(E587&gt;=5,E587&lt;=20,C587&gt;=80,B587&lt;=1),"Opportunity (pos 5-20, 80+ impr, 0-1 click)","")</f>
        <v/>
      </c>
    </row>
    <row r="588" customFormat="false" ht="15" hidden="false" customHeight="false" outlineLevel="0" collapsed="false">
      <c r="A588" s="14" t="s">
        <v>1467</v>
      </c>
      <c r="B588" s="14" t="n">
        <v>0</v>
      </c>
      <c r="C588" s="14" t="n">
        <v>7</v>
      </c>
      <c r="D588" s="42" t="n">
        <v>0</v>
      </c>
      <c r="E588" s="41" t="n">
        <v>44.14</v>
      </c>
      <c r="F588" s="5" t="str">
        <f aca="false">IF(AND(E588&gt;=5,E588&lt;=20,C588&gt;=80,B588&lt;=1),"Opportunity (pos 5-20, 80+ impr, 0-1 click)","")</f>
        <v/>
      </c>
    </row>
    <row r="589" customFormat="false" ht="15" hidden="false" customHeight="false" outlineLevel="0" collapsed="false">
      <c r="A589" s="14" t="s">
        <v>1468</v>
      </c>
      <c r="B589" s="14" t="n">
        <v>0</v>
      </c>
      <c r="C589" s="14" t="n">
        <v>7</v>
      </c>
      <c r="D589" s="42" t="n">
        <v>0</v>
      </c>
      <c r="E589" s="41" t="n">
        <v>44.29</v>
      </c>
      <c r="F589" s="5" t="str">
        <f aca="false">IF(AND(E589&gt;=5,E589&lt;=20,C589&gt;=80,B589&lt;=1),"Opportunity (pos 5-20, 80+ impr, 0-1 click)","")</f>
        <v/>
      </c>
    </row>
    <row r="590" customFormat="false" ht="15" hidden="false" customHeight="false" outlineLevel="0" collapsed="false">
      <c r="A590" s="14" t="s">
        <v>1469</v>
      </c>
      <c r="B590" s="14" t="n">
        <v>0</v>
      </c>
      <c r="C590" s="14" t="n">
        <v>7</v>
      </c>
      <c r="D590" s="42" t="n">
        <v>0</v>
      </c>
      <c r="E590" s="41" t="n">
        <v>44.86</v>
      </c>
      <c r="F590" s="5" t="str">
        <f aca="false">IF(AND(E590&gt;=5,E590&lt;=20,C590&gt;=80,B590&lt;=1),"Opportunity (pos 5-20, 80+ impr, 0-1 click)","")</f>
        <v/>
      </c>
    </row>
    <row r="591" customFormat="false" ht="15" hidden="false" customHeight="false" outlineLevel="0" collapsed="false">
      <c r="A591" s="14" t="s">
        <v>1470</v>
      </c>
      <c r="B591" s="14" t="n">
        <v>0</v>
      </c>
      <c r="C591" s="14" t="n">
        <v>7</v>
      </c>
      <c r="D591" s="42" t="n">
        <v>0</v>
      </c>
      <c r="E591" s="41" t="n">
        <v>45</v>
      </c>
      <c r="F591" s="5" t="str">
        <f aca="false">IF(AND(E591&gt;=5,E591&lt;=20,C591&gt;=80,B591&lt;=1),"Opportunity (pos 5-20, 80+ impr, 0-1 click)","")</f>
        <v/>
      </c>
    </row>
    <row r="592" customFormat="false" ht="15" hidden="false" customHeight="false" outlineLevel="0" collapsed="false">
      <c r="A592" s="14" t="s">
        <v>1471</v>
      </c>
      <c r="B592" s="14" t="n">
        <v>0</v>
      </c>
      <c r="C592" s="14" t="n">
        <v>7</v>
      </c>
      <c r="D592" s="42" t="n">
        <v>0</v>
      </c>
      <c r="E592" s="41" t="n">
        <v>46.57</v>
      </c>
      <c r="F592" s="5" t="str">
        <f aca="false">IF(AND(E592&gt;=5,E592&lt;=20,C592&gt;=80,B592&lt;=1),"Opportunity (pos 5-20, 80+ impr, 0-1 click)","")</f>
        <v/>
      </c>
    </row>
    <row r="593" customFormat="false" ht="15" hidden="false" customHeight="false" outlineLevel="0" collapsed="false">
      <c r="A593" s="14" t="s">
        <v>1472</v>
      </c>
      <c r="B593" s="14" t="n">
        <v>0</v>
      </c>
      <c r="C593" s="14" t="n">
        <v>7</v>
      </c>
      <c r="D593" s="42" t="n">
        <v>0</v>
      </c>
      <c r="E593" s="41" t="n">
        <v>47.29</v>
      </c>
      <c r="F593" s="5" t="str">
        <f aca="false">IF(AND(E593&gt;=5,E593&lt;=20,C593&gt;=80,B593&lt;=1),"Opportunity (pos 5-20, 80+ impr, 0-1 click)","")</f>
        <v/>
      </c>
    </row>
    <row r="594" customFormat="false" ht="15" hidden="false" customHeight="false" outlineLevel="0" collapsed="false">
      <c r="A594" s="14" t="s">
        <v>1473</v>
      </c>
      <c r="B594" s="14" t="n">
        <v>0</v>
      </c>
      <c r="C594" s="14" t="n">
        <v>7</v>
      </c>
      <c r="D594" s="42" t="n">
        <v>0</v>
      </c>
      <c r="E594" s="41" t="n">
        <v>47.71</v>
      </c>
      <c r="F594" s="5" t="str">
        <f aca="false">IF(AND(E594&gt;=5,E594&lt;=20,C594&gt;=80,B594&lt;=1),"Opportunity (pos 5-20, 80+ impr, 0-1 click)","")</f>
        <v/>
      </c>
    </row>
    <row r="595" customFormat="false" ht="15" hidden="false" customHeight="false" outlineLevel="0" collapsed="false">
      <c r="A595" s="14" t="s">
        <v>1474</v>
      </c>
      <c r="B595" s="14" t="n">
        <v>0</v>
      </c>
      <c r="C595" s="14" t="n">
        <v>7</v>
      </c>
      <c r="D595" s="42" t="n">
        <v>0</v>
      </c>
      <c r="E595" s="41" t="n">
        <v>47.71</v>
      </c>
      <c r="F595" s="5" t="str">
        <f aca="false">IF(AND(E595&gt;=5,E595&lt;=20,C595&gt;=80,B595&lt;=1),"Opportunity (pos 5-20, 80+ impr, 0-1 click)","")</f>
        <v/>
      </c>
    </row>
    <row r="596" customFormat="false" ht="15" hidden="false" customHeight="false" outlineLevel="0" collapsed="false">
      <c r="A596" s="14" t="s">
        <v>1475</v>
      </c>
      <c r="B596" s="14" t="n">
        <v>0</v>
      </c>
      <c r="C596" s="14" t="n">
        <v>7</v>
      </c>
      <c r="D596" s="42" t="n">
        <v>0</v>
      </c>
      <c r="E596" s="41" t="n">
        <v>48</v>
      </c>
      <c r="F596" s="5" t="str">
        <f aca="false">IF(AND(E596&gt;=5,E596&lt;=20,C596&gt;=80,B596&lt;=1),"Opportunity (pos 5-20, 80+ impr, 0-1 click)","")</f>
        <v/>
      </c>
    </row>
    <row r="597" customFormat="false" ht="15" hidden="false" customHeight="false" outlineLevel="0" collapsed="false">
      <c r="A597" s="14" t="s">
        <v>1476</v>
      </c>
      <c r="B597" s="14" t="n">
        <v>0</v>
      </c>
      <c r="C597" s="14" t="n">
        <v>7</v>
      </c>
      <c r="D597" s="42" t="n">
        <v>0</v>
      </c>
      <c r="E597" s="41" t="n">
        <v>48.29</v>
      </c>
      <c r="F597" s="5" t="str">
        <f aca="false">IF(AND(E597&gt;=5,E597&lt;=20,C597&gt;=80,B597&lt;=1),"Opportunity (pos 5-20, 80+ impr, 0-1 click)","")</f>
        <v/>
      </c>
    </row>
    <row r="598" customFormat="false" ht="15" hidden="false" customHeight="false" outlineLevel="0" collapsed="false">
      <c r="A598" s="14" t="s">
        <v>1477</v>
      </c>
      <c r="B598" s="14" t="n">
        <v>0</v>
      </c>
      <c r="C598" s="14" t="n">
        <v>7</v>
      </c>
      <c r="D598" s="42" t="n">
        <v>0</v>
      </c>
      <c r="E598" s="41" t="n">
        <v>48.71</v>
      </c>
      <c r="F598" s="5" t="str">
        <f aca="false">IF(AND(E598&gt;=5,E598&lt;=20,C598&gt;=80,B598&lt;=1),"Opportunity (pos 5-20, 80+ impr, 0-1 click)","")</f>
        <v/>
      </c>
    </row>
    <row r="599" customFormat="false" ht="15" hidden="false" customHeight="false" outlineLevel="0" collapsed="false">
      <c r="A599" s="14" t="s">
        <v>1478</v>
      </c>
      <c r="B599" s="14" t="n">
        <v>0</v>
      </c>
      <c r="C599" s="14" t="n">
        <v>7</v>
      </c>
      <c r="D599" s="42" t="n">
        <v>0</v>
      </c>
      <c r="E599" s="41" t="n">
        <v>49.71</v>
      </c>
      <c r="F599" s="5" t="str">
        <f aca="false">IF(AND(E599&gt;=5,E599&lt;=20,C599&gt;=80,B599&lt;=1),"Opportunity (pos 5-20, 80+ impr, 0-1 click)","")</f>
        <v/>
      </c>
    </row>
    <row r="600" customFormat="false" ht="15" hidden="false" customHeight="false" outlineLevel="0" collapsed="false">
      <c r="A600" s="14" t="s">
        <v>1479</v>
      </c>
      <c r="B600" s="14" t="n">
        <v>0</v>
      </c>
      <c r="C600" s="14" t="n">
        <v>7</v>
      </c>
      <c r="D600" s="42" t="n">
        <v>0</v>
      </c>
      <c r="E600" s="41" t="n">
        <v>52.86</v>
      </c>
      <c r="F600" s="5" t="str">
        <f aca="false">IF(AND(E600&gt;=5,E600&lt;=20,C600&gt;=80,B600&lt;=1),"Opportunity (pos 5-20, 80+ impr, 0-1 click)","")</f>
        <v/>
      </c>
    </row>
    <row r="601" customFormat="false" ht="15" hidden="false" customHeight="false" outlineLevel="0" collapsed="false">
      <c r="A601" s="43" t="s">
        <v>1480</v>
      </c>
      <c r="B601" s="14" t="n">
        <v>0</v>
      </c>
      <c r="C601" s="14" t="n">
        <v>7</v>
      </c>
      <c r="D601" s="42" t="n">
        <v>0</v>
      </c>
      <c r="E601" s="41" t="n">
        <v>54.14</v>
      </c>
      <c r="F601" s="5" t="str">
        <f aca="false">IF(AND(E601&gt;=5,E601&lt;=20,C601&gt;=80,B601&lt;=1),"Opportunity (pos 5-20, 80+ impr, 0-1 click)","")</f>
        <v/>
      </c>
    </row>
    <row r="602" customFormat="false" ht="15" hidden="false" customHeight="false" outlineLevel="0" collapsed="false">
      <c r="A602" s="14" t="s">
        <v>1481</v>
      </c>
      <c r="B602" s="14" t="n">
        <v>0</v>
      </c>
      <c r="C602" s="14" t="n">
        <v>7</v>
      </c>
      <c r="D602" s="42" t="n">
        <v>0</v>
      </c>
      <c r="E602" s="41" t="n">
        <v>55.29</v>
      </c>
      <c r="F602" s="5" t="str">
        <f aca="false">IF(AND(E602&gt;=5,E602&lt;=20,C602&gt;=80,B602&lt;=1),"Opportunity (pos 5-20, 80+ impr, 0-1 click)","")</f>
        <v/>
      </c>
    </row>
    <row r="603" customFormat="false" ht="15" hidden="false" customHeight="false" outlineLevel="0" collapsed="false">
      <c r="A603" s="14" t="s">
        <v>1482</v>
      </c>
      <c r="B603" s="14" t="n">
        <v>0</v>
      </c>
      <c r="C603" s="14" t="n">
        <v>7</v>
      </c>
      <c r="D603" s="42" t="n">
        <v>0</v>
      </c>
      <c r="E603" s="41" t="n">
        <v>58.71</v>
      </c>
      <c r="F603" s="5" t="str">
        <f aca="false">IF(AND(E603&gt;=5,E603&lt;=20,C603&gt;=80,B603&lt;=1),"Opportunity (pos 5-20, 80+ impr, 0-1 click)","")</f>
        <v/>
      </c>
    </row>
    <row r="604" customFormat="false" ht="15" hidden="false" customHeight="false" outlineLevel="0" collapsed="false">
      <c r="A604" s="14" t="s">
        <v>1483</v>
      </c>
      <c r="B604" s="14" t="n">
        <v>0</v>
      </c>
      <c r="C604" s="14" t="n">
        <v>7</v>
      </c>
      <c r="D604" s="42" t="n">
        <v>0</v>
      </c>
      <c r="E604" s="41" t="n">
        <v>65</v>
      </c>
      <c r="F604" s="5" t="str">
        <f aca="false">IF(AND(E604&gt;=5,E604&lt;=20,C604&gt;=80,B604&lt;=1),"Opportunity (pos 5-20, 80+ impr, 0-1 click)","")</f>
        <v/>
      </c>
    </row>
    <row r="605" customFormat="false" ht="15" hidden="false" customHeight="false" outlineLevel="0" collapsed="false">
      <c r="A605" s="14" t="s">
        <v>1484</v>
      </c>
      <c r="B605" s="14" t="n">
        <v>0</v>
      </c>
      <c r="C605" s="14" t="n">
        <v>6</v>
      </c>
      <c r="D605" s="42" t="n">
        <v>0</v>
      </c>
      <c r="E605" s="41" t="n">
        <v>1</v>
      </c>
      <c r="F605" s="5" t="str">
        <f aca="false">IF(AND(E605&gt;=5,E605&lt;=20,C605&gt;=80,B605&lt;=1),"Opportunity (pos 5-20, 80+ impr, 0-1 click)","")</f>
        <v/>
      </c>
    </row>
    <row r="606" customFormat="false" ht="15" hidden="false" customHeight="false" outlineLevel="0" collapsed="false">
      <c r="A606" s="14" t="s">
        <v>1485</v>
      </c>
      <c r="B606" s="14" t="n">
        <v>0</v>
      </c>
      <c r="C606" s="14" t="n">
        <v>6</v>
      </c>
      <c r="D606" s="42" t="n">
        <v>0</v>
      </c>
      <c r="E606" s="41" t="n">
        <v>7.33</v>
      </c>
      <c r="F606" s="5" t="str">
        <f aca="false">IF(AND(E606&gt;=5,E606&lt;=20,C606&gt;=80,B606&lt;=1),"Opportunity (pos 5-20, 80+ impr, 0-1 click)","")</f>
        <v/>
      </c>
    </row>
    <row r="607" customFormat="false" ht="15" hidden="false" customHeight="false" outlineLevel="0" collapsed="false">
      <c r="A607" s="14" t="s">
        <v>1486</v>
      </c>
      <c r="B607" s="14" t="n">
        <v>0</v>
      </c>
      <c r="C607" s="14" t="n">
        <v>6</v>
      </c>
      <c r="D607" s="42" t="n">
        <v>0</v>
      </c>
      <c r="E607" s="41" t="n">
        <v>7.67</v>
      </c>
      <c r="F607" s="5" t="str">
        <f aca="false">IF(AND(E607&gt;=5,E607&lt;=20,C607&gt;=80,B607&lt;=1),"Opportunity (pos 5-20, 80+ impr, 0-1 click)","")</f>
        <v/>
      </c>
    </row>
    <row r="608" customFormat="false" ht="15" hidden="false" customHeight="false" outlineLevel="0" collapsed="false">
      <c r="A608" s="14" t="s">
        <v>1487</v>
      </c>
      <c r="B608" s="14" t="n">
        <v>0</v>
      </c>
      <c r="C608" s="14" t="n">
        <v>6</v>
      </c>
      <c r="D608" s="42" t="n">
        <v>0</v>
      </c>
      <c r="E608" s="41" t="n">
        <v>8.83</v>
      </c>
      <c r="F608" s="5" t="str">
        <f aca="false">IF(AND(E608&gt;=5,E608&lt;=20,C608&gt;=80,B608&lt;=1),"Opportunity (pos 5-20, 80+ impr, 0-1 click)","")</f>
        <v/>
      </c>
    </row>
    <row r="609" customFormat="false" ht="15" hidden="false" customHeight="false" outlineLevel="0" collapsed="false">
      <c r="A609" s="14" t="s">
        <v>1488</v>
      </c>
      <c r="B609" s="14" t="n">
        <v>0</v>
      </c>
      <c r="C609" s="14" t="n">
        <v>6</v>
      </c>
      <c r="D609" s="42" t="n">
        <v>0</v>
      </c>
      <c r="E609" s="41" t="n">
        <v>8.83</v>
      </c>
      <c r="F609" s="5" t="str">
        <f aca="false">IF(AND(E609&gt;=5,E609&lt;=20,C609&gt;=80,B609&lt;=1),"Opportunity (pos 5-20, 80+ impr, 0-1 click)","")</f>
        <v/>
      </c>
    </row>
    <row r="610" customFormat="false" ht="15" hidden="false" customHeight="false" outlineLevel="0" collapsed="false">
      <c r="A610" s="14" t="s">
        <v>1489</v>
      </c>
      <c r="B610" s="14" t="n">
        <v>0</v>
      </c>
      <c r="C610" s="14" t="n">
        <v>6</v>
      </c>
      <c r="D610" s="42" t="n">
        <v>0</v>
      </c>
      <c r="E610" s="41" t="n">
        <v>9.33</v>
      </c>
      <c r="F610" s="5" t="str">
        <f aca="false">IF(AND(E610&gt;=5,E610&lt;=20,C610&gt;=80,B610&lt;=1),"Opportunity (pos 5-20, 80+ impr, 0-1 click)","")</f>
        <v/>
      </c>
    </row>
    <row r="611" customFormat="false" ht="15" hidden="false" customHeight="false" outlineLevel="0" collapsed="false">
      <c r="A611" s="43" t="s">
        <v>1490</v>
      </c>
      <c r="B611" s="14" t="n">
        <v>0</v>
      </c>
      <c r="C611" s="14" t="n">
        <v>6</v>
      </c>
      <c r="D611" s="42" t="n">
        <v>0</v>
      </c>
      <c r="E611" s="41" t="n">
        <v>9.67</v>
      </c>
      <c r="F611" s="5" t="str">
        <f aca="false">IF(AND(E611&gt;=5,E611&lt;=20,C611&gt;=80,B611&lt;=1),"Opportunity (pos 5-20, 80+ impr, 0-1 click)","")</f>
        <v/>
      </c>
    </row>
    <row r="612" customFormat="false" ht="15" hidden="false" customHeight="false" outlineLevel="0" collapsed="false">
      <c r="A612" s="14" t="s">
        <v>1491</v>
      </c>
      <c r="B612" s="14" t="n">
        <v>0</v>
      </c>
      <c r="C612" s="14" t="n">
        <v>6</v>
      </c>
      <c r="D612" s="42" t="n">
        <v>0</v>
      </c>
      <c r="E612" s="41" t="n">
        <v>9.83</v>
      </c>
      <c r="F612" s="5" t="str">
        <f aca="false">IF(AND(E612&gt;=5,E612&lt;=20,C612&gt;=80,B612&lt;=1),"Opportunity (pos 5-20, 80+ impr, 0-1 click)","")</f>
        <v/>
      </c>
    </row>
    <row r="613" customFormat="false" ht="15" hidden="false" customHeight="false" outlineLevel="0" collapsed="false">
      <c r="A613" s="14" t="s">
        <v>1492</v>
      </c>
      <c r="B613" s="14" t="n">
        <v>0</v>
      </c>
      <c r="C613" s="14" t="n">
        <v>6</v>
      </c>
      <c r="D613" s="42" t="n">
        <v>0</v>
      </c>
      <c r="E613" s="41" t="n">
        <v>10.33</v>
      </c>
      <c r="F613" s="5" t="str">
        <f aca="false">IF(AND(E613&gt;=5,E613&lt;=20,C613&gt;=80,B613&lt;=1),"Opportunity (pos 5-20, 80+ impr, 0-1 click)","")</f>
        <v/>
      </c>
    </row>
    <row r="614" customFormat="false" ht="15" hidden="false" customHeight="false" outlineLevel="0" collapsed="false">
      <c r="A614" s="14" t="s">
        <v>1493</v>
      </c>
      <c r="B614" s="14" t="n">
        <v>0</v>
      </c>
      <c r="C614" s="14" t="n">
        <v>6</v>
      </c>
      <c r="D614" s="42" t="n">
        <v>0</v>
      </c>
      <c r="E614" s="41" t="n">
        <v>10.33</v>
      </c>
      <c r="F614" s="5" t="str">
        <f aca="false">IF(AND(E614&gt;=5,E614&lt;=20,C614&gt;=80,B614&lt;=1),"Opportunity (pos 5-20, 80+ impr, 0-1 click)","")</f>
        <v/>
      </c>
    </row>
    <row r="615" customFormat="false" ht="15" hidden="false" customHeight="false" outlineLevel="0" collapsed="false">
      <c r="A615" s="14" t="s">
        <v>1494</v>
      </c>
      <c r="B615" s="14" t="n">
        <v>0</v>
      </c>
      <c r="C615" s="14" t="n">
        <v>6</v>
      </c>
      <c r="D615" s="42" t="n">
        <v>0</v>
      </c>
      <c r="E615" s="41" t="n">
        <v>10.67</v>
      </c>
      <c r="F615" s="5" t="str">
        <f aca="false">IF(AND(E615&gt;=5,E615&lt;=20,C615&gt;=80,B615&lt;=1),"Opportunity (pos 5-20, 80+ impr, 0-1 click)","")</f>
        <v/>
      </c>
    </row>
    <row r="616" customFormat="false" ht="15" hidden="false" customHeight="false" outlineLevel="0" collapsed="false">
      <c r="A616" s="14" t="s">
        <v>1495</v>
      </c>
      <c r="B616" s="14" t="n">
        <v>0</v>
      </c>
      <c r="C616" s="14" t="n">
        <v>6</v>
      </c>
      <c r="D616" s="42" t="n">
        <v>0</v>
      </c>
      <c r="E616" s="41" t="n">
        <v>10.83</v>
      </c>
      <c r="F616" s="5" t="str">
        <f aca="false">IF(AND(E616&gt;=5,E616&lt;=20,C616&gt;=80,B616&lt;=1),"Opportunity (pos 5-20, 80+ impr, 0-1 click)","")</f>
        <v/>
      </c>
    </row>
    <row r="617" customFormat="false" ht="15" hidden="false" customHeight="false" outlineLevel="0" collapsed="false">
      <c r="A617" s="14" t="s">
        <v>1496</v>
      </c>
      <c r="B617" s="14" t="n">
        <v>0</v>
      </c>
      <c r="C617" s="14" t="n">
        <v>6</v>
      </c>
      <c r="D617" s="42" t="n">
        <v>0</v>
      </c>
      <c r="E617" s="41" t="n">
        <v>11.17</v>
      </c>
      <c r="F617" s="5" t="str">
        <f aca="false">IF(AND(E617&gt;=5,E617&lt;=20,C617&gt;=80,B617&lt;=1),"Opportunity (pos 5-20, 80+ impr, 0-1 click)","")</f>
        <v/>
      </c>
    </row>
    <row r="618" customFormat="false" ht="15" hidden="false" customHeight="false" outlineLevel="0" collapsed="false">
      <c r="A618" s="14" t="s">
        <v>1497</v>
      </c>
      <c r="B618" s="14" t="n">
        <v>0</v>
      </c>
      <c r="C618" s="14" t="n">
        <v>6</v>
      </c>
      <c r="D618" s="42" t="n">
        <v>0</v>
      </c>
      <c r="E618" s="41" t="n">
        <v>11.17</v>
      </c>
      <c r="F618" s="5" t="str">
        <f aca="false">IF(AND(E618&gt;=5,E618&lt;=20,C618&gt;=80,B618&lt;=1),"Opportunity (pos 5-20, 80+ impr, 0-1 click)","")</f>
        <v/>
      </c>
    </row>
    <row r="619" customFormat="false" ht="15" hidden="false" customHeight="false" outlineLevel="0" collapsed="false">
      <c r="A619" s="14" t="s">
        <v>1498</v>
      </c>
      <c r="B619" s="14" t="n">
        <v>0</v>
      </c>
      <c r="C619" s="14" t="n">
        <v>6</v>
      </c>
      <c r="D619" s="42" t="n">
        <v>0</v>
      </c>
      <c r="E619" s="41" t="n">
        <v>11.67</v>
      </c>
      <c r="F619" s="5" t="str">
        <f aca="false">IF(AND(E619&gt;=5,E619&lt;=20,C619&gt;=80,B619&lt;=1),"Opportunity (pos 5-20, 80+ impr, 0-1 click)","")</f>
        <v/>
      </c>
    </row>
    <row r="620" customFormat="false" ht="15" hidden="false" customHeight="false" outlineLevel="0" collapsed="false">
      <c r="A620" s="14" t="s">
        <v>1499</v>
      </c>
      <c r="B620" s="14" t="n">
        <v>0</v>
      </c>
      <c r="C620" s="14" t="n">
        <v>6</v>
      </c>
      <c r="D620" s="42" t="n">
        <v>0</v>
      </c>
      <c r="E620" s="41" t="n">
        <v>11.67</v>
      </c>
      <c r="F620" s="5" t="str">
        <f aca="false">IF(AND(E620&gt;=5,E620&lt;=20,C620&gt;=80,B620&lt;=1),"Opportunity (pos 5-20, 80+ impr, 0-1 click)","")</f>
        <v/>
      </c>
    </row>
    <row r="621" customFormat="false" ht="15" hidden="false" customHeight="false" outlineLevel="0" collapsed="false">
      <c r="A621" s="14" t="s">
        <v>1500</v>
      </c>
      <c r="B621" s="14" t="n">
        <v>0</v>
      </c>
      <c r="C621" s="14" t="n">
        <v>6</v>
      </c>
      <c r="D621" s="42" t="n">
        <v>0</v>
      </c>
      <c r="E621" s="41" t="n">
        <v>12.17</v>
      </c>
      <c r="F621" s="5" t="str">
        <f aca="false">IF(AND(E621&gt;=5,E621&lt;=20,C621&gt;=80,B621&lt;=1),"Opportunity (pos 5-20, 80+ impr, 0-1 click)","")</f>
        <v/>
      </c>
    </row>
    <row r="622" customFormat="false" ht="15" hidden="false" customHeight="false" outlineLevel="0" collapsed="false">
      <c r="A622" s="14" t="s">
        <v>1501</v>
      </c>
      <c r="B622" s="14" t="n">
        <v>0</v>
      </c>
      <c r="C622" s="14" t="n">
        <v>6</v>
      </c>
      <c r="D622" s="42" t="n">
        <v>0</v>
      </c>
      <c r="E622" s="41" t="n">
        <v>12.17</v>
      </c>
      <c r="F622" s="5" t="str">
        <f aca="false">IF(AND(E622&gt;=5,E622&lt;=20,C622&gt;=80,B622&lt;=1),"Opportunity (pos 5-20, 80+ impr, 0-1 click)","")</f>
        <v/>
      </c>
    </row>
    <row r="623" customFormat="false" ht="15" hidden="false" customHeight="false" outlineLevel="0" collapsed="false">
      <c r="A623" s="14" t="s">
        <v>1502</v>
      </c>
      <c r="B623" s="14" t="n">
        <v>0</v>
      </c>
      <c r="C623" s="14" t="n">
        <v>6</v>
      </c>
      <c r="D623" s="42" t="n">
        <v>0</v>
      </c>
      <c r="E623" s="41" t="n">
        <v>13</v>
      </c>
      <c r="F623" s="5" t="str">
        <f aca="false">IF(AND(E623&gt;=5,E623&lt;=20,C623&gt;=80,B623&lt;=1),"Opportunity (pos 5-20, 80+ impr, 0-1 click)","")</f>
        <v/>
      </c>
    </row>
    <row r="624" customFormat="false" ht="15" hidden="false" customHeight="false" outlineLevel="0" collapsed="false">
      <c r="A624" s="14" t="s">
        <v>1503</v>
      </c>
      <c r="B624" s="14" t="n">
        <v>0</v>
      </c>
      <c r="C624" s="14" t="n">
        <v>6</v>
      </c>
      <c r="D624" s="42" t="n">
        <v>0</v>
      </c>
      <c r="E624" s="41" t="n">
        <v>13.83</v>
      </c>
      <c r="F624" s="5" t="str">
        <f aca="false">IF(AND(E624&gt;=5,E624&lt;=20,C624&gt;=80,B624&lt;=1),"Opportunity (pos 5-20, 80+ impr, 0-1 click)","")</f>
        <v/>
      </c>
    </row>
    <row r="625" customFormat="false" ht="15" hidden="false" customHeight="false" outlineLevel="0" collapsed="false">
      <c r="A625" s="14" t="s">
        <v>1504</v>
      </c>
      <c r="B625" s="14" t="n">
        <v>0</v>
      </c>
      <c r="C625" s="14" t="n">
        <v>6</v>
      </c>
      <c r="D625" s="42" t="n">
        <v>0</v>
      </c>
      <c r="E625" s="41" t="n">
        <v>14</v>
      </c>
      <c r="F625" s="5" t="str">
        <f aca="false">IF(AND(E625&gt;=5,E625&lt;=20,C625&gt;=80,B625&lt;=1),"Opportunity (pos 5-20, 80+ impr, 0-1 click)","")</f>
        <v/>
      </c>
    </row>
    <row r="626" customFormat="false" ht="15" hidden="false" customHeight="false" outlineLevel="0" collapsed="false">
      <c r="A626" s="14" t="s">
        <v>1505</v>
      </c>
      <c r="B626" s="14" t="n">
        <v>0</v>
      </c>
      <c r="C626" s="14" t="n">
        <v>6</v>
      </c>
      <c r="D626" s="42" t="n">
        <v>0</v>
      </c>
      <c r="E626" s="41" t="n">
        <v>14.17</v>
      </c>
      <c r="F626" s="5" t="str">
        <f aca="false">IF(AND(E626&gt;=5,E626&lt;=20,C626&gt;=80,B626&lt;=1),"Opportunity (pos 5-20, 80+ impr, 0-1 click)","")</f>
        <v/>
      </c>
    </row>
    <row r="627" customFormat="false" ht="15" hidden="false" customHeight="false" outlineLevel="0" collapsed="false">
      <c r="A627" s="14" t="s">
        <v>1506</v>
      </c>
      <c r="B627" s="14" t="n">
        <v>0</v>
      </c>
      <c r="C627" s="14" t="n">
        <v>6</v>
      </c>
      <c r="D627" s="42" t="n">
        <v>0</v>
      </c>
      <c r="E627" s="41" t="n">
        <v>15.33</v>
      </c>
      <c r="F627" s="5" t="str">
        <f aca="false">IF(AND(E627&gt;=5,E627&lt;=20,C627&gt;=80,B627&lt;=1),"Opportunity (pos 5-20, 80+ impr, 0-1 click)","")</f>
        <v/>
      </c>
    </row>
    <row r="628" customFormat="false" ht="15" hidden="false" customHeight="false" outlineLevel="0" collapsed="false">
      <c r="A628" s="14" t="s">
        <v>1507</v>
      </c>
      <c r="B628" s="14" t="n">
        <v>0</v>
      </c>
      <c r="C628" s="14" t="n">
        <v>6</v>
      </c>
      <c r="D628" s="42" t="n">
        <v>0</v>
      </c>
      <c r="E628" s="41" t="n">
        <v>15.33</v>
      </c>
      <c r="F628" s="5" t="str">
        <f aca="false">IF(AND(E628&gt;=5,E628&lt;=20,C628&gt;=80,B628&lt;=1),"Opportunity (pos 5-20, 80+ impr, 0-1 click)","")</f>
        <v/>
      </c>
    </row>
    <row r="629" customFormat="false" ht="15" hidden="false" customHeight="false" outlineLevel="0" collapsed="false">
      <c r="A629" s="14" t="s">
        <v>1508</v>
      </c>
      <c r="B629" s="14" t="n">
        <v>0</v>
      </c>
      <c r="C629" s="14" t="n">
        <v>6</v>
      </c>
      <c r="D629" s="42" t="n">
        <v>0</v>
      </c>
      <c r="E629" s="41" t="n">
        <v>16</v>
      </c>
      <c r="F629" s="5" t="str">
        <f aca="false">IF(AND(E629&gt;=5,E629&lt;=20,C629&gt;=80,B629&lt;=1),"Opportunity (pos 5-20, 80+ impr, 0-1 click)","")</f>
        <v/>
      </c>
    </row>
    <row r="630" customFormat="false" ht="15" hidden="false" customHeight="false" outlineLevel="0" collapsed="false">
      <c r="A630" s="14" t="s">
        <v>1509</v>
      </c>
      <c r="B630" s="14" t="n">
        <v>0</v>
      </c>
      <c r="C630" s="14" t="n">
        <v>6</v>
      </c>
      <c r="D630" s="42" t="n">
        <v>0</v>
      </c>
      <c r="E630" s="41" t="n">
        <v>16.17</v>
      </c>
      <c r="F630" s="5" t="str">
        <f aca="false">IF(AND(E630&gt;=5,E630&lt;=20,C630&gt;=80,B630&lt;=1),"Opportunity (pos 5-20, 80+ impr, 0-1 click)","")</f>
        <v/>
      </c>
    </row>
    <row r="631" customFormat="false" ht="15" hidden="false" customHeight="false" outlineLevel="0" collapsed="false">
      <c r="A631" s="14" t="s">
        <v>1510</v>
      </c>
      <c r="B631" s="14" t="n">
        <v>0</v>
      </c>
      <c r="C631" s="14" t="n">
        <v>6</v>
      </c>
      <c r="D631" s="42" t="n">
        <v>0</v>
      </c>
      <c r="E631" s="41" t="n">
        <v>16.67</v>
      </c>
      <c r="F631" s="5" t="str">
        <f aca="false">IF(AND(E631&gt;=5,E631&lt;=20,C631&gt;=80,B631&lt;=1),"Opportunity (pos 5-20, 80+ impr, 0-1 click)","")</f>
        <v/>
      </c>
    </row>
    <row r="632" customFormat="false" ht="15" hidden="false" customHeight="false" outlineLevel="0" collapsed="false">
      <c r="A632" s="14" t="s">
        <v>1511</v>
      </c>
      <c r="B632" s="14" t="n">
        <v>0</v>
      </c>
      <c r="C632" s="14" t="n">
        <v>6</v>
      </c>
      <c r="D632" s="42" t="n">
        <v>0</v>
      </c>
      <c r="E632" s="41" t="n">
        <v>17</v>
      </c>
      <c r="F632" s="5" t="str">
        <f aca="false">IF(AND(E632&gt;=5,E632&lt;=20,C632&gt;=80,B632&lt;=1),"Opportunity (pos 5-20, 80+ impr, 0-1 click)","")</f>
        <v/>
      </c>
    </row>
    <row r="633" customFormat="false" ht="15" hidden="false" customHeight="false" outlineLevel="0" collapsed="false">
      <c r="A633" s="14" t="s">
        <v>1512</v>
      </c>
      <c r="B633" s="14" t="n">
        <v>0</v>
      </c>
      <c r="C633" s="14" t="n">
        <v>6</v>
      </c>
      <c r="D633" s="42" t="n">
        <v>0</v>
      </c>
      <c r="E633" s="41" t="n">
        <v>17</v>
      </c>
      <c r="F633" s="5" t="str">
        <f aca="false">IF(AND(E633&gt;=5,E633&lt;=20,C633&gt;=80,B633&lt;=1),"Opportunity (pos 5-20, 80+ impr, 0-1 click)","")</f>
        <v/>
      </c>
    </row>
    <row r="634" customFormat="false" ht="15" hidden="false" customHeight="false" outlineLevel="0" collapsed="false">
      <c r="A634" s="14" t="s">
        <v>1513</v>
      </c>
      <c r="B634" s="14" t="n">
        <v>0</v>
      </c>
      <c r="C634" s="14" t="n">
        <v>6</v>
      </c>
      <c r="D634" s="42" t="n">
        <v>0</v>
      </c>
      <c r="E634" s="41" t="n">
        <v>17.17</v>
      </c>
      <c r="F634" s="5" t="str">
        <f aca="false">IF(AND(E634&gt;=5,E634&lt;=20,C634&gt;=80,B634&lt;=1),"Opportunity (pos 5-20, 80+ impr, 0-1 click)","")</f>
        <v/>
      </c>
    </row>
    <row r="635" customFormat="false" ht="15" hidden="false" customHeight="false" outlineLevel="0" collapsed="false">
      <c r="A635" s="14" t="s">
        <v>1514</v>
      </c>
      <c r="B635" s="14" t="n">
        <v>0</v>
      </c>
      <c r="C635" s="14" t="n">
        <v>6</v>
      </c>
      <c r="D635" s="42" t="n">
        <v>0</v>
      </c>
      <c r="E635" s="41" t="n">
        <v>17.33</v>
      </c>
      <c r="F635" s="5" t="str">
        <f aca="false">IF(AND(E635&gt;=5,E635&lt;=20,C635&gt;=80,B635&lt;=1),"Opportunity (pos 5-20, 80+ impr, 0-1 click)","")</f>
        <v/>
      </c>
    </row>
    <row r="636" customFormat="false" ht="15" hidden="false" customHeight="false" outlineLevel="0" collapsed="false">
      <c r="A636" s="14" t="s">
        <v>1515</v>
      </c>
      <c r="B636" s="14" t="n">
        <v>0</v>
      </c>
      <c r="C636" s="14" t="n">
        <v>6</v>
      </c>
      <c r="D636" s="42" t="n">
        <v>0</v>
      </c>
      <c r="E636" s="41" t="n">
        <v>17.67</v>
      </c>
      <c r="F636" s="5" t="str">
        <f aca="false">IF(AND(E636&gt;=5,E636&lt;=20,C636&gt;=80,B636&lt;=1),"Opportunity (pos 5-20, 80+ impr, 0-1 click)","")</f>
        <v/>
      </c>
    </row>
    <row r="637" customFormat="false" ht="15" hidden="false" customHeight="false" outlineLevel="0" collapsed="false">
      <c r="A637" s="14" t="s">
        <v>1516</v>
      </c>
      <c r="B637" s="14" t="n">
        <v>0</v>
      </c>
      <c r="C637" s="14" t="n">
        <v>6</v>
      </c>
      <c r="D637" s="42" t="n">
        <v>0</v>
      </c>
      <c r="E637" s="41" t="n">
        <v>17.83</v>
      </c>
      <c r="F637" s="5" t="str">
        <f aca="false">IF(AND(E637&gt;=5,E637&lt;=20,C637&gt;=80,B637&lt;=1),"Opportunity (pos 5-20, 80+ impr, 0-1 click)","")</f>
        <v/>
      </c>
    </row>
    <row r="638" customFormat="false" ht="15" hidden="false" customHeight="false" outlineLevel="0" collapsed="false">
      <c r="A638" s="14" t="s">
        <v>1517</v>
      </c>
      <c r="B638" s="14" t="n">
        <v>0</v>
      </c>
      <c r="C638" s="14" t="n">
        <v>6</v>
      </c>
      <c r="D638" s="42" t="n">
        <v>0</v>
      </c>
      <c r="E638" s="41" t="n">
        <v>18</v>
      </c>
      <c r="F638" s="5" t="str">
        <f aca="false">IF(AND(E638&gt;=5,E638&lt;=20,C638&gt;=80,B638&lt;=1),"Opportunity (pos 5-20, 80+ impr, 0-1 click)","")</f>
        <v/>
      </c>
    </row>
    <row r="639" customFormat="false" ht="15" hidden="false" customHeight="false" outlineLevel="0" collapsed="false">
      <c r="A639" s="14" t="s">
        <v>1518</v>
      </c>
      <c r="B639" s="14" t="n">
        <v>0</v>
      </c>
      <c r="C639" s="14" t="n">
        <v>6</v>
      </c>
      <c r="D639" s="42" t="n">
        <v>0</v>
      </c>
      <c r="E639" s="41" t="n">
        <v>18.17</v>
      </c>
      <c r="F639" s="5" t="str">
        <f aca="false">IF(AND(E639&gt;=5,E639&lt;=20,C639&gt;=80,B639&lt;=1),"Opportunity (pos 5-20, 80+ impr, 0-1 click)","")</f>
        <v/>
      </c>
    </row>
    <row r="640" customFormat="false" ht="15" hidden="false" customHeight="false" outlineLevel="0" collapsed="false">
      <c r="A640" s="14" t="s">
        <v>1519</v>
      </c>
      <c r="B640" s="14" t="n">
        <v>0</v>
      </c>
      <c r="C640" s="14" t="n">
        <v>6</v>
      </c>
      <c r="D640" s="42" t="n">
        <v>0</v>
      </c>
      <c r="E640" s="41" t="n">
        <v>18.17</v>
      </c>
      <c r="F640" s="5" t="str">
        <f aca="false">IF(AND(E640&gt;=5,E640&lt;=20,C640&gt;=80,B640&lt;=1),"Opportunity (pos 5-20, 80+ impr, 0-1 click)","")</f>
        <v/>
      </c>
    </row>
    <row r="641" customFormat="false" ht="15" hidden="false" customHeight="false" outlineLevel="0" collapsed="false">
      <c r="A641" s="14" t="s">
        <v>1520</v>
      </c>
      <c r="B641" s="14" t="n">
        <v>0</v>
      </c>
      <c r="C641" s="14" t="n">
        <v>6</v>
      </c>
      <c r="D641" s="42" t="n">
        <v>0</v>
      </c>
      <c r="E641" s="41" t="n">
        <v>18.83</v>
      </c>
      <c r="F641" s="5" t="str">
        <f aca="false">IF(AND(E641&gt;=5,E641&lt;=20,C641&gt;=80,B641&lt;=1),"Opportunity (pos 5-20, 80+ impr, 0-1 click)","")</f>
        <v/>
      </c>
    </row>
    <row r="642" customFormat="false" ht="15" hidden="false" customHeight="false" outlineLevel="0" collapsed="false">
      <c r="A642" s="14" t="s">
        <v>1521</v>
      </c>
      <c r="B642" s="14" t="n">
        <v>0</v>
      </c>
      <c r="C642" s="14" t="n">
        <v>6</v>
      </c>
      <c r="D642" s="42" t="n">
        <v>0</v>
      </c>
      <c r="E642" s="41" t="n">
        <v>19</v>
      </c>
      <c r="F642" s="5" t="str">
        <f aca="false">IF(AND(E642&gt;=5,E642&lt;=20,C642&gt;=80,B642&lt;=1),"Opportunity (pos 5-20, 80+ impr, 0-1 click)","")</f>
        <v/>
      </c>
    </row>
    <row r="643" customFormat="false" ht="15" hidden="false" customHeight="false" outlineLevel="0" collapsed="false">
      <c r="A643" s="14" t="s">
        <v>1522</v>
      </c>
      <c r="B643" s="14" t="n">
        <v>0</v>
      </c>
      <c r="C643" s="14" t="n">
        <v>6</v>
      </c>
      <c r="D643" s="42" t="n">
        <v>0</v>
      </c>
      <c r="E643" s="41" t="n">
        <v>19</v>
      </c>
      <c r="F643" s="5" t="str">
        <f aca="false">IF(AND(E643&gt;=5,E643&lt;=20,C643&gt;=80,B643&lt;=1),"Opportunity (pos 5-20, 80+ impr, 0-1 click)","")</f>
        <v/>
      </c>
    </row>
    <row r="644" customFormat="false" ht="15" hidden="false" customHeight="false" outlineLevel="0" collapsed="false">
      <c r="A644" s="14" t="s">
        <v>1523</v>
      </c>
      <c r="B644" s="14" t="n">
        <v>0</v>
      </c>
      <c r="C644" s="14" t="n">
        <v>6</v>
      </c>
      <c r="D644" s="42" t="n">
        <v>0</v>
      </c>
      <c r="E644" s="41" t="n">
        <v>19.5</v>
      </c>
      <c r="F644" s="5" t="str">
        <f aca="false">IF(AND(E644&gt;=5,E644&lt;=20,C644&gt;=80,B644&lt;=1),"Opportunity (pos 5-20, 80+ impr, 0-1 click)","")</f>
        <v/>
      </c>
    </row>
    <row r="645" customFormat="false" ht="15" hidden="false" customHeight="false" outlineLevel="0" collapsed="false">
      <c r="A645" s="14" t="s">
        <v>1524</v>
      </c>
      <c r="B645" s="14" t="n">
        <v>0</v>
      </c>
      <c r="C645" s="14" t="n">
        <v>6</v>
      </c>
      <c r="D645" s="42" t="n">
        <v>0</v>
      </c>
      <c r="E645" s="41" t="n">
        <v>19.67</v>
      </c>
      <c r="F645" s="5" t="str">
        <f aca="false">IF(AND(E645&gt;=5,E645&lt;=20,C645&gt;=80,B645&lt;=1),"Opportunity (pos 5-20, 80+ impr, 0-1 click)","")</f>
        <v/>
      </c>
    </row>
    <row r="646" customFormat="false" ht="15" hidden="false" customHeight="false" outlineLevel="0" collapsed="false">
      <c r="A646" s="14" t="s">
        <v>1525</v>
      </c>
      <c r="B646" s="14" t="n">
        <v>0</v>
      </c>
      <c r="C646" s="14" t="n">
        <v>6</v>
      </c>
      <c r="D646" s="42" t="n">
        <v>0</v>
      </c>
      <c r="E646" s="41" t="n">
        <v>20</v>
      </c>
      <c r="F646" s="5" t="str">
        <f aca="false">IF(AND(E646&gt;=5,E646&lt;=20,C646&gt;=80,B646&lt;=1),"Opportunity (pos 5-20, 80+ impr, 0-1 click)","")</f>
        <v/>
      </c>
    </row>
    <row r="647" customFormat="false" ht="15" hidden="false" customHeight="false" outlineLevel="0" collapsed="false">
      <c r="A647" s="14" t="s">
        <v>1526</v>
      </c>
      <c r="B647" s="14" t="n">
        <v>0</v>
      </c>
      <c r="C647" s="14" t="n">
        <v>6</v>
      </c>
      <c r="D647" s="42" t="n">
        <v>0</v>
      </c>
      <c r="E647" s="41" t="n">
        <v>20</v>
      </c>
      <c r="F647" s="5" t="str">
        <f aca="false">IF(AND(E647&gt;=5,E647&lt;=20,C647&gt;=80,B647&lt;=1),"Opportunity (pos 5-20, 80+ impr, 0-1 click)","")</f>
        <v/>
      </c>
    </row>
    <row r="648" customFormat="false" ht="15" hidden="false" customHeight="false" outlineLevel="0" collapsed="false">
      <c r="A648" s="14" t="s">
        <v>1527</v>
      </c>
      <c r="B648" s="14" t="n">
        <v>0</v>
      </c>
      <c r="C648" s="14" t="n">
        <v>6</v>
      </c>
      <c r="D648" s="42" t="n">
        <v>0</v>
      </c>
      <c r="E648" s="41" t="n">
        <v>20.17</v>
      </c>
      <c r="F648" s="5" t="str">
        <f aca="false">IF(AND(E648&gt;=5,E648&lt;=20,C648&gt;=80,B648&lt;=1),"Opportunity (pos 5-20, 80+ impr, 0-1 click)","")</f>
        <v/>
      </c>
    </row>
    <row r="649" customFormat="false" ht="15" hidden="false" customHeight="false" outlineLevel="0" collapsed="false">
      <c r="A649" s="14" t="s">
        <v>1528</v>
      </c>
      <c r="B649" s="14" t="n">
        <v>0</v>
      </c>
      <c r="C649" s="14" t="n">
        <v>6</v>
      </c>
      <c r="D649" s="42" t="n">
        <v>0</v>
      </c>
      <c r="E649" s="41" t="n">
        <v>20.5</v>
      </c>
      <c r="F649" s="5" t="str">
        <f aca="false">IF(AND(E649&gt;=5,E649&lt;=20,C649&gt;=80,B649&lt;=1),"Opportunity (pos 5-20, 80+ impr, 0-1 click)","")</f>
        <v/>
      </c>
    </row>
    <row r="650" customFormat="false" ht="15" hidden="false" customHeight="false" outlineLevel="0" collapsed="false">
      <c r="A650" s="14" t="s">
        <v>1529</v>
      </c>
      <c r="B650" s="14" t="n">
        <v>0</v>
      </c>
      <c r="C650" s="14" t="n">
        <v>6</v>
      </c>
      <c r="D650" s="42" t="n">
        <v>0</v>
      </c>
      <c r="E650" s="41" t="n">
        <v>20.67</v>
      </c>
      <c r="F650" s="5" t="str">
        <f aca="false">IF(AND(E650&gt;=5,E650&lt;=20,C650&gt;=80,B650&lt;=1),"Opportunity (pos 5-20, 80+ impr, 0-1 click)","")</f>
        <v/>
      </c>
    </row>
    <row r="651" customFormat="false" ht="15" hidden="false" customHeight="false" outlineLevel="0" collapsed="false">
      <c r="A651" s="14" t="s">
        <v>1530</v>
      </c>
      <c r="B651" s="14" t="n">
        <v>0</v>
      </c>
      <c r="C651" s="14" t="n">
        <v>6</v>
      </c>
      <c r="D651" s="42" t="n">
        <v>0</v>
      </c>
      <c r="E651" s="41" t="n">
        <v>20.83</v>
      </c>
      <c r="F651" s="5" t="str">
        <f aca="false">IF(AND(E651&gt;=5,E651&lt;=20,C651&gt;=80,B651&lt;=1),"Opportunity (pos 5-20, 80+ impr, 0-1 click)","")</f>
        <v/>
      </c>
    </row>
    <row r="652" customFormat="false" ht="15" hidden="false" customHeight="false" outlineLevel="0" collapsed="false">
      <c r="A652" s="14" t="s">
        <v>1531</v>
      </c>
      <c r="B652" s="14" t="n">
        <v>0</v>
      </c>
      <c r="C652" s="14" t="n">
        <v>6</v>
      </c>
      <c r="D652" s="42" t="n">
        <v>0</v>
      </c>
      <c r="E652" s="41" t="n">
        <v>21</v>
      </c>
      <c r="F652" s="5" t="str">
        <f aca="false">IF(AND(E652&gt;=5,E652&lt;=20,C652&gt;=80,B652&lt;=1),"Opportunity (pos 5-20, 80+ impr, 0-1 click)","")</f>
        <v/>
      </c>
    </row>
    <row r="653" customFormat="false" ht="15" hidden="false" customHeight="false" outlineLevel="0" collapsed="false">
      <c r="A653" s="14" t="s">
        <v>1532</v>
      </c>
      <c r="B653" s="14" t="n">
        <v>0</v>
      </c>
      <c r="C653" s="14" t="n">
        <v>6</v>
      </c>
      <c r="D653" s="42" t="n">
        <v>0</v>
      </c>
      <c r="E653" s="41" t="n">
        <v>21.33</v>
      </c>
      <c r="F653" s="5" t="str">
        <f aca="false">IF(AND(E653&gt;=5,E653&lt;=20,C653&gt;=80,B653&lt;=1),"Opportunity (pos 5-20, 80+ impr, 0-1 click)","")</f>
        <v/>
      </c>
    </row>
    <row r="654" customFormat="false" ht="15" hidden="false" customHeight="false" outlineLevel="0" collapsed="false">
      <c r="A654" s="14" t="s">
        <v>1533</v>
      </c>
      <c r="B654" s="14" t="n">
        <v>0</v>
      </c>
      <c r="C654" s="14" t="n">
        <v>6</v>
      </c>
      <c r="D654" s="42" t="n">
        <v>0</v>
      </c>
      <c r="E654" s="41" t="n">
        <v>21.83</v>
      </c>
      <c r="F654" s="5" t="str">
        <f aca="false">IF(AND(E654&gt;=5,E654&lt;=20,C654&gt;=80,B654&lt;=1),"Opportunity (pos 5-20, 80+ impr, 0-1 click)","")</f>
        <v/>
      </c>
    </row>
    <row r="655" customFormat="false" ht="15" hidden="false" customHeight="false" outlineLevel="0" collapsed="false">
      <c r="A655" s="14" t="s">
        <v>1534</v>
      </c>
      <c r="B655" s="14" t="n">
        <v>0</v>
      </c>
      <c r="C655" s="14" t="n">
        <v>6</v>
      </c>
      <c r="D655" s="42" t="n">
        <v>0</v>
      </c>
      <c r="E655" s="41" t="n">
        <v>22</v>
      </c>
      <c r="F655" s="5" t="str">
        <f aca="false">IF(AND(E655&gt;=5,E655&lt;=20,C655&gt;=80,B655&lt;=1),"Opportunity (pos 5-20, 80+ impr, 0-1 click)","")</f>
        <v/>
      </c>
    </row>
    <row r="656" customFormat="false" ht="15" hidden="false" customHeight="false" outlineLevel="0" collapsed="false">
      <c r="A656" s="14" t="s">
        <v>1535</v>
      </c>
      <c r="B656" s="14" t="n">
        <v>0</v>
      </c>
      <c r="C656" s="14" t="n">
        <v>6</v>
      </c>
      <c r="D656" s="42" t="n">
        <v>0</v>
      </c>
      <c r="E656" s="41" t="n">
        <v>22.17</v>
      </c>
      <c r="F656" s="5" t="str">
        <f aca="false">IF(AND(E656&gt;=5,E656&lt;=20,C656&gt;=80,B656&lt;=1),"Opportunity (pos 5-20, 80+ impr, 0-1 click)","")</f>
        <v/>
      </c>
    </row>
    <row r="657" customFormat="false" ht="15" hidden="false" customHeight="false" outlineLevel="0" collapsed="false">
      <c r="A657" s="14" t="s">
        <v>1536</v>
      </c>
      <c r="B657" s="14" t="n">
        <v>0</v>
      </c>
      <c r="C657" s="14" t="n">
        <v>6</v>
      </c>
      <c r="D657" s="42" t="n">
        <v>0</v>
      </c>
      <c r="E657" s="41" t="n">
        <v>22.5</v>
      </c>
      <c r="F657" s="5" t="str">
        <f aca="false">IF(AND(E657&gt;=5,E657&lt;=20,C657&gt;=80,B657&lt;=1),"Opportunity (pos 5-20, 80+ impr, 0-1 click)","")</f>
        <v/>
      </c>
    </row>
    <row r="658" customFormat="false" ht="15" hidden="false" customHeight="false" outlineLevel="0" collapsed="false">
      <c r="A658" s="14" t="s">
        <v>1537</v>
      </c>
      <c r="B658" s="14" t="n">
        <v>0</v>
      </c>
      <c r="C658" s="14" t="n">
        <v>6</v>
      </c>
      <c r="D658" s="42" t="n">
        <v>0</v>
      </c>
      <c r="E658" s="41" t="n">
        <v>22.5</v>
      </c>
      <c r="F658" s="5" t="str">
        <f aca="false">IF(AND(E658&gt;=5,E658&lt;=20,C658&gt;=80,B658&lt;=1),"Opportunity (pos 5-20, 80+ impr, 0-1 click)","")</f>
        <v/>
      </c>
    </row>
    <row r="659" customFormat="false" ht="15" hidden="false" customHeight="false" outlineLevel="0" collapsed="false">
      <c r="A659" s="14" t="s">
        <v>1538</v>
      </c>
      <c r="B659" s="14" t="n">
        <v>0</v>
      </c>
      <c r="C659" s="14" t="n">
        <v>6</v>
      </c>
      <c r="D659" s="42" t="n">
        <v>0</v>
      </c>
      <c r="E659" s="41" t="n">
        <v>22.83</v>
      </c>
      <c r="F659" s="5" t="str">
        <f aca="false">IF(AND(E659&gt;=5,E659&lt;=20,C659&gt;=80,B659&lt;=1),"Opportunity (pos 5-20, 80+ impr, 0-1 click)","")</f>
        <v/>
      </c>
    </row>
    <row r="660" customFormat="false" ht="15" hidden="false" customHeight="false" outlineLevel="0" collapsed="false">
      <c r="A660" s="14" t="s">
        <v>1539</v>
      </c>
      <c r="B660" s="14" t="n">
        <v>0</v>
      </c>
      <c r="C660" s="14" t="n">
        <v>6</v>
      </c>
      <c r="D660" s="42" t="n">
        <v>0</v>
      </c>
      <c r="E660" s="41" t="n">
        <v>22.83</v>
      </c>
      <c r="F660" s="5" t="str">
        <f aca="false">IF(AND(E660&gt;=5,E660&lt;=20,C660&gt;=80,B660&lt;=1),"Opportunity (pos 5-20, 80+ impr, 0-1 click)","")</f>
        <v/>
      </c>
    </row>
    <row r="661" customFormat="false" ht="15" hidden="false" customHeight="false" outlineLevel="0" collapsed="false">
      <c r="A661" s="14" t="s">
        <v>1540</v>
      </c>
      <c r="B661" s="14" t="n">
        <v>0</v>
      </c>
      <c r="C661" s="14" t="n">
        <v>6</v>
      </c>
      <c r="D661" s="42" t="n">
        <v>0</v>
      </c>
      <c r="E661" s="41" t="n">
        <v>23</v>
      </c>
      <c r="F661" s="5" t="str">
        <f aca="false">IF(AND(E661&gt;=5,E661&lt;=20,C661&gt;=80,B661&lt;=1),"Opportunity (pos 5-20, 80+ impr, 0-1 click)","")</f>
        <v/>
      </c>
    </row>
    <row r="662" customFormat="false" ht="15" hidden="false" customHeight="false" outlineLevel="0" collapsed="false">
      <c r="A662" s="14" t="s">
        <v>1541</v>
      </c>
      <c r="B662" s="14" t="n">
        <v>0</v>
      </c>
      <c r="C662" s="14" t="n">
        <v>6</v>
      </c>
      <c r="D662" s="42" t="n">
        <v>0</v>
      </c>
      <c r="E662" s="41" t="n">
        <v>23.17</v>
      </c>
      <c r="F662" s="5" t="str">
        <f aca="false">IF(AND(E662&gt;=5,E662&lt;=20,C662&gt;=80,B662&lt;=1),"Opportunity (pos 5-20, 80+ impr, 0-1 click)","")</f>
        <v/>
      </c>
    </row>
    <row r="663" customFormat="false" ht="15" hidden="false" customHeight="false" outlineLevel="0" collapsed="false">
      <c r="A663" s="14" t="s">
        <v>1542</v>
      </c>
      <c r="B663" s="14" t="n">
        <v>0</v>
      </c>
      <c r="C663" s="14" t="n">
        <v>6</v>
      </c>
      <c r="D663" s="42" t="n">
        <v>0</v>
      </c>
      <c r="E663" s="41" t="n">
        <v>23.33</v>
      </c>
      <c r="F663" s="5" t="str">
        <f aca="false">IF(AND(E663&gt;=5,E663&lt;=20,C663&gt;=80,B663&lt;=1),"Opportunity (pos 5-20, 80+ impr, 0-1 click)","")</f>
        <v/>
      </c>
    </row>
    <row r="664" customFormat="false" ht="15" hidden="false" customHeight="false" outlineLevel="0" collapsed="false">
      <c r="A664" s="14" t="s">
        <v>1543</v>
      </c>
      <c r="B664" s="14" t="n">
        <v>0</v>
      </c>
      <c r="C664" s="14" t="n">
        <v>6</v>
      </c>
      <c r="D664" s="42" t="n">
        <v>0</v>
      </c>
      <c r="E664" s="41" t="n">
        <v>23.5</v>
      </c>
      <c r="F664" s="5" t="str">
        <f aca="false">IF(AND(E664&gt;=5,E664&lt;=20,C664&gt;=80,B664&lt;=1),"Opportunity (pos 5-20, 80+ impr, 0-1 click)","")</f>
        <v/>
      </c>
    </row>
    <row r="665" customFormat="false" ht="15" hidden="false" customHeight="false" outlineLevel="0" collapsed="false">
      <c r="A665" s="14" t="s">
        <v>1544</v>
      </c>
      <c r="B665" s="14" t="n">
        <v>0</v>
      </c>
      <c r="C665" s="14" t="n">
        <v>6</v>
      </c>
      <c r="D665" s="42" t="n">
        <v>0</v>
      </c>
      <c r="E665" s="41" t="n">
        <v>24.33</v>
      </c>
      <c r="F665" s="5" t="str">
        <f aca="false">IF(AND(E665&gt;=5,E665&lt;=20,C665&gt;=80,B665&lt;=1),"Opportunity (pos 5-20, 80+ impr, 0-1 click)","")</f>
        <v/>
      </c>
    </row>
    <row r="666" customFormat="false" ht="15" hidden="false" customHeight="false" outlineLevel="0" collapsed="false">
      <c r="A666" s="14" t="s">
        <v>1545</v>
      </c>
      <c r="B666" s="14" t="n">
        <v>0</v>
      </c>
      <c r="C666" s="14" t="n">
        <v>6</v>
      </c>
      <c r="D666" s="42" t="n">
        <v>0</v>
      </c>
      <c r="E666" s="41" t="n">
        <v>24.67</v>
      </c>
      <c r="F666" s="5" t="str">
        <f aca="false">IF(AND(E666&gt;=5,E666&lt;=20,C666&gt;=80,B666&lt;=1),"Opportunity (pos 5-20, 80+ impr, 0-1 click)","")</f>
        <v/>
      </c>
    </row>
    <row r="667" customFormat="false" ht="15" hidden="false" customHeight="false" outlineLevel="0" collapsed="false">
      <c r="A667" s="14" t="s">
        <v>1546</v>
      </c>
      <c r="B667" s="14" t="n">
        <v>0</v>
      </c>
      <c r="C667" s="14" t="n">
        <v>6</v>
      </c>
      <c r="D667" s="42" t="n">
        <v>0</v>
      </c>
      <c r="E667" s="41" t="n">
        <v>24.83</v>
      </c>
      <c r="F667" s="5" t="str">
        <f aca="false">IF(AND(E667&gt;=5,E667&lt;=20,C667&gt;=80,B667&lt;=1),"Opportunity (pos 5-20, 80+ impr, 0-1 click)","")</f>
        <v/>
      </c>
    </row>
    <row r="668" customFormat="false" ht="15" hidden="false" customHeight="false" outlineLevel="0" collapsed="false">
      <c r="A668" s="14" t="s">
        <v>1547</v>
      </c>
      <c r="B668" s="14" t="n">
        <v>0</v>
      </c>
      <c r="C668" s="14" t="n">
        <v>6</v>
      </c>
      <c r="D668" s="42" t="n">
        <v>0</v>
      </c>
      <c r="E668" s="41" t="n">
        <v>25.17</v>
      </c>
      <c r="F668" s="5" t="str">
        <f aca="false">IF(AND(E668&gt;=5,E668&lt;=20,C668&gt;=80,B668&lt;=1),"Opportunity (pos 5-20, 80+ impr, 0-1 click)","")</f>
        <v/>
      </c>
    </row>
    <row r="669" customFormat="false" ht="15" hidden="false" customHeight="false" outlineLevel="0" collapsed="false">
      <c r="A669" s="14" t="s">
        <v>1548</v>
      </c>
      <c r="B669" s="14" t="n">
        <v>0</v>
      </c>
      <c r="C669" s="14" t="n">
        <v>6</v>
      </c>
      <c r="D669" s="42" t="n">
        <v>0</v>
      </c>
      <c r="E669" s="41" t="n">
        <v>25.17</v>
      </c>
      <c r="F669" s="5" t="str">
        <f aca="false">IF(AND(E669&gt;=5,E669&lt;=20,C669&gt;=80,B669&lt;=1),"Opportunity (pos 5-20, 80+ impr, 0-1 click)","")</f>
        <v/>
      </c>
    </row>
    <row r="670" customFormat="false" ht="15" hidden="false" customHeight="false" outlineLevel="0" collapsed="false">
      <c r="A670" s="14" t="s">
        <v>1549</v>
      </c>
      <c r="B670" s="14" t="n">
        <v>0</v>
      </c>
      <c r="C670" s="14" t="n">
        <v>6</v>
      </c>
      <c r="D670" s="42" t="n">
        <v>0</v>
      </c>
      <c r="E670" s="41" t="n">
        <v>25.33</v>
      </c>
      <c r="F670" s="5" t="str">
        <f aca="false">IF(AND(E670&gt;=5,E670&lt;=20,C670&gt;=80,B670&lt;=1),"Opportunity (pos 5-20, 80+ impr, 0-1 click)","")</f>
        <v/>
      </c>
    </row>
    <row r="671" customFormat="false" ht="15" hidden="false" customHeight="false" outlineLevel="0" collapsed="false">
      <c r="A671" s="14" t="s">
        <v>1550</v>
      </c>
      <c r="B671" s="14" t="n">
        <v>0</v>
      </c>
      <c r="C671" s="14" t="n">
        <v>6</v>
      </c>
      <c r="D671" s="42" t="n">
        <v>0</v>
      </c>
      <c r="E671" s="41" t="n">
        <v>25.33</v>
      </c>
      <c r="F671" s="5" t="str">
        <f aca="false">IF(AND(E671&gt;=5,E671&lt;=20,C671&gt;=80,B671&lt;=1),"Opportunity (pos 5-20, 80+ impr, 0-1 click)","")</f>
        <v/>
      </c>
    </row>
    <row r="672" customFormat="false" ht="15" hidden="false" customHeight="false" outlineLevel="0" collapsed="false">
      <c r="A672" s="14" t="s">
        <v>1551</v>
      </c>
      <c r="B672" s="14" t="n">
        <v>0</v>
      </c>
      <c r="C672" s="14" t="n">
        <v>6</v>
      </c>
      <c r="D672" s="42" t="n">
        <v>0</v>
      </c>
      <c r="E672" s="41" t="n">
        <v>25.5</v>
      </c>
      <c r="F672" s="5" t="str">
        <f aca="false">IF(AND(E672&gt;=5,E672&lt;=20,C672&gt;=80,B672&lt;=1),"Opportunity (pos 5-20, 80+ impr, 0-1 click)","")</f>
        <v/>
      </c>
    </row>
    <row r="673" customFormat="false" ht="15" hidden="false" customHeight="false" outlineLevel="0" collapsed="false">
      <c r="A673" s="14" t="s">
        <v>1552</v>
      </c>
      <c r="B673" s="14" t="n">
        <v>0</v>
      </c>
      <c r="C673" s="14" t="n">
        <v>6</v>
      </c>
      <c r="D673" s="42" t="n">
        <v>0</v>
      </c>
      <c r="E673" s="41" t="n">
        <v>25.67</v>
      </c>
      <c r="F673" s="5" t="str">
        <f aca="false">IF(AND(E673&gt;=5,E673&lt;=20,C673&gt;=80,B673&lt;=1),"Opportunity (pos 5-20, 80+ impr, 0-1 click)","")</f>
        <v/>
      </c>
    </row>
    <row r="674" customFormat="false" ht="15" hidden="false" customHeight="false" outlineLevel="0" collapsed="false">
      <c r="A674" s="14" t="s">
        <v>1553</v>
      </c>
      <c r="B674" s="14" t="n">
        <v>0</v>
      </c>
      <c r="C674" s="14" t="n">
        <v>6</v>
      </c>
      <c r="D674" s="42" t="n">
        <v>0</v>
      </c>
      <c r="E674" s="41" t="n">
        <v>25.67</v>
      </c>
      <c r="F674" s="5" t="str">
        <f aca="false">IF(AND(E674&gt;=5,E674&lt;=20,C674&gt;=80,B674&lt;=1),"Opportunity (pos 5-20, 80+ impr, 0-1 click)","")</f>
        <v/>
      </c>
    </row>
    <row r="675" customFormat="false" ht="15" hidden="false" customHeight="false" outlineLevel="0" collapsed="false">
      <c r="A675" s="14" t="s">
        <v>1554</v>
      </c>
      <c r="B675" s="14" t="n">
        <v>0</v>
      </c>
      <c r="C675" s="14" t="n">
        <v>6</v>
      </c>
      <c r="D675" s="42" t="n">
        <v>0</v>
      </c>
      <c r="E675" s="41" t="n">
        <v>26</v>
      </c>
      <c r="F675" s="5" t="str">
        <f aca="false">IF(AND(E675&gt;=5,E675&lt;=20,C675&gt;=80,B675&lt;=1),"Opportunity (pos 5-20, 80+ impr, 0-1 click)","")</f>
        <v/>
      </c>
    </row>
    <row r="676" customFormat="false" ht="15" hidden="false" customHeight="false" outlineLevel="0" collapsed="false">
      <c r="A676" s="14" t="s">
        <v>1555</v>
      </c>
      <c r="B676" s="14" t="n">
        <v>0</v>
      </c>
      <c r="C676" s="14" t="n">
        <v>6</v>
      </c>
      <c r="D676" s="42" t="n">
        <v>0</v>
      </c>
      <c r="E676" s="41" t="n">
        <v>26.5</v>
      </c>
      <c r="F676" s="5" t="str">
        <f aca="false">IF(AND(E676&gt;=5,E676&lt;=20,C676&gt;=80,B676&lt;=1),"Opportunity (pos 5-20, 80+ impr, 0-1 click)","")</f>
        <v/>
      </c>
    </row>
    <row r="677" customFormat="false" ht="15" hidden="false" customHeight="false" outlineLevel="0" collapsed="false">
      <c r="A677" s="14" t="s">
        <v>1556</v>
      </c>
      <c r="B677" s="14" t="n">
        <v>0</v>
      </c>
      <c r="C677" s="14" t="n">
        <v>6</v>
      </c>
      <c r="D677" s="42" t="n">
        <v>0</v>
      </c>
      <c r="E677" s="41" t="n">
        <v>26.83</v>
      </c>
      <c r="F677" s="5" t="str">
        <f aca="false">IF(AND(E677&gt;=5,E677&lt;=20,C677&gt;=80,B677&lt;=1),"Opportunity (pos 5-20, 80+ impr, 0-1 click)","")</f>
        <v/>
      </c>
    </row>
    <row r="678" customFormat="false" ht="15" hidden="false" customHeight="false" outlineLevel="0" collapsed="false">
      <c r="A678" s="14" t="s">
        <v>1557</v>
      </c>
      <c r="B678" s="14" t="n">
        <v>0</v>
      </c>
      <c r="C678" s="14" t="n">
        <v>6</v>
      </c>
      <c r="D678" s="42" t="n">
        <v>0</v>
      </c>
      <c r="E678" s="41" t="n">
        <v>27</v>
      </c>
      <c r="F678" s="5" t="str">
        <f aca="false">IF(AND(E678&gt;=5,E678&lt;=20,C678&gt;=80,B678&lt;=1),"Opportunity (pos 5-20, 80+ impr, 0-1 click)","")</f>
        <v/>
      </c>
    </row>
    <row r="679" customFormat="false" ht="15" hidden="false" customHeight="false" outlineLevel="0" collapsed="false">
      <c r="A679" s="14" t="s">
        <v>1558</v>
      </c>
      <c r="B679" s="14" t="n">
        <v>0</v>
      </c>
      <c r="C679" s="14" t="n">
        <v>6</v>
      </c>
      <c r="D679" s="42" t="n">
        <v>0</v>
      </c>
      <c r="E679" s="41" t="n">
        <v>27</v>
      </c>
      <c r="F679" s="5" t="str">
        <f aca="false">IF(AND(E679&gt;=5,E679&lt;=20,C679&gt;=80,B679&lt;=1),"Opportunity (pos 5-20, 80+ impr, 0-1 click)","")</f>
        <v/>
      </c>
    </row>
    <row r="680" customFormat="false" ht="15" hidden="false" customHeight="false" outlineLevel="0" collapsed="false">
      <c r="A680" s="14" t="s">
        <v>1559</v>
      </c>
      <c r="B680" s="14" t="n">
        <v>0</v>
      </c>
      <c r="C680" s="14" t="n">
        <v>6</v>
      </c>
      <c r="D680" s="42" t="n">
        <v>0</v>
      </c>
      <c r="E680" s="41" t="n">
        <v>27.33</v>
      </c>
      <c r="F680" s="5" t="str">
        <f aca="false">IF(AND(E680&gt;=5,E680&lt;=20,C680&gt;=80,B680&lt;=1),"Opportunity (pos 5-20, 80+ impr, 0-1 click)","")</f>
        <v/>
      </c>
    </row>
    <row r="681" customFormat="false" ht="15" hidden="false" customHeight="false" outlineLevel="0" collapsed="false">
      <c r="A681" s="14" t="s">
        <v>1560</v>
      </c>
      <c r="B681" s="14" t="n">
        <v>0</v>
      </c>
      <c r="C681" s="14" t="n">
        <v>6</v>
      </c>
      <c r="D681" s="42" t="n">
        <v>0</v>
      </c>
      <c r="E681" s="41" t="n">
        <v>27.5</v>
      </c>
      <c r="F681" s="5" t="str">
        <f aca="false">IF(AND(E681&gt;=5,E681&lt;=20,C681&gt;=80,B681&lt;=1),"Opportunity (pos 5-20, 80+ impr, 0-1 click)","")</f>
        <v/>
      </c>
    </row>
    <row r="682" customFormat="false" ht="15" hidden="false" customHeight="false" outlineLevel="0" collapsed="false">
      <c r="A682" s="14" t="s">
        <v>1561</v>
      </c>
      <c r="B682" s="14" t="n">
        <v>0</v>
      </c>
      <c r="C682" s="14" t="n">
        <v>6</v>
      </c>
      <c r="D682" s="42" t="n">
        <v>0</v>
      </c>
      <c r="E682" s="41" t="n">
        <v>27.67</v>
      </c>
      <c r="F682" s="5" t="str">
        <f aca="false">IF(AND(E682&gt;=5,E682&lt;=20,C682&gt;=80,B682&lt;=1),"Opportunity (pos 5-20, 80+ impr, 0-1 click)","")</f>
        <v/>
      </c>
    </row>
    <row r="683" customFormat="false" ht="15" hidden="false" customHeight="false" outlineLevel="0" collapsed="false">
      <c r="A683" s="14" t="s">
        <v>1562</v>
      </c>
      <c r="B683" s="14" t="n">
        <v>0</v>
      </c>
      <c r="C683" s="14" t="n">
        <v>6</v>
      </c>
      <c r="D683" s="42" t="n">
        <v>0</v>
      </c>
      <c r="E683" s="41" t="n">
        <v>27.83</v>
      </c>
      <c r="F683" s="5" t="str">
        <f aca="false">IF(AND(E683&gt;=5,E683&lt;=20,C683&gt;=80,B683&lt;=1),"Opportunity (pos 5-20, 80+ impr, 0-1 click)","")</f>
        <v/>
      </c>
    </row>
    <row r="684" customFormat="false" ht="15" hidden="false" customHeight="false" outlineLevel="0" collapsed="false">
      <c r="A684" s="14" t="s">
        <v>1563</v>
      </c>
      <c r="B684" s="14" t="n">
        <v>0</v>
      </c>
      <c r="C684" s="14" t="n">
        <v>6</v>
      </c>
      <c r="D684" s="42" t="n">
        <v>0</v>
      </c>
      <c r="E684" s="41" t="n">
        <v>28</v>
      </c>
      <c r="F684" s="5" t="str">
        <f aca="false">IF(AND(E684&gt;=5,E684&lt;=20,C684&gt;=80,B684&lt;=1),"Opportunity (pos 5-20, 80+ impr, 0-1 click)","")</f>
        <v/>
      </c>
    </row>
    <row r="685" customFormat="false" ht="15" hidden="false" customHeight="false" outlineLevel="0" collapsed="false">
      <c r="A685" s="14" t="s">
        <v>1564</v>
      </c>
      <c r="B685" s="14" t="n">
        <v>0</v>
      </c>
      <c r="C685" s="14" t="n">
        <v>6</v>
      </c>
      <c r="D685" s="42" t="n">
        <v>0</v>
      </c>
      <c r="E685" s="41" t="n">
        <v>28</v>
      </c>
      <c r="F685" s="5" t="str">
        <f aca="false">IF(AND(E685&gt;=5,E685&lt;=20,C685&gt;=80,B685&lt;=1),"Opportunity (pos 5-20, 80+ impr, 0-1 click)","")</f>
        <v/>
      </c>
    </row>
    <row r="686" customFormat="false" ht="15" hidden="false" customHeight="false" outlineLevel="0" collapsed="false">
      <c r="A686" s="14" t="s">
        <v>1565</v>
      </c>
      <c r="B686" s="14" t="n">
        <v>0</v>
      </c>
      <c r="C686" s="14" t="n">
        <v>6</v>
      </c>
      <c r="D686" s="42" t="n">
        <v>0</v>
      </c>
      <c r="E686" s="41" t="n">
        <v>28.67</v>
      </c>
      <c r="F686" s="5" t="str">
        <f aca="false">IF(AND(E686&gt;=5,E686&lt;=20,C686&gt;=80,B686&lt;=1),"Opportunity (pos 5-20, 80+ impr, 0-1 click)","")</f>
        <v/>
      </c>
    </row>
    <row r="687" customFormat="false" ht="15" hidden="false" customHeight="false" outlineLevel="0" collapsed="false">
      <c r="A687" s="14" t="s">
        <v>1566</v>
      </c>
      <c r="B687" s="14" t="n">
        <v>0</v>
      </c>
      <c r="C687" s="14" t="n">
        <v>6</v>
      </c>
      <c r="D687" s="42" t="n">
        <v>0</v>
      </c>
      <c r="E687" s="41" t="n">
        <v>28.83</v>
      </c>
      <c r="F687" s="5" t="str">
        <f aca="false">IF(AND(E687&gt;=5,E687&lt;=20,C687&gt;=80,B687&lt;=1),"Opportunity (pos 5-20, 80+ impr, 0-1 click)","")</f>
        <v/>
      </c>
    </row>
    <row r="688" customFormat="false" ht="15" hidden="false" customHeight="false" outlineLevel="0" collapsed="false">
      <c r="A688" s="14" t="s">
        <v>1567</v>
      </c>
      <c r="B688" s="14" t="n">
        <v>0</v>
      </c>
      <c r="C688" s="14" t="n">
        <v>6</v>
      </c>
      <c r="D688" s="42" t="n">
        <v>0</v>
      </c>
      <c r="E688" s="41" t="n">
        <v>28.83</v>
      </c>
      <c r="F688" s="5" t="str">
        <f aca="false">IF(AND(E688&gt;=5,E688&lt;=20,C688&gt;=80,B688&lt;=1),"Opportunity (pos 5-20, 80+ impr, 0-1 click)","")</f>
        <v/>
      </c>
    </row>
    <row r="689" customFormat="false" ht="15" hidden="false" customHeight="false" outlineLevel="0" collapsed="false">
      <c r="A689" s="14" t="s">
        <v>1568</v>
      </c>
      <c r="B689" s="14" t="n">
        <v>0</v>
      </c>
      <c r="C689" s="14" t="n">
        <v>6</v>
      </c>
      <c r="D689" s="42" t="n">
        <v>0</v>
      </c>
      <c r="E689" s="41" t="n">
        <v>29.33</v>
      </c>
      <c r="F689" s="5" t="str">
        <f aca="false">IF(AND(E689&gt;=5,E689&lt;=20,C689&gt;=80,B689&lt;=1),"Opportunity (pos 5-20, 80+ impr, 0-1 click)","")</f>
        <v/>
      </c>
    </row>
    <row r="690" customFormat="false" ht="15" hidden="false" customHeight="false" outlineLevel="0" collapsed="false">
      <c r="A690" s="14" t="s">
        <v>1569</v>
      </c>
      <c r="B690" s="14" t="n">
        <v>0</v>
      </c>
      <c r="C690" s="14" t="n">
        <v>6</v>
      </c>
      <c r="D690" s="42" t="n">
        <v>0</v>
      </c>
      <c r="E690" s="41" t="n">
        <v>29.5</v>
      </c>
      <c r="F690" s="5" t="str">
        <f aca="false">IF(AND(E690&gt;=5,E690&lt;=20,C690&gt;=80,B690&lt;=1),"Opportunity (pos 5-20, 80+ impr, 0-1 click)","")</f>
        <v/>
      </c>
    </row>
    <row r="691" customFormat="false" ht="15" hidden="false" customHeight="false" outlineLevel="0" collapsed="false">
      <c r="A691" s="14" t="s">
        <v>1570</v>
      </c>
      <c r="B691" s="14" t="n">
        <v>0</v>
      </c>
      <c r="C691" s="14" t="n">
        <v>6</v>
      </c>
      <c r="D691" s="42" t="n">
        <v>0</v>
      </c>
      <c r="E691" s="41" t="n">
        <v>29.67</v>
      </c>
      <c r="F691" s="5" t="str">
        <f aca="false">IF(AND(E691&gt;=5,E691&lt;=20,C691&gt;=80,B691&lt;=1),"Opportunity (pos 5-20, 80+ impr, 0-1 click)","")</f>
        <v/>
      </c>
    </row>
    <row r="692" customFormat="false" ht="15" hidden="false" customHeight="false" outlineLevel="0" collapsed="false">
      <c r="A692" s="14" t="s">
        <v>1571</v>
      </c>
      <c r="B692" s="14" t="n">
        <v>0</v>
      </c>
      <c r="C692" s="14" t="n">
        <v>6</v>
      </c>
      <c r="D692" s="42" t="n">
        <v>0</v>
      </c>
      <c r="E692" s="41" t="n">
        <v>30</v>
      </c>
      <c r="F692" s="5" t="str">
        <f aca="false">IF(AND(E692&gt;=5,E692&lt;=20,C692&gt;=80,B692&lt;=1),"Opportunity (pos 5-20, 80+ impr, 0-1 click)","")</f>
        <v/>
      </c>
    </row>
    <row r="693" customFormat="false" ht="15" hidden="false" customHeight="false" outlineLevel="0" collapsed="false">
      <c r="A693" s="14" t="s">
        <v>1572</v>
      </c>
      <c r="B693" s="14" t="n">
        <v>0</v>
      </c>
      <c r="C693" s="14" t="n">
        <v>6</v>
      </c>
      <c r="D693" s="42" t="n">
        <v>0</v>
      </c>
      <c r="E693" s="41" t="n">
        <v>30.5</v>
      </c>
      <c r="F693" s="5" t="str">
        <f aca="false">IF(AND(E693&gt;=5,E693&lt;=20,C693&gt;=80,B693&lt;=1),"Opportunity (pos 5-20, 80+ impr, 0-1 click)","")</f>
        <v/>
      </c>
    </row>
    <row r="694" customFormat="false" ht="15" hidden="false" customHeight="false" outlineLevel="0" collapsed="false">
      <c r="A694" s="14" t="s">
        <v>1573</v>
      </c>
      <c r="B694" s="14" t="n">
        <v>0</v>
      </c>
      <c r="C694" s="14" t="n">
        <v>6</v>
      </c>
      <c r="D694" s="42" t="n">
        <v>0</v>
      </c>
      <c r="E694" s="41" t="n">
        <v>30.5</v>
      </c>
      <c r="F694" s="5" t="str">
        <f aca="false">IF(AND(E694&gt;=5,E694&lt;=20,C694&gt;=80,B694&lt;=1),"Opportunity (pos 5-20, 80+ impr, 0-1 click)","")</f>
        <v/>
      </c>
    </row>
    <row r="695" customFormat="false" ht="15" hidden="false" customHeight="false" outlineLevel="0" collapsed="false">
      <c r="A695" s="14" t="s">
        <v>1574</v>
      </c>
      <c r="B695" s="14" t="n">
        <v>0</v>
      </c>
      <c r="C695" s="14" t="n">
        <v>6</v>
      </c>
      <c r="D695" s="42" t="n">
        <v>0</v>
      </c>
      <c r="E695" s="41" t="n">
        <v>31.33</v>
      </c>
      <c r="F695" s="5" t="str">
        <f aca="false">IF(AND(E695&gt;=5,E695&lt;=20,C695&gt;=80,B695&lt;=1),"Opportunity (pos 5-20, 80+ impr, 0-1 click)","")</f>
        <v/>
      </c>
    </row>
    <row r="696" customFormat="false" ht="15" hidden="false" customHeight="false" outlineLevel="0" collapsed="false">
      <c r="A696" s="14" t="s">
        <v>1575</v>
      </c>
      <c r="B696" s="14" t="n">
        <v>0</v>
      </c>
      <c r="C696" s="14" t="n">
        <v>6</v>
      </c>
      <c r="D696" s="42" t="n">
        <v>0</v>
      </c>
      <c r="E696" s="41" t="n">
        <v>31.83</v>
      </c>
      <c r="F696" s="5" t="str">
        <f aca="false">IF(AND(E696&gt;=5,E696&lt;=20,C696&gt;=80,B696&lt;=1),"Opportunity (pos 5-20, 80+ impr, 0-1 click)","")</f>
        <v/>
      </c>
    </row>
    <row r="697" customFormat="false" ht="15" hidden="false" customHeight="false" outlineLevel="0" collapsed="false">
      <c r="A697" s="14" t="s">
        <v>1576</v>
      </c>
      <c r="B697" s="14" t="n">
        <v>0</v>
      </c>
      <c r="C697" s="14" t="n">
        <v>6</v>
      </c>
      <c r="D697" s="42" t="n">
        <v>0</v>
      </c>
      <c r="E697" s="41" t="n">
        <v>32</v>
      </c>
      <c r="F697" s="5" t="str">
        <f aca="false">IF(AND(E697&gt;=5,E697&lt;=20,C697&gt;=80,B697&lt;=1),"Opportunity (pos 5-20, 80+ impr, 0-1 click)","")</f>
        <v/>
      </c>
    </row>
    <row r="698" customFormat="false" ht="15" hidden="false" customHeight="false" outlineLevel="0" collapsed="false">
      <c r="A698" s="14" t="s">
        <v>1577</v>
      </c>
      <c r="B698" s="14" t="n">
        <v>0</v>
      </c>
      <c r="C698" s="14" t="n">
        <v>6</v>
      </c>
      <c r="D698" s="42" t="n">
        <v>0</v>
      </c>
      <c r="E698" s="41" t="n">
        <v>32.5</v>
      </c>
      <c r="F698" s="5" t="str">
        <f aca="false">IF(AND(E698&gt;=5,E698&lt;=20,C698&gt;=80,B698&lt;=1),"Opportunity (pos 5-20, 80+ impr, 0-1 click)","")</f>
        <v/>
      </c>
    </row>
    <row r="699" customFormat="false" ht="15" hidden="false" customHeight="false" outlineLevel="0" collapsed="false">
      <c r="A699" s="14" t="s">
        <v>1578</v>
      </c>
      <c r="B699" s="14" t="n">
        <v>0</v>
      </c>
      <c r="C699" s="14" t="n">
        <v>6</v>
      </c>
      <c r="D699" s="42" t="n">
        <v>0</v>
      </c>
      <c r="E699" s="41" t="n">
        <v>33.83</v>
      </c>
      <c r="F699" s="5" t="str">
        <f aca="false">IF(AND(E699&gt;=5,E699&lt;=20,C699&gt;=80,B699&lt;=1),"Opportunity (pos 5-20, 80+ impr, 0-1 click)","")</f>
        <v/>
      </c>
    </row>
    <row r="700" customFormat="false" ht="15" hidden="false" customHeight="false" outlineLevel="0" collapsed="false">
      <c r="A700" s="14" t="s">
        <v>1579</v>
      </c>
      <c r="B700" s="14" t="n">
        <v>0</v>
      </c>
      <c r="C700" s="14" t="n">
        <v>6</v>
      </c>
      <c r="D700" s="42" t="n">
        <v>0</v>
      </c>
      <c r="E700" s="41" t="n">
        <v>34.83</v>
      </c>
      <c r="F700" s="5" t="str">
        <f aca="false">IF(AND(E700&gt;=5,E700&lt;=20,C700&gt;=80,B700&lt;=1),"Opportunity (pos 5-20, 80+ impr, 0-1 click)","")</f>
        <v/>
      </c>
    </row>
    <row r="701" customFormat="false" ht="15" hidden="false" customHeight="false" outlineLevel="0" collapsed="false">
      <c r="A701" s="14" t="s">
        <v>1580</v>
      </c>
      <c r="B701" s="14" t="n">
        <v>0</v>
      </c>
      <c r="C701" s="14" t="n">
        <v>6</v>
      </c>
      <c r="D701" s="42" t="n">
        <v>0</v>
      </c>
      <c r="E701" s="41" t="n">
        <v>35.17</v>
      </c>
      <c r="F701" s="5" t="str">
        <f aca="false">IF(AND(E701&gt;=5,E701&lt;=20,C701&gt;=80,B701&lt;=1),"Opportunity (pos 5-20, 80+ impr, 0-1 click)","")</f>
        <v/>
      </c>
    </row>
    <row r="702" customFormat="false" ht="15" hidden="false" customHeight="false" outlineLevel="0" collapsed="false">
      <c r="A702" s="14" t="s">
        <v>1581</v>
      </c>
      <c r="B702" s="14" t="n">
        <v>0</v>
      </c>
      <c r="C702" s="14" t="n">
        <v>6</v>
      </c>
      <c r="D702" s="42" t="n">
        <v>0</v>
      </c>
      <c r="E702" s="41" t="n">
        <v>35.5</v>
      </c>
      <c r="F702" s="5" t="str">
        <f aca="false">IF(AND(E702&gt;=5,E702&lt;=20,C702&gt;=80,B702&lt;=1),"Opportunity (pos 5-20, 80+ impr, 0-1 click)","")</f>
        <v/>
      </c>
    </row>
    <row r="703" customFormat="false" ht="15" hidden="false" customHeight="false" outlineLevel="0" collapsed="false">
      <c r="A703" s="14" t="s">
        <v>1582</v>
      </c>
      <c r="B703" s="14" t="n">
        <v>0</v>
      </c>
      <c r="C703" s="14" t="n">
        <v>6</v>
      </c>
      <c r="D703" s="42" t="n">
        <v>0</v>
      </c>
      <c r="E703" s="41" t="n">
        <v>36.5</v>
      </c>
      <c r="F703" s="5" t="str">
        <f aca="false">IF(AND(E703&gt;=5,E703&lt;=20,C703&gt;=80,B703&lt;=1),"Opportunity (pos 5-20, 80+ impr, 0-1 click)","")</f>
        <v/>
      </c>
    </row>
    <row r="704" customFormat="false" ht="15" hidden="false" customHeight="false" outlineLevel="0" collapsed="false">
      <c r="A704" s="14" t="s">
        <v>1583</v>
      </c>
      <c r="B704" s="14" t="n">
        <v>0</v>
      </c>
      <c r="C704" s="14" t="n">
        <v>6</v>
      </c>
      <c r="D704" s="42" t="n">
        <v>0</v>
      </c>
      <c r="E704" s="41" t="n">
        <v>36.83</v>
      </c>
      <c r="F704" s="5" t="str">
        <f aca="false">IF(AND(E704&gt;=5,E704&lt;=20,C704&gt;=80,B704&lt;=1),"Opportunity (pos 5-20, 80+ impr, 0-1 click)","")</f>
        <v/>
      </c>
    </row>
    <row r="705" customFormat="false" ht="15" hidden="false" customHeight="false" outlineLevel="0" collapsed="false">
      <c r="A705" s="14" t="s">
        <v>1584</v>
      </c>
      <c r="B705" s="14" t="n">
        <v>0</v>
      </c>
      <c r="C705" s="14" t="n">
        <v>6</v>
      </c>
      <c r="D705" s="42" t="n">
        <v>0</v>
      </c>
      <c r="E705" s="41" t="n">
        <v>38</v>
      </c>
      <c r="F705" s="5" t="str">
        <f aca="false">IF(AND(E705&gt;=5,E705&lt;=20,C705&gt;=80,B705&lt;=1),"Opportunity (pos 5-20, 80+ impr, 0-1 click)","")</f>
        <v/>
      </c>
    </row>
    <row r="706" customFormat="false" ht="15" hidden="false" customHeight="false" outlineLevel="0" collapsed="false">
      <c r="A706" s="14" t="s">
        <v>1585</v>
      </c>
      <c r="B706" s="14" t="n">
        <v>0</v>
      </c>
      <c r="C706" s="14" t="n">
        <v>6</v>
      </c>
      <c r="D706" s="42" t="n">
        <v>0</v>
      </c>
      <c r="E706" s="41" t="n">
        <v>38.83</v>
      </c>
      <c r="F706" s="5" t="str">
        <f aca="false">IF(AND(E706&gt;=5,E706&lt;=20,C706&gt;=80,B706&lt;=1),"Opportunity (pos 5-20, 80+ impr, 0-1 click)","")</f>
        <v/>
      </c>
    </row>
    <row r="707" customFormat="false" ht="15" hidden="false" customHeight="false" outlineLevel="0" collapsed="false">
      <c r="A707" s="14" t="s">
        <v>1586</v>
      </c>
      <c r="B707" s="14" t="n">
        <v>0</v>
      </c>
      <c r="C707" s="14" t="n">
        <v>6</v>
      </c>
      <c r="D707" s="42" t="n">
        <v>0</v>
      </c>
      <c r="E707" s="41" t="n">
        <v>39.17</v>
      </c>
      <c r="F707" s="5" t="str">
        <f aca="false">IF(AND(E707&gt;=5,E707&lt;=20,C707&gt;=80,B707&lt;=1),"Opportunity (pos 5-20, 80+ impr, 0-1 click)","")</f>
        <v/>
      </c>
    </row>
    <row r="708" customFormat="false" ht="15" hidden="false" customHeight="false" outlineLevel="0" collapsed="false">
      <c r="A708" s="14" t="s">
        <v>1587</v>
      </c>
      <c r="B708" s="14" t="n">
        <v>0</v>
      </c>
      <c r="C708" s="14" t="n">
        <v>6</v>
      </c>
      <c r="D708" s="42" t="n">
        <v>0</v>
      </c>
      <c r="E708" s="41" t="n">
        <v>39.5</v>
      </c>
      <c r="F708" s="5" t="str">
        <f aca="false">IF(AND(E708&gt;=5,E708&lt;=20,C708&gt;=80,B708&lt;=1),"Opportunity (pos 5-20, 80+ impr, 0-1 click)","")</f>
        <v/>
      </c>
    </row>
    <row r="709" customFormat="false" ht="15" hidden="false" customHeight="false" outlineLevel="0" collapsed="false">
      <c r="A709" s="14" t="s">
        <v>1588</v>
      </c>
      <c r="B709" s="14" t="n">
        <v>0</v>
      </c>
      <c r="C709" s="14" t="n">
        <v>6</v>
      </c>
      <c r="D709" s="42" t="n">
        <v>0</v>
      </c>
      <c r="E709" s="41" t="n">
        <v>41</v>
      </c>
      <c r="F709" s="5" t="str">
        <f aca="false">IF(AND(E709&gt;=5,E709&lt;=20,C709&gt;=80,B709&lt;=1),"Opportunity (pos 5-20, 80+ impr, 0-1 click)","")</f>
        <v/>
      </c>
    </row>
    <row r="710" customFormat="false" ht="15" hidden="false" customHeight="false" outlineLevel="0" collapsed="false">
      <c r="A710" s="14" t="s">
        <v>1589</v>
      </c>
      <c r="B710" s="14" t="n">
        <v>0</v>
      </c>
      <c r="C710" s="14" t="n">
        <v>6</v>
      </c>
      <c r="D710" s="42" t="n">
        <v>0</v>
      </c>
      <c r="E710" s="41" t="n">
        <v>41</v>
      </c>
      <c r="F710" s="5" t="str">
        <f aca="false">IF(AND(E710&gt;=5,E710&lt;=20,C710&gt;=80,B710&lt;=1),"Opportunity (pos 5-20, 80+ impr, 0-1 click)","")</f>
        <v/>
      </c>
    </row>
    <row r="711" customFormat="false" ht="15" hidden="false" customHeight="false" outlineLevel="0" collapsed="false">
      <c r="A711" s="14" t="s">
        <v>1590</v>
      </c>
      <c r="B711" s="14" t="n">
        <v>0</v>
      </c>
      <c r="C711" s="14" t="n">
        <v>6</v>
      </c>
      <c r="D711" s="42" t="n">
        <v>0</v>
      </c>
      <c r="E711" s="41" t="n">
        <v>41.67</v>
      </c>
      <c r="F711" s="5" t="str">
        <f aca="false">IF(AND(E711&gt;=5,E711&lt;=20,C711&gt;=80,B711&lt;=1),"Opportunity (pos 5-20, 80+ impr, 0-1 click)","")</f>
        <v/>
      </c>
    </row>
    <row r="712" customFormat="false" ht="15" hidden="false" customHeight="false" outlineLevel="0" collapsed="false">
      <c r="A712" s="14" t="s">
        <v>1591</v>
      </c>
      <c r="B712" s="14" t="n">
        <v>0</v>
      </c>
      <c r="C712" s="14" t="n">
        <v>6</v>
      </c>
      <c r="D712" s="42" t="n">
        <v>0</v>
      </c>
      <c r="E712" s="41" t="n">
        <v>42.17</v>
      </c>
      <c r="F712" s="5" t="str">
        <f aca="false">IF(AND(E712&gt;=5,E712&lt;=20,C712&gt;=80,B712&lt;=1),"Opportunity (pos 5-20, 80+ impr, 0-1 click)","")</f>
        <v/>
      </c>
    </row>
    <row r="713" customFormat="false" ht="15" hidden="false" customHeight="false" outlineLevel="0" collapsed="false">
      <c r="A713" s="14" t="s">
        <v>1592</v>
      </c>
      <c r="B713" s="14" t="n">
        <v>0</v>
      </c>
      <c r="C713" s="14" t="n">
        <v>6</v>
      </c>
      <c r="D713" s="42" t="n">
        <v>0</v>
      </c>
      <c r="E713" s="41" t="n">
        <v>42.33</v>
      </c>
      <c r="F713" s="5" t="str">
        <f aca="false">IF(AND(E713&gt;=5,E713&lt;=20,C713&gt;=80,B713&lt;=1),"Opportunity (pos 5-20, 80+ impr, 0-1 click)","")</f>
        <v/>
      </c>
    </row>
    <row r="714" customFormat="false" ht="15" hidden="false" customHeight="false" outlineLevel="0" collapsed="false">
      <c r="A714" s="14" t="s">
        <v>1593</v>
      </c>
      <c r="B714" s="14" t="n">
        <v>0</v>
      </c>
      <c r="C714" s="14" t="n">
        <v>6</v>
      </c>
      <c r="D714" s="42" t="n">
        <v>0</v>
      </c>
      <c r="E714" s="41" t="n">
        <v>42.83</v>
      </c>
      <c r="F714" s="5" t="str">
        <f aca="false">IF(AND(E714&gt;=5,E714&lt;=20,C714&gt;=80,B714&lt;=1),"Opportunity (pos 5-20, 80+ impr, 0-1 click)","")</f>
        <v/>
      </c>
    </row>
    <row r="715" customFormat="false" ht="15" hidden="false" customHeight="false" outlineLevel="0" collapsed="false">
      <c r="A715" s="14" t="s">
        <v>1594</v>
      </c>
      <c r="B715" s="14" t="n">
        <v>0</v>
      </c>
      <c r="C715" s="14" t="n">
        <v>6</v>
      </c>
      <c r="D715" s="42" t="n">
        <v>0</v>
      </c>
      <c r="E715" s="41" t="n">
        <v>43.5</v>
      </c>
      <c r="F715" s="5" t="str">
        <f aca="false">IF(AND(E715&gt;=5,E715&lt;=20,C715&gt;=80,B715&lt;=1),"Opportunity (pos 5-20, 80+ impr, 0-1 click)","")</f>
        <v/>
      </c>
    </row>
    <row r="716" customFormat="false" ht="15" hidden="false" customHeight="false" outlineLevel="0" collapsed="false">
      <c r="A716" s="14" t="s">
        <v>1595</v>
      </c>
      <c r="B716" s="14" t="n">
        <v>0</v>
      </c>
      <c r="C716" s="14" t="n">
        <v>6</v>
      </c>
      <c r="D716" s="42" t="n">
        <v>0</v>
      </c>
      <c r="E716" s="41" t="n">
        <v>43.67</v>
      </c>
      <c r="F716" s="5" t="str">
        <f aca="false">IF(AND(E716&gt;=5,E716&lt;=20,C716&gt;=80,B716&lt;=1),"Opportunity (pos 5-20, 80+ impr, 0-1 click)","")</f>
        <v/>
      </c>
    </row>
    <row r="717" customFormat="false" ht="15" hidden="false" customHeight="false" outlineLevel="0" collapsed="false">
      <c r="A717" s="14" t="s">
        <v>1596</v>
      </c>
      <c r="B717" s="14" t="n">
        <v>0</v>
      </c>
      <c r="C717" s="14" t="n">
        <v>6</v>
      </c>
      <c r="D717" s="42" t="n">
        <v>0</v>
      </c>
      <c r="E717" s="41" t="n">
        <v>43.67</v>
      </c>
      <c r="F717" s="5" t="str">
        <f aca="false">IF(AND(E717&gt;=5,E717&lt;=20,C717&gt;=80,B717&lt;=1),"Opportunity (pos 5-20, 80+ impr, 0-1 click)","")</f>
        <v/>
      </c>
    </row>
    <row r="718" customFormat="false" ht="15" hidden="false" customHeight="false" outlineLevel="0" collapsed="false">
      <c r="A718" s="14" t="s">
        <v>1597</v>
      </c>
      <c r="B718" s="14" t="n">
        <v>0</v>
      </c>
      <c r="C718" s="14" t="n">
        <v>6</v>
      </c>
      <c r="D718" s="42" t="n">
        <v>0</v>
      </c>
      <c r="E718" s="41" t="n">
        <v>44.67</v>
      </c>
      <c r="F718" s="5" t="str">
        <f aca="false">IF(AND(E718&gt;=5,E718&lt;=20,C718&gt;=80,B718&lt;=1),"Opportunity (pos 5-20, 80+ impr, 0-1 click)","")</f>
        <v/>
      </c>
    </row>
    <row r="719" customFormat="false" ht="15" hidden="false" customHeight="false" outlineLevel="0" collapsed="false">
      <c r="A719" s="14" t="s">
        <v>1598</v>
      </c>
      <c r="B719" s="14" t="n">
        <v>0</v>
      </c>
      <c r="C719" s="14" t="n">
        <v>6</v>
      </c>
      <c r="D719" s="42" t="n">
        <v>0</v>
      </c>
      <c r="E719" s="41" t="n">
        <v>44.67</v>
      </c>
      <c r="F719" s="5" t="str">
        <f aca="false">IF(AND(E719&gt;=5,E719&lt;=20,C719&gt;=80,B719&lt;=1),"Opportunity (pos 5-20, 80+ impr, 0-1 click)","")</f>
        <v/>
      </c>
    </row>
    <row r="720" customFormat="false" ht="15" hidden="false" customHeight="false" outlineLevel="0" collapsed="false">
      <c r="A720" s="14" t="s">
        <v>1599</v>
      </c>
      <c r="B720" s="14" t="n">
        <v>0</v>
      </c>
      <c r="C720" s="14" t="n">
        <v>6</v>
      </c>
      <c r="D720" s="42" t="n">
        <v>0</v>
      </c>
      <c r="E720" s="41" t="n">
        <v>45.5</v>
      </c>
      <c r="F720" s="5" t="str">
        <f aca="false">IF(AND(E720&gt;=5,E720&lt;=20,C720&gt;=80,B720&lt;=1),"Opportunity (pos 5-20, 80+ impr, 0-1 click)","")</f>
        <v/>
      </c>
    </row>
    <row r="721" customFormat="false" ht="15" hidden="false" customHeight="false" outlineLevel="0" collapsed="false">
      <c r="A721" s="14" t="s">
        <v>1600</v>
      </c>
      <c r="B721" s="14" t="n">
        <v>0</v>
      </c>
      <c r="C721" s="14" t="n">
        <v>6</v>
      </c>
      <c r="D721" s="42" t="n">
        <v>0</v>
      </c>
      <c r="E721" s="41" t="n">
        <v>46</v>
      </c>
      <c r="F721" s="5" t="str">
        <f aca="false">IF(AND(E721&gt;=5,E721&lt;=20,C721&gt;=80,B721&lt;=1),"Opportunity (pos 5-20, 80+ impr, 0-1 click)","")</f>
        <v/>
      </c>
    </row>
    <row r="722" customFormat="false" ht="15" hidden="false" customHeight="false" outlineLevel="0" collapsed="false">
      <c r="A722" s="14" t="s">
        <v>1601</v>
      </c>
      <c r="B722" s="14" t="n">
        <v>0</v>
      </c>
      <c r="C722" s="14" t="n">
        <v>6</v>
      </c>
      <c r="D722" s="42" t="n">
        <v>0</v>
      </c>
      <c r="E722" s="41" t="n">
        <v>46.17</v>
      </c>
      <c r="F722" s="5" t="str">
        <f aca="false">IF(AND(E722&gt;=5,E722&lt;=20,C722&gt;=80,B722&lt;=1),"Opportunity (pos 5-20, 80+ impr, 0-1 click)","")</f>
        <v/>
      </c>
    </row>
    <row r="723" customFormat="false" ht="15" hidden="false" customHeight="false" outlineLevel="0" collapsed="false">
      <c r="A723" s="14" t="s">
        <v>1602</v>
      </c>
      <c r="B723" s="14" t="n">
        <v>0</v>
      </c>
      <c r="C723" s="14" t="n">
        <v>6</v>
      </c>
      <c r="D723" s="42" t="n">
        <v>0</v>
      </c>
      <c r="E723" s="41" t="n">
        <v>46.5</v>
      </c>
      <c r="F723" s="5" t="str">
        <f aca="false">IF(AND(E723&gt;=5,E723&lt;=20,C723&gt;=80,B723&lt;=1),"Opportunity (pos 5-20, 80+ impr, 0-1 click)","")</f>
        <v/>
      </c>
    </row>
    <row r="724" customFormat="false" ht="15" hidden="false" customHeight="false" outlineLevel="0" collapsed="false">
      <c r="A724" s="14" t="s">
        <v>1603</v>
      </c>
      <c r="B724" s="14" t="n">
        <v>0</v>
      </c>
      <c r="C724" s="14" t="n">
        <v>6</v>
      </c>
      <c r="D724" s="42" t="n">
        <v>0</v>
      </c>
      <c r="E724" s="41" t="n">
        <v>49</v>
      </c>
      <c r="F724" s="5" t="str">
        <f aca="false">IF(AND(E724&gt;=5,E724&lt;=20,C724&gt;=80,B724&lt;=1),"Opportunity (pos 5-20, 80+ impr, 0-1 click)","")</f>
        <v/>
      </c>
    </row>
    <row r="725" customFormat="false" ht="15" hidden="false" customHeight="false" outlineLevel="0" collapsed="false">
      <c r="A725" s="14" t="s">
        <v>1604</v>
      </c>
      <c r="B725" s="14" t="n">
        <v>0</v>
      </c>
      <c r="C725" s="14" t="n">
        <v>6</v>
      </c>
      <c r="D725" s="42" t="n">
        <v>0</v>
      </c>
      <c r="E725" s="41" t="n">
        <v>51.5</v>
      </c>
      <c r="F725" s="5" t="str">
        <f aca="false">IF(AND(E725&gt;=5,E725&lt;=20,C725&gt;=80,B725&lt;=1),"Opportunity (pos 5-20, 80+ impr, 0-1 click)","")</f>
        <v/>
      </c>
    </row>
    <row r="726" customFormat="false" ht="15" hidden="false" customHeight="false" outlineLevel="0" collapsed="false">
      <c r="A726" s="14" t="s">
        <v>1605</v>
      </c>
      <c r="B726" s="14" t="n">
        <v>0</v>
      </c>
      <c r="C726" s="14" t="n">
        <v>6</v>
      </c>
      <c r="D726" s="42" t="n">
        <v>0</v>
      </c>
      <c r="E726" s="41" t="n">
        <v>54</v>
      </c>
      <c r="F726" s="5" t="str">
        <f aca="false">IF(AND(E726&gt;=5,E726&lt;=20,C726&gt;=80,B726&lt;=1),"Opportunity (pos 5-20, 80+ impr, 0-1 click)","")</f>
        <v/>
      </c>
    </row>
    <row r="727" customFormat="false" ht="15" hidden="false" customHeight="false" outlineLevel="0" collapsed="false">
      <c r="A727" s="14" t="s">
        <v>1606</v>
      </c>
      <c r="B727" s="14" t="n">
        <v>0</v>
      </c>
      <c r="C727" s="14" t="n">
        <v>6</v>
      </c>
      <c r="D727" s="42" t="n">
        <v>0</v>
      </c>
      <c r="E727" s="41" t="n">
        <v>58.5</v>
      </c>
      <c r="F727" s="5" t="str">
        <f aca="false">IF(AND(E727&gt;=5,E727&lt;=20,C727&gt;=80,B727&lt;=1),"Opportunity (pos 5-20, 80+ impr, 0-1 click)","")</f>
        <v/>
      </c>
    </row>
    <row r="728" customFormat="false" ht="15" hidden="false" customHeight="false" outlineLevel="0" collapsed="false">
      <c r="A728" s="14" t="s">
        <v>1607</v>
      </c>
      <c r="B728" s="14" t="n">
        <v>0</v>
      </c>
      <c r="C728" s="14" t="n">
        <v>6</v>
      </c>
      <c r="D728" s="42" t="n">
        <v>0</v>
      </c>
      <c r="E728" s="41" t="n">
        <v>80.83</v>
      </c>
      <c r="F728" s="5" t="str">
        <f aca="false">IF(AND(E728&gt;=5,E728&lt;=20,C728&gt;=80,B728&lt;=1),"Opportunity (pos 5-20, 80+ impr, 0-1 click)","")</f>
        <v/>
      </c>
    </row>
    <row r="729" customFormat="false" ht="15" hidden="false" customHeight="false" outlineLevel="0" collapsed="false">
      <c r="A729" s="43" t="s">
        <v>1608</v>
      </c>
      <c r="B729" s="14" t="n">
        <v>0</v>
      </c>
      <c r="C729" s="14" t="n">
        <v>6</v>
      </c>
      <c r="D729" s="42" t="n">
        <v>0</v>
      </c>
      <c r="E729" s="41" t="n">
        <v>82.33</v>
      </c>
      <c r="F729" s="5" t="str">
        <f aca="false">IF(AND(E729&gt;=5,E729&lt;=20,C729&gt;=80,B729&lt;=1),"Opportunity (pos 5-20, 80+ impr, 0-1 click)","")</f>
        <v/>
      </c>
    </row>
    <row r="730" customFormat="false" ht="15" hidden="false" customHeight="false" outlineLevel="0" collapsed="false">
      <c r="A730" s="43" t="s">
        <v>1609</v>
      </c>
      <c r="B730" s="14" t="n">
        <v>0</v>
      </c>
      <c r="C730" s="14" t="n">
        <v>5</v>
      </c>
      <c r="D730" s="42" t="n">
        <v>0</v>
      </c>
      <c r="E730" s="41" t="n">
        <v>1</v>
      </c>
      <c r="F730" s="5" t="str">
        <f aca="false">IF(AND(E730&gt;=5,E730&lt;=20,C730&gt;=80,B730&lt;=1),"Opportunity (pos 5-20, 80+ impr, 0-1 click)","")</f>
        <v/>
      </c>
    </row>
    <row r="731" customFormat="false" ht="15" hidden="false" customHeight="false" outlineLevel="0" collapsed="false">
      <c r="A731" s="14" t="s">
        <v>1610</v>
      </c>
      <c r="B731" s="14" t="n">
        <v>0</v>
      </c>
      <c r="C731" s="14" t="n">
        <v>5</v>
      </c>
      <c r="D731" s="42" t="n">
        <v>0</v>
      </c>
      <c r="E731" s="41" t="n">
        <v>5.4</v>
      </c>
      <c r="F731" s="5" t="str">
        <f aca="false">IF(AND(E731&gt;=5,E731&lt;=20,C731&gt;=80,B731&lt;=1),"Opportunity (pos 5-20, 80+ impr, 0-1 click)","")</f>
        <v/>
      </c>
    </row>
    <row r="732" customFormat="false" ht="15" hidden="false" customHeight="false" outlineLevel="0" collapsed="false">
      <c r="A732" s="14" t="s">
        <v>1611</v>
      </c>
      <c r="B732" s="14" t="n">
        <v>0</v>
      </c>
      <c r="C732" s="14" t="n">
        <v>5</v>
      </c>
      <c r="D732" s="42" t="n">
        <v>0</v>
      </c>
      <c r="E732" s="41" t="n">
        <v>5.8</v>
      </c>
      <c r="F732" s="5" t="str">
        <f aca="false">IF(AND(E732&gt;=5,E732&lt;=20,C732&gt;=80,B732&lt;=1),"Opportunity (pos 5-20, 80+ impr, 0-1 click)","")</f>
        <v/>
      </c>
    </row>
    <row r="733" customFormat="false" ht="15" hidden="false" customHeight="false" outlineLevel="0" collapsed="false">
      <c r="A733" s="14" t="s">
        <v>1612</v>
      </c>
      <c r="B733" s="14" t="n">
        <v>0</v>
      </c>
      <c r="C733" s="14" t="n">
        <v>5</v>
      </c>
      <c r="D733" s="42" t="n">
        <v>0</v>
      </c>
      <c r="E733" s="41" t="n">
        <v>6.2</v>
      </c>
      <c r="F733" s="5" t="str">
        <f aca="false">IF(AND(E733&gt;=5,E733&lt;=20,C733&gt;=80,B733&lt;=1),"Opportunity (pos 5-20, 80+ impr, 0-1 click)","")</f>
        <v/>
      </c>
    </row>
    <row r="734" customFormat="false" ht="15" hidden="false" customHeight="false" outlineLevel="0" collapsed="false">
      <c r="A734" s="14" t="s">
        <v>1613</v>
      </c>
      <c r="B734" s="14" t="n">
        <v>0</v>
      </c>
      <c r="C734" s="14" t="n">
        <v>5</v>
      </c>
      <c r="D734" s="42" t="n">
        <v>0</v>
      </c>
      <c r="E734" s="41" t="n">
        <v>7</v>
      </c>
      <c r="F734" s="5" t="str">
        <f aca="false">IF(AND(E734&gt;=5,E734&lt;=20,C734&gt;=80,B734&lt;=1),"Opportunity (pos 5-20, 80+ impr, 0-1 click)","")</f>
        <v/>
      </c>
    </row>
    <row r="735" customFormat="false" ht="15" hidden="false" customHeight="false" outlineLevel="0" collapsed="false">
      <c r="A735" s="14" t="s">
        <v>1614</v>
      </c>
      <c r="B735" s="14" t="n">
        <v>0</v>
      </c>
      <c r="C735" s="14" t="n">
        <v>5</v>
      </c>
      <c r="D735" s="42" t="n">
        <v>0</v>
      </c>
      <c r="E735" s="41" t="n">
        <v>7.4</v>
      </c>
      <c r="F735" s="5" t="str">
        <f aca="false">IF(AND(E735&gt;=5,E735&lt;=20,C735&gt;=80,B735&lt;=1),"Opportunity (pos 5-20, 80+ impr, 0-1 click)","")</f>
        <v/>
      </c>
    </row>
    <row r="736" customFormat="false" ht="15" hidden="false" customHeight="false" outlineLevel="0" collapsed="false">
      <c r="A736" s="14" t="s">
        <v>1615</v>
      </c>
      <c r="B736" s="14" t="n">
        <v>0</v>
      </c>
      <c r="C736" s="14" t="n">
        <v>5</v>
      </c>
      <c r="D736" s="42" t="n">
        <v>0</v>
      </c>
      <c r="E736" s="41" t="n">
        <v>7.4</v>
      </c>
      <c r="F736" s="5" t="str">
        <f aca="false">IF(AND(E736&gt;=5,E736&lt;=20,C736&gt;=80,B736&lt;=1),"Opportunity (pos 5-20, 80+ impr, 0-1 click)","")</f>
        <v/>
      </c>
    </row>
    <row r="737" customFormat="false" ht="15" hidden="false" customHeight="false" outlineLevel="0" collapsed="false">
      <c r="A737" s="14" t="s">
        <v>1616</v>
      </c>
      <c r="B737" s="14" t="n">
        <v>0</v>
      </c>
      <c r="C737" s="14" t="n">
        <v>5</v>
      </c>
      <c r="D737" s="42" t="n">
        <v>0</v>
      </c>
      <c r="E737" s="41" t="n">
        <v>8.2</v>
      </c>
      <c r="F737" s="5" t="str">
        <f aca="false">IF(AND(E737&gt;=5,E737&lt;=20,C737&gt;=80,B737&lt;=1),"Opportunity (pos 5-20, 80+ impr, 0-1 click)","")</f>
        <v/>
      </c>
    </row>
    <row r="738" customFormat="false" ht="15" hidden="false" customHeight="false" outlineLevel="0" collapsed="false">
      <c r="A738" s="14" t="s">
        <v>1617</v>
      </c>
      <c r="B738" s="14" t="n">
        <v>0</v>
      </c>
      <c r="C738" s="14" t="n">
        <v>5</v>
      </c>
      <c r="D738" s="42" t="n">
        <v>0</v>
      </c>
      <c r="E738" s="41" t="n">
        <v>8.2</v>
      </c>
      <c r="F738" s="5" t="str">
        <f aca="false">IF(AND(E738&gt;=5,E738&lt;=20,C738&gt;=80,B738&lt;=1),"Opportunity (pos 5-20, 80+ impr, 0-1 click)","")</f>
        <v/>
      </c>
    </row>
    <row r="739" customFormat="false" ht="15" hidden="false" customHeight="false" outlineLevel="0" collapsed="false">
      <c r="A739" s="14" t="s">
        <v>1618</v>
      </c>
      <c r="B739" s="14" t="n">
        <v>0</v>
      </c>
      <c r="C739" s="14" t="n">
        <v>5</v>
      </c>
      <c r="D739" s="42" t="n">
        <v>0</v>
      </c>
      <c r="E739" s="41" t="n">
        <v>8.4</v>
      </c>
      <c r="F739" s="5" t="str">
        <f aca="false">IF(AND(E739&gt;=5,E739&lt;=20,C739&gt;=80,B739&lt;=1),"Opportunity (pos 5-20, 80+ impr, 0-1 click)","")</f>
        <v/>
      </c>
    </row>
    <row r="740" customFormat="false" ht="15" hidden="false" customHeight="false" outlineLevel="0" collapsed="false">
      <c r="A740" s="14" t="s">
        <v>1619</v>
      </c>
      <c r="B740" s="14" t="n">
        <v>0</v>
      </c>
      <c r="C740" s="14" t="n">
        <v>5</v>
      </c>
      <c r="D740" s="42" t="n">
        <v>0</v>
      </c>
      <c r="E740" s="41" t="n">
        <v>8.4</v>
      </c>
      <c r="F740" s="5" t="str">
        <f aca="false">IF(AND(E740&gt;=5,E740&lt;=20,C740&gt;=80,B740&lt;=1),"Opportunity (pos 5-20, 80+ impr, 0-1 click)","")</f>
        <v/>
      </c>
    </row>
    <row r="741" customFormat="false" ht="15" hidden="false" customHeight="false" outlineLevel="0" collapsed="false">
      <c r="A741" s="14" t="s">
        <v>1620</v>
      </c>
      <c r="B741" s="14" t="n">
        <v>0</v>
      </c>
      <c r="C741" s="14" t="n">
        <v>5</v>
      </c>
      <c r="D741" s="42" t="n">
        <v>0</v>
      </c>
      <c r="E741" s="41" t="n">
        <v>8.6</v>
      </c>
      <c r="F741" s="5" t="str">
        <f aca="false">IF(AND(E741&gt;=5,E741&lt;=20,C741&gt;=80,B741&lt;=1),"Opportunity (pos 5-20, 80+ impr, 0-1 click)","")</f>
        <v/>
      </c>
    </row>
    <row r="742" customFormat="false" ht="15" hidden="false" customHeight="false" outlineLevel="0" collapsed="false">
      <c r="A742" s="14" t="s">
        <v>1621</v>
      </c>
      <c r="B742" s="14" t="n">
        <v>0</v>
      </c>
      <c r="C742" s="14" t="n">
        <v>5</v>
      </c>
      <c r="D742" s="42" t="n">
        <v>0</v>
      </c>
      <c r="E742" s="41" t="n">
        <v>8.6</v>
      </c>
      <c r="F742" s="5" t="str">
        <f aca="false">IF(AND(E742&gt;=5,E742&lt;=20,C742&gt;=80,B742&lt;=1),"Opportunity (pos 5-20, 80+ impr, 0-1 click)","")</f>
        <v/>
      </c>
    </row>
    <row r="743" customFormat="false" ht="15" hidden="false" customHeight="false" outlineLevel="0" collapsed="false">
      <c r="A743" s="14" t="s">
        <v>1622</v>
      </c>
      <c r="B743" s="14" t="n">
        <v>0</v>
      </c>
      <c r="C743" s="14" t="n">
        <v>5</v>
      </c>
      <c r="D743" s="42" t="n">
        <v>0</v>
      </c>
      <c r="E743" s="41" t="n">
        <v>8.6</v>
      </c>
      <c r="F743" s="5" t="str">
        <f aca="false">IF(AND(E743&gt;=5,E743&lt;=20,C743&gt;=80,B743&lt;=1),"Opportunity (pos 5-20, 80+ impr, 0-1 click)","")</f>
        <v/>
      </c>
    </row>
    <row r="744" customFormat="false" ht="15" hidden="false" customHeight="false" outlineLevel="0" collapsed="false">
      <c r="A744" s="14" t="s">
        <v>1623</v>
      </c>
      <c r="B744" s="14" t="n">
        <v>0</v>
      </c>
      <c r="C744" s="14" t="n">
        <v>5</v>
      </c>
      <c r="D744" s="42" t="n">
        <v>0</v>
      </c>
      <c r="E744" s="41" t="n">
        <v>9</v>
      </c>
      <c r="F744" s="5" t="str">
        <f aca="false">IF(AND(E744&gt;=5,E744&lt;=20,C744&gt;=80,B744&lt;=1),"Opportunity (pos 5-20, 80+ impr, 0-1 click)","")</f>
        <v/>
      </c>
    </row>
    <row r="745" customFormat="false" ht="15" hidden="false" customHeight="false" outlineLevel="0" collapsed="false">
      <c r="A745" s="14" t="s">
        <v>1624</v>
      </c>
      <c r="B745" s="14" t="n">
        <v>0</v>
      </c>
      <c r="C745" s="14" t="n">
        <v>5</v>
      </c>
      <c r="D745" s="42" t="n">
        <v>0</v>
      </c>
      <c r="E745" s="41" t="n">
        <v>10</v>
      </c>
      <c r="F745" s="5" t="str">
        <f aca="false">IF(AND(E745&gt;=5,E745&lt;=20,C745&gt;=80,B745&lt;=1),"Opportunity (pos 5-20, 80+ impr, 0-1 click)","")</f>
        <v/>
      </c>
    </row>
    <row r="746" customFormat="false" ht="15" hidden="false" customHeight="false" outlineLevel="0" collapsed="false">
      <c r="A746" s="14" t="s">
        <v>1625</v>
      </c>
      <c r="B746" s="14" t="n">
        <v>0</v>
      </c>
      <c r="C746" s="14" t="n">
        <v>5</v>
      </c>
      <c r="D746" s="42" t="n">
        <v>0</v>
      </c>
      <c r="E746" s="41" t="n">
        <v>10.2</v>
      </c>
      <c r="F746" s="5" t="str">
        <f aca="false">IF(AND(E746&gt;=5,E746&lt;=20,C746&gt;=80,B746&lt;=1),"Opportunity (pos 5-20, 80+ impr, 0-1 click)","")</f>
        <v/>
      </c>
    </row>
    <row r="747" customFormat="false" ht="15" hidden="false" customHeight="false" outlineLevel="0" collapsed="false">
      <c r="A747" s="14" t="s">
        <v>1626</v>
      </c>
      <c r="B747" s="14" t="n">
        <v>0</v>
      </c>
      <c r="C747" s="14" t="n">
        <v>5</v>
      </c>
      <c r="D747" s="42" t="n">
        <v>0</v>
      </c>
      <c r="E747" s="41" t="n">
        <v>10.2</v>
      </c>
      <c r="F747" s="5" t="str">
        <f aca="false">IF(AND(E747&gt;=5,E747&lt;=20,C747&gt;=80,B747&lt;=1),"Opportunity (pos 5-20, 80+ impr, 0-1 click)","")</f>
        <v/>
      </c>
    </row>
    <row r="748" customFormat="false" ht="15" hidden="false" customHeight="false" outlineLevel="0" collapsed="false">
      <c r="A748" s="14" t="s">
        <v>1627</v>
      </c>
      <c r="B748" s="14" t="n">
        <v>0</v>
      </c>
      <c r="C748" s="14" t="n">
        <v>5</v>
      </c>
      <c r="D748" s="42" t="n">
        <v>0</v>
      </c>
      <c r="E748" s="41" t="n">
        <v>10.2</v>
      </c>
      <c r="F748" s="5" t="str">
        <f aca="false">IF(AND(E748&gt;=5,E748&lt;=20,C748&gt;=80,B748&lt;=1),"Opportunity (pos 5-20, 80+ impr, 0-1 click)","")</f>
        <v/>
      </c>
    </row>
    <row r="749" customFormat="false" ht="15" hidden="false" customHeight="false" outlineLevel="0" collapsed="false">
      <c r="A749" s="14" t="s">
        <v>1628</v>
      </c>
      <c r="B749" s="14" t="n">
        <v>0</v>
      </c>
      <c r="C749" s="14" t="n">
        <v>5</v>
      </c>
      <c r="D749" s="42" t="n">
        <v>0</v>
      </c>
      <c r="E749" s="41" t="n">
        <v>10.6</v>
      </c>
      <c r="F749" s="5" t="str">
        <f aca="false">IF(AND(E749&gt;=5,E749&lt;=20,C749&gt;=80,B749&lt;=1),"Opportunity (pos 5-20, 80+ impr, 0-1 click)","")</f>
        <v/>
      </c>
    </row>
    <row r="750" customFormat="false" ht="15" hidden="false" customHeight="false" outlineLevel="0" collapsed="false">
      <c r="A750" s="14" t="s">
        <v>1629</v>
      </c>
      <c r="B750" s="14" t="n">
        <v>0</v>
      </c>
      <c r="C750" s="14" t="n">
        <v>5</v>
      </c>
      <c r="D750" s="42" t="n">
        <v>0</v>
      </c>
      <c r="E750" s="41" t="n">
        <v>10.6</v>
      </c>
      <c r="F750" s="5" t="str">
        <f aca="false">IF(AND(E750&gt;=5,E750&lt;=20,C750&gt;=80,B750&lt;=1),"Opportunity (pos 5-20, 80+ impr, 0-1 click)","")</f>
        <v/>
      </c>
    </row>
    <row r="751" customFormat="false" ht="15" hidden="false" customHeight="false" outlineLevel="0" collapsed="false">
      <c r="A751" s="14" t="s">
        <v>1630</v>
      </c>
      <c r="B751" s="14" t="n">
        <v>0</v>
      </c>
      <c r="C751" s="14" t="n">
        <v>5</v>
      </c>
      <c r="D751" s="42" t="n">
        <v>0</v>
      </c>
      <c r="E751" s="41" t="n">
        <v>10.6</v>
      </c>
      <c r="F751" s="5" t="str">
        <f aca="false">IF(AND(E751&gt;=5,E751&lt;=20,C751&gt;=80,B751&lt;=1),"Opportunity (pos 5-20, 80+ impr, 0-1 click)","")</f>
        <v/>
      </c>
    </row>
    <row r="752" customFormat="false" ht="15" hidden="false" customHeight="false" outlineLevel="0" collapsed="false">
      <c r="A752" s="14" t="s">
        <v>1631</v>
      </c>
      <c r="B752" s="14" t="n">
        <v>0</v>
      </c>
      <c r="C752" s="14" t="n">
        <v>5</v>
      </c>
      <c r="D752" s="42" t="n">
        <v>0</v>
      </c>
      <c r="E752" s="41" t="n">
        <v>10.8</v>
      </c>
      <c r="F752" s="5" t="str">
        <f aca="false">IF(AND(E752&gt;=5,E752&lt;=20,C752&gt;=80,B752&lt;=1),"Opportunity (pos 5-20, 80+ impr, 0-1 click)","")</f>
        <v/>
      </c>
    </row>
    <row r="753" customFormat="false" ht="15" hidden="false" customHeight="false" outlineLevel="0" collapsed="false">
      <c r="A753" s="14" t="s">
        <v>1632</v>
      </c>
      <c r="B753" s="14" t="n">
        <v>0</v>
      </c>
      <c r="C753" s="14" t="n">
        <v>5</v>
      </c>
      <c r="D753" s="42" t="n">
        <v>0</v>
      </c>
      <c r="E753" s="41" t="n">
        <v>10.8</v>
      </c>
      <c r="F753" s="5" t="str">
        <f aca="false">IF(AND(E753&gt;=5,E753&lt;=20,C753&gt;=80,B753&lt;=1),"Opportunity (pos 5-20, 80+ impr, 0-1 click)","")</f>
        <v/>
      </c>
    </row>
    <row r="754" customFormat="false" ht="15" hidden="false" customHeight="false" outlineLevel="0" collapsed="false">
      <c r="A754" s="14" t="s">
        <v>1633</v>
      </c>
      <c r="B754" s="14" t="n">
        <v>0</v>
      </c>
      <c r="C754" s="14" t="n">
        <v>5</v>
      </c>
      <c r="D754" s="42" t="n">
        <v>0</v>
      </c>
      <c r="E754" s="41" t="n">
        <v>10.8</v>
      </c>
      <c r="F754" s="5" t="str">
        <f aca="false">IF(AND(E754&gt;=5,E754&lt;=20,C754&gt;=80,B754&lt;=1),"Opportunity (pos 5-20, 80+ impr, 0-1 click)","")</f>
        <v/>
      </c>
    </row>
    <row r="755" customFormat="false" ht="15" hidden="false" customHeight="false" outlineLevel="0" collapsed="false">
      <c r="A755" s="14" t="s">
        <v>1634</v>
      </c>
      <c r="B755" s="14" t="n">
        <v>0</v>
      </c>
      <c r="C755" s="14" t="n">
        <v>5</v>
      </c>
      <c r="D755" s="42" t="n">
        <v>0</v>
      </c>
      <c r="E755" s="41" t="n">
        <v>11</v>
      </c>
      <c r="F755" s="5" t="str">
        <f aca="false">IF(AND(E755&gt;=5,E755&lt;=20,C755&gt;=80,B755&lt;=1),"Opportunity (pos 5-20, 80+ impr, 0-1 click)","")</f>
        <v/>
      </c>
    </row>
    <row r="756" customFormat="false" ht="15" hidden="false" customHeight="false" outlineLevel="0" collapsed="false">
      <c r="A756" s="14" t="s">
        <v>1635</v>
      </c>
      <c r="B756" s="14" t="n">
        <v>0</v>
      </c>
      <c r="C756" s="14" t="n">
        <v>5</v>
      </c>
      <c r="D756" s="42" t="n">
        <v>0</v>
      </c>
      <c r="E756" s="41" t="n">
        <v>11</v>
      </c>
      <c r="F756" s="5" t="str">
        <f aca="false">IF(AND(E756&gt;=5,E756&lt;=20,C756&gt;=80,B756&lt;=1),"Opportunity (pos 5-20, 80+ impr, 0-1 click)","")</f>
        <v/>
      </c>
    </row>
    <row r="757" customFormat="false" ht="15" hidden="false" customHeight="false" outlineLevel="0" collapsed="false">
      <c r="A757" s="14" t="s">
        <v>1636</v>
      </c>
      <c r="B757" s="14" t="n">
        <v>0</v>
      </c>
      <c r="C757" s="14" t="n">
        <v>5</v>
      </c>
      <c r="D757" s="42" t="n">
        <v>0</v>
      </c>
      <c r="E757" s="41" t="n">
        <v>11.2</v>
      </c>
      <c r="F757" s="5" t="str">
        <f aca="false">IF(AND(E757&gt;=5,E757&lt;=20,C757&gt;=80,B757&lt;=1),"Opportunity (pos 5-20, 80+ impr, 0-1 click)","")</f>
        <v/>
      </c>
    </row>
    <row r="758" customFormat="false" ht="15" hidden="false" customHeight="false" outlineLevel="0" collapsed="false">
      <c r="A758" s="14" t="s">
        <v>1637</v>
      </c>
      <c r="B758" s="14" t="n">
        <v>0</v>
      </c>
      <c r="C758" s="14" t="n">
        <v>5</v>
      </c>
      <c r="D758" s="42" t="n">
        <v>0</v>
      </c>
      <c r="E758" s="41" t="n">
        <v>11.2</v>
      </c>
      <c r="F758" s="5" t="str">
        <f aca="false">IF(AND(E758&gt;=5,E758&lt;=20,C758&gt;=80,B758&lt;=1),"Opportunity (pos 5-20, 80+ impr, 0-1 click)","")</f>
        <v/>
      </c>
    </row>
    <row r="759" customFormat="false" ht="15" hidden="false" customHeight="false" outlineLevel="0" collapsed="false">
      <c r="A759" s="14" t="s">
        <v>1638</v>
      </c>
      <c r="B759" s="14" t="n">
        <v>0</v>
      </c>
      <c r="C759" s="14" t="n">
        <v>5</v>
      </c>
      <c r="D759" s="42" t="n">
        <v>0</v>
      </c>
      <c r="E759" s="41" t="n">
        <v>11.2</v>
      </c>
      <c r="F759" s="5" t="str">
        <f aca="false">IF(AND(E759&gt;=5,E759&lt;=20,C759&gt;=80,B759&lt;=1),"Opportunity (pos 5-20, 80+ impr, 0-1 click)","")</f>
        <v/>
      </c>
    </row>
    <row r="760" customFormat="false" ht="15" hidden="false" customHeight="false" outlineLevel="0" collapsed="false">
      <c r="A760" s="14" t="s">
        <v>1639</v>
      </c>
      <c r="B760" s="14" t="n">
        <v>0</v>
      </c>
      <c r="C760" s="14" t="n">
        <v>5</v>
      </c>
      <c r="D760" s="42" t="n">
        <v>0</v>
      </c>
      <c r="E760" s="41" t="n">
        <v>11.4</v>
      </c>
      <c r="F760" s="5" t="str">
        <f aca="false">IF(AND(E760&gt;=5,E760&lt;=20,C760&gt;=80,B760&lt;=1),"Opportunity (pos 5-20, 80+ impr, 0-1 click)","")</f>
        <v/>
      </c>
    </row>
    <row r="761" customFormat="false" ht="15" hidden="false" customHeight="false" outlineLevel="0" collapsed="false">
      <c r="A761" s="14" t="s">
        <v>1640</v>
      </c>
      <c r="B761" s="14" t="n">
        <v>0</v>
      </c>
      <c r="C761" s="14" t="n">
        <v>5</v>
      </c>
      <c r="D761" s="42" t="n">
        <v>0</v>
      </c>
      <c r="E761" s="41" t="n">
        <v>11.6</v>
      </c>
      <c r="F761" s="5" t="str">
        <f aca="false">IF(AND(E761&gt;=5,E761&lt;=20,C761&gt;=80,B761&lt;=1),"Opportunity (pos 5-20, 80+ impr, 0-1 click)","")</f>
        <v/>
      </c>
    </row>
    <row r="762" customFormat="false" ht="15" hidden="false" customHeight="false" outlineLevel="0" collapsed="false">
      <c r="A762" s="14" t="s">
        <v>1641</v>
      </c>
      <c r="B762" s="14" t="n">
        <v>0</v>
      </c>
      <c r="C762" s="14" t="n">
        <v>5</v>
      </c>
      <c r="D762" s="42" t="n">
        <v>0</v>
      </c>
      <c r="E762" s="41" t="n">
        <v>11.8</v>
      </c>
      <c r="F762" s="5" t="str">
        <f aca="false">IF(AND(E762&gt;=5,E762&lt;=20,C762&gt;=80,B762&lt;=1),"Opportunity (pos 5-20, 80+ impr, 0-1 click)","")</f>
        <v/>
      </c>
    </row>
    <row r="763" customFormat="false" ht="15" hidden="false" customHeight="false" outlineLevel="0" collapsed="false">
      <c r="A763" s="14" t="s">
        <v>1642</v>
      </c>
      <c r="B763" s="14" t="n">
        <v>0</v>
      </c>
      <c r="C763" s="14" t="n">
        <v>5</v>
      </c>
      <c r="D763" s="42" t="n">
        <v>0</v>
      </c>
      <c r="E763" s="41" t="n">
        <v>11.8</v>
      </c>
      <c r="F763" s="5" t="str">
        <f aca="false">IF(AND(E763&gt;=5,E763&lt;=20,C763&gt;=80,B763&lt;=1),"Opportunity (pos 5-20, 80+ impr, 0-1 click)","")</f>
        <v/>
      </c>
    </row>
    <row r="764" customFormat="false" ht="15" hidden="false" customHeight="false" outlineLevel="0" collapsed="false">
      <c r="A764" s="14" t="s">
        <v>1643</v>
      </c>
      <c r="B764" s="14" t="n">
        <v>0</v>
      </c>
      <c r="C764" s="14" t="n">
        <v>5</v>
      </c>
      <c r="D764" s="42" t="n">
        <v>0</v>
      </c>
      <c r="E764" s="41" t="n">
        <v>11.8</v>
      </c>
      <c r="F764" s="5" t="str">
        <f aca="false">IF(AND(E764&gt;=5,E764&lt;=20,C764&gt;=80,B764&lt;=1),"Opportunity (pos 5-20, 80+ impr, 0-1 click)","")</f>
        <v/>
      </c>
    </row>
    <row r="765" customFormat="false" ht="15" hidden="false" customHeight="false" outlineLevel="0" collapsed="false">
      <c r="A765" s="14" t="s">
        <v>1644</v>
      </c>
      <c r="B765" s="14" t="n">
        <v>0</v>
      </c>
      <c r="C765" s="14" t="n">
        <v>5</v>
      </c>
      <c r="D765" s="42" t="n">
        <v>0</v>
      </c>
      <c r="E765" s="41" t="n">
        <v>11.8</v>
      </c>
      <c r="F765" s="5" t="str">
        <f aca="false">IF(AND(E765&gt;=5,E765&lt;=20,C765&gt;=80,B765&lt;=1),"Opportunity (pos 5-20, 80+ impr, 0-1 click)","")</f>
        <v/>
      </c>
    </row>
    <row r="766" customFormat="false" ht="15" hidden="false" customHeight="false" outlineLevel="0" collapsed="false">
      <c r="A766" s="14" t="s">
        <v>1645</v>
      </c>
      <c r="B766" s="14" t="n">
        <v>0</v>
      </c>
      <c r="C766" s="14" t="n">
        <v>5</v>
      </c>
      <c r="D766" s="42" t="n">
        <v>0</v>
      </c>
      <c r="E766" s="41" t="n">
        <v>11.8</v>
      </c>
      <c r="F766" s="5" t="str">
        <f aca="false">IF(AND(E766&gt;=5,E766&lt;=20,C766&gt;=80,B766&lt;=1),"Opportunity (pos 5-20, 80+ impr, 0-1 click)","")</f>
        <v/>
      </c>
    </row>
    <row r="767" customFormat="false" ht="15" hidden="false" customHeight="false" outlineLevel="0" collapsed="false">
      <c r="A767" s="14" t="s">
        <v>1646</v>
      </c>
      <c r="B767" s="14" t="n">
        <v>0</v>
      </c>
      <c r="C767" s="14" t="n">
        <v>5</v>
      </c>
      <c r="D767" s="42" t="n">
        <v>0</v>
      </c>
      <c r="E767" s="41" t="n">
        <v>12.2</v>
      </c>
      <c r="F767" s="5" t="str">
        <f aca="false">IF(AND(E767&gt;=5,E767&lt;=20,C767&gt;=80,B767&lt;=1),"Opportunity (pos 5-20, 80+ impr, 0-1 click)","")</f>
        <v/>
      </c>
    </row>
    <row r="768" customFormat="false" ht="15" hidden="false" customHeight="false" outlineLevel="0" collapsed="false">
      <c r="A768" s="14" t="s">
        <v>1647</v>
      </c>
      <c r="B768" s="14" t="n">
        <v>0</v>
      </c>
      <c r="C768" s="14" t="n">
        <v>5</v>
      </c>
      <c r="D768" s="42" t="n">
        <v>0</v>
      </c>
      <c r="E768" s="41" t="n">
        <v>12.2</v>
      </c>
      <c r="F768" s="5" t="str">
        <f aca="false">IF(AND(E768&gt;=5,E768&lt;=20,C768&gt;=80,B768&lt;=1),"Opportunity (pos 5-20, 80+ impr, 0-1 click)","")</f>
        <v/>
      </c>
    </row>
    <row r="769" customFormat="false" ht="15" hidden="false" customHeight="false" outlineLevel="0" collapsed="false">
      <c r="A769" s="14" t="s">
        <v>1648</v>
      </c>
      <c r="B769" s="14" t="n">
        <v>0</v>
      </c>
      <c r="C769" s="14" t="n">
        <v>5</v>
      </c>
      <c r="D769" s="42" t="n">
        <v>0</v>
      </c>
      <c r="E769" s="41" t="n">
        <v>12.4</v>
      </c>
      <c r="F769" s="5" t="str">
        <f aca="false">IF(AND(E769&gt;=5,E769&lt;=20,C769&gt;=80,B769&lt;=1),"Opportunity (pos 5-20, 80+ impr, 0-1 click)","")</f>
        <v/>
      </c>
    </row>
    <row r="770" customFormat="false" ht="15" hidden="false" customHeight="false" outlineLevel="0" collapsed="false">
      <c r="A770" s="14" t="s">
        <v>1649</v>
      </c>
      <c r="B770" s="14" t="n">
        <v>0</v>
      </c>
      <c r="C770" s="14" t="n">
        <v>5</v>
      </c>
      <c r="D770" s="42" t="n">
        <v>0</v>
      </c>
      <c r="E770" s="41" t="n">
        <v>12.6</v>
      </c>
      <c r="F770" s="5" t="str">
        <f aca="false">IF(AND(E770&gt;=5,E770&lt;=20,C770&gt;=80,B770&lt;=1),"Opportunity (pos 5-20, 80+ impr, 0-1 click)","")</f>
        <v/>
      </c>
    </row>
    <row r="771" customFormat="false" ht="15" hidden="false" customHeight="false" outlineLevel="0" collapsed="false">
      <c r="A771" s="14" t="s">
        <v>1650</v>
      </c>
      <c r="B771" s="14" t="n">
        <v>0</v>
      </c>
      <c r="C771" s="14" t="n">
        <v>5</v>
      </c>
      <c r="D771" s="42" t="n">
        <v>0</v>
      </c>
      <c r="E771" s="41" t="n">
        <v>12.8</v>
      </c>
      <c r="F771" s="5" t="str">
        <f aca="false">IF(AND(E771&gt;=5,E771&lt;=20,C771&gt;=80,B771&lt;=1),"Opportunity (pos 5-20, 80+ impr, 0-1 click)","")</f>
        <v/>
      </c>
    </row>
    <row r="772" customFormat="false" ht="15" hidden="false" customHeight="false" outlineLevel="0" collapsed="false">
      <c r="A772" s="14" t="s">
        <v>1651</v>
      </c>
      <c r="B772" s="14" t="n">
        <v>0</v>
      </c>
      <c r="C772" s="14" t="n">
        <v>5</v>
      </c>
      <c r="D772" s="42" t="n">
        <v>0</v>
      </c>
      <c r="E772" s="41" t="n">
        <v>13.2</v>
      </c>
      <c r="F772" s="5" t="str">
        <f aca="false">IF(AND(E772&gt;=5,E772&lt;=20,C772&gt;=80,B772&lt;=1),"Opportunity (pos 5-20, 80+ impr, 0-1 click)","")</f>
        <v/>
      </c>
    </row>
    <row r="773" customFormat="false" ht="15" hidden="false" customHeight="false" outlineLevel="0" collapsed="false">
      <c r="A773" s="14" t="s">
        <v>1652</v>
      </c>
      <c r="B773" s="14" t="n">
        <v>0</v>
      </c>
      <c r="C773" s="14" t="n">
        <v>5</v>
      </c>
      <c r="D773" s="42" t="n">
        <v>0</v>
      </c>
      <c r="E773" s="41" t="n">
        <v>13.2</v>
      </c>
      <c r="F773" s="5" t="str">
        <f aca="false">IF(AND(E773&gt;=5,E773&lt;=20,C773&gt;=80,B773&lt;=1),"Opportunity (pos 5-20, 80+ impr, 0-1 click)","")</f>
        <v/>
      </c>
    </row>
    <row r="774" customFormat="false" ht="15" hidden="false" customHeight="false" outlineLevel="0" collapsed="false">
      <c r="A774" s="14" t="s">
        <v>1653</v>
      </c>
      <c r="B774" s="14" t="n">
        <v>0</v>
      </c>
      <c r="C774" s="14" t="n">
        <v>5</v>
      </c>
      <c r="D774" s="42" t="n">
        <v>0</v>
      </c>
      <c r="E774" s="41" t="n">
        <v>14.2</v>
      </c>
      <c r="F774" s="5" t="str">
        <f aca="false">IF(AND(E774&gt;=5,E774&lt;=20,C774&gt;=80,B774&lt;=1),"Opportunity (pos 5-20, 80+ impr, 0-1 click)","")</f>
        <v/>
      </c>
    </row>
    <row r="775" customFormat="false" ht="15" hidden="false" customHeight="false" outlineLevel="0" collapsed="false">
      <c r="A775" s="14" t="s">
        <v>1654</v>
      </c>
      <c r="B775" s="14" t="n">
        <v>0</v>
      </c>
      <c r="C775" s="14" t="n">
        <v>5</v>
      </c>
      <c r="D775" s="42" t="n">
        <v>0</v>
      </c>
      <c r="E775" s="41" t="n">
        <v>14.8</v>
      </c>
      <c r="F775" s="5" t="str">
        <f aca="false">IF(AND(E775&gt;=5,E775&lt;=20,C775&gt;=80,B775&lt;=1),"Opportunity (pos 5-20, 80+ impr, 0-1 click)","")</f>
        <v/>
      </c>
    </row>
    <row r="776" customFormat="false" ht="15" hidden="false" customHeight="false" outlineLevel="0" collapsed="false">
      <c r="A776" s="14" t="s">
        <v>1655</v>
      </c>
      <c r="B776" s="14" t="n">
        <v>0</v>
      </c>
      <c r="C776" s="14" t="n">
        <v>5</v>
      </c>
      <c r="D776" s="42" t="n">
        <v>0</v>
      </c>
      <c r="E776" s="41" t="n">
        <v>15</v>
      </c>
      <c r="F776" s="5" t="str">
        <f aca="false">IF(AND(E776&gt;=5,E776&lt;=20,C776&gt;=80,B776&lt;=1),"Opportunity (pos 5-20, 80+ impr, 0-1 click)","")</f>
        <v/>
      </c>
    </row>
    <row r="777" customFormat="false" ht="15" hidden="false" customHeight="false" outlineLevel="0" collapsed="false">
      <c r="A777" s="14" t="s">
        <v>1656</v>
      </c>
      <c r="B777" s="14" t="n">
        <v>0</v>
      </c>
      <c r="C777" s="14" t="n">
        <v>5</v>
      </c>
      <c r="D777" s="42" t="n">
        <v>0</v>
      </c>
      <c r="E777" s="41" t="n">
        <v>15.2</v>
      </c>
      <c r="F777" s="5" t="str">
        <f aca="false">IF(AND(E777&gt;=5,E777&lt;=20,C777&gt;=80,B777&lt;=1),"Opportunity (pos 5-20, 80+ impr, 0-1 click)","")</f>
        <v/>
      </c>
    </row>
    <row r="778" customFormat="false" ht="15" hidden="false" customHeight="false" outlineLevel="0" collapsed="false">
      <c r="A778" s="14" t="s">
        <v>1657</v>
      </c>
      <c r="B778" s="14" t="n">
        <v>0</v>
      </c>
      <c r="C778" s="14" t="n">
        <v>5</v>
      </c>
      <c r="D778" s="42" t="n">
        <v>0</v>
      </c>
      <c r="E778" s="41" t="n">
        <v>15.2</v>
      </c>
      <c r="F778" s="5" t="str">
        <f aca="false">IF(AND(E778&gt;=5,E778&lt;=20,C778&gt;=80,B778&lt;=1),"Opportunity (pos 5-20, 80+ impr, 0-1 click)","")</f>
        <v/>
      </c>
    </row>
    <row r="779" customFormat="false" ht="15" hidden="false" customHeight="false" outlineLevel="0" collapsed="false">
      <c r="A779" s="14" t="s">
        <v>1658</v>
      </c>
      <c r="B779" s="14" t="n">
        <v>0</v>
      </c>
      <c r="C779" s="14" t="n">
        <v>5</v>
      </c>
      <c r="D779" s="42" t="n">
        <v>0</v>
      </c>
      <c r="E779" s="41" t="n">
        <v>15.4</v>
      </c>
      <c r="F779" s="5" t="str">
        <f aca="false">IF(AND(E779&gt;=5,E779&lt;=20,C779&gt;=80,B779&lt;=1),"Opportunity (pos 5-20, 80+ impr, 0-1 click)","")</f>
        <v/>
      </c>
    </row>
    <row r="780" customFormat="false" ht="15" hidden="false" customHeight="false" outlineLevel="0" collapsed="false">
      <c r="A780" s="14" t="s">
        <v>1659</v>
      </c>
      <c r="B780" s="14" t="n">
        <v>0</v>
      </c>
      <c r="C780" s="14" t="n">
        <v>5</v>
      </c>
      <c r="D780" s="42" t="n">
        <v>0</v>
      </c>
      <c r="E780" s="41" t="n">
        <v>15.4</v>
      </c>
      <c r="F780" s="5" t="str">
        <f aca="false">IF(AND(E780&gt;=5,E780&lt;=20,C780&gt;=80,B780&lt;=1),"Opportunity (pos 5-20, 80+ impr, 0-1 click)","")</f>
        <v/>
      </c>
    </row>
    <row r="781" customFormat="false" ht="15" hidden="false" customHeight="false" outlineLevel="0" collapsed="false">
      <c r="A781" s="14" t="s">
        <v>1660</v>
      </c>
      <c r="B781" s="14" t="n">
        <v>0</v>
      </c>
      <c r="C781" s="14" t="n">
        <v>5</v>
      </c>
      <c r="D781" s="42" t="n">
        <v>0</v>
      </c>
      <c r="E781" s="41" t="n">
        <v>15.6</v>
      </c>
      <c r="F781" s="5" t="str">
        <f aca="false">IF(AND(E781&gt;=5,E781&lt;=20,C781&gt;=80,B781&lt;=1),"Opportunity (pos 5-20, 80+ impr, 0-1 click)","")</f>
        <v/>
      </c>
    </row>
    <row r="782" customFormat="false" ht="15" hidden="false" customHeight="false" outlineLevel="0" collapsed="false">
      <c r="A782" s="14" t="s">
        <v>1661</v>
      </c>
      <c r="B782" s="14" t="n">
        <v>0</v>
      </c>
      <c r="C782" s="14" t="n">
        <v>5</v>
      </c>
      <c r="D782" s="42" t="n">
        <v>0</v>
      </c>
      <c r="E782" s="41" t="n">
        <v>16.2</v>
      </c>
      <c r="F782" s="5" t="str">
        <f aca="false">IF(AND(E782&gt;=5,E782&lt;=20,C782&gt;=80,B782&lt;=1),"Opportunity (pos 5-20, 80+ impr, 0-1 click)","")</f>
        <v/>
      </c>
    </row>
    <row r="783" customFormat="false" ht="15" hidden="false" customHeight="false" outlineLevel="0" collapsed="false">
      <c r="A783" s="14" t="s">
        <v>1662</v>
      </c>
      <c r="B783" s="14" t="n">
        <v>0</v>
      </c>
      <c r="C783" s="14" t="n">
        <v>5</v>
      </c>
      <c r="D783" s="42" t="n">
        <v>0</v>
      </c>
      <c r="E783" s="41" t="n">
        <v>16.4</v>
      </c>
      <c r="F783" s="5" t="str">
        <f aca="false">IF(AND(E783&gt;=5,E783&lt;=20,C783&gt;=80,B783&lt;=1),"Opportunity (pos 5-20, 80+ impr, 0-1 click)","")</f>
        <v/>
      </c>
    </row>
    <row r="784" customFormat="false" ht="15" hidden="false" customHeight="false" outlineLevel="0" collapsed="false">
      <c r="A784" s="14" t="s">
        <v>1663</v>
      </c>
      <c r="B784" s="14" t="n">
        <v>0</v>
      </c>
      <c r="C784" s="14" t="n">
        <v>5</v>
      </c>
      <c r="D784" s="42" t="n">
        <v>0</v>
      </c>
      <c r="E784" s="41" t="n">
        <v>16.6</v>
      </c>
      <c r="F784" s="5" t="str">
        <f aca="false">IF(AND(E784&gt;=5,E784&lt;=20,C784&gt;=80,B784&lt;=1),"Opportunity (pos 5-20, 80+ impr, 0-1 click)","")</f>
        <v/>
      </c>
    </row>
    <row r="785" customFormat="false" ht="15" hidden="false" customHeight="false" outlineLevel="0" collapsed="false">
      <c r="A785" s="14" t="s">
        <v>1664</v>
      </c>
      <c r="B785" s="14" t="n">
        <v>0</v>
      </c>
      <c r="C785" s="14" t="n">
        <v>5</v>
      </c>
      <c r="D785" s="42" t="n">
        <v>0</v>
      </c>
      <c r="E785" s="41" t="n">
        <v>16.6</v>
      </c>
      <c r="F785" s="5" t="str">
        <f aca="false">IF(AND(E785&gt;=5,E785&lt;=20,C785&gt;=80,B785&lt;=1),"Opportunity (pos 5-20, 80+ impr, 0-1 click)","")</f>
        <v/>
      </c>
    </row>
    <row r="786" customFormat="false" ht="15" hidden="false" customHeight="false" outlineLevel="0" collapsed="false">
      <c r="A786" s="14" t="s">
        <v>1665</v>
      </c>
      <c r="B786" s="14" t="n">
        <v>0</v>
      </c>
      <c r="C786" s="14" t="n">
        <v>5</v>
      </c>
      <c r="D786" s="42" t="n">
        <v>0</v>
      </c>
      <c r="E786" s="41" t="n">
        <v>16.6</v>
      </c>
      <c r="F786" s="5" t="str">
        <f aca="false">IF(AND(E786&gt;=5,E786&lt;=20,C786&gt;=80,B786&lt;=1),"Opportunity (pos 5-20, 80+ impr, 0-1 click)","")</f>
        <v/>
      </c>
    </row>
    <row r="787" customFormat="false" ht="15" hidden="false" customHeight="false" outlineLevel="0" collapsed="false">
      <c r="A787" s="14" t="s">
        <v>1666</v>
      </c>
      <c r="B787" s="14" t="n">
        <v>0</v>
      </c>
      <c r="C787" s="14" t="n">
        <v>5</v>
      </c>
      <c r="D787" s="42" t="n">
        <v>0</v>
      </c>
      <c r="E787" s="41" t="n">
        <v>16.6</v>
      </c>
      <c r="F787" s="5" t="str">
        <f aca="false">IF(AND(E787&gt;=5,E787&lt;=20,C787&gt;=80,B787&lt;=1),"Opportunity (pos 5-20, 80+ impr, 0-1 click)","")</f>
        <v/>
      </c>
    </row>
    <row r="788" customFormat="false" ht="15" hidden="false" customHeight="false" outlineLevel="0" collapsed="false">
      <c r="A788" s="14" t="s">
        <v>1667</v>
      </c>
      <c r="B788" s="14" t="n">
        <v>0</v>
      </c>
      <c r="C788" s="14" t="n">
        <v>5</v>
      </c>
      <c r="D788" s="42" t="n">
        <v>0</v>
      </c>
      <c r="E788" s="41" t="n">
        <v>16.8</v>
      </c>
      <c r="F788" s="5" t="str">
        <f aca="false">IF(AND(E788&gt;=5,E788&lt;=20,C788&gt;=80,B788&lt;=1),"Opportunity (pos 5-20, 80+ impr, 0-1 click)","")</f>
        <v/>
      </c>
    </row>
    <row r="789" customFormat="false" ht="15" hidden="false" customHeight="false" outlineLevel="0" collapsed="false">
      <c r="A789" s="14" t="s">
        <v>1668</v>
      </c>
      <c r="B789" s="14" t="n">
        <v>0</v>
      </c>
      <c r="C789" s="14" t="n">
        <v>5</v>
      </c>
      <c r="D789" s="42" t="n">
        <v>0</v>
      </c>
      <c r="E789" s="41" t="n">
        <v>17.6</v>
      </c>
      <c r="F789" s="5" t="str">
        <f aca="false">IF(AND(E789&gt;=5,E789&lt;=20,C789&gt;=80,B789&lt;=1),"Opportunity (pos 5-20, 80+ impr, 0-1 click)","")</f>
        <v/>
      </c>
    </row>
    <row r="790" customFormat="false" ht="15" hidden="false" customHeight="false" outlineLevel="0" collapsed="false">
      <c r="A790" s="14" t="s">
        <v>1669</v>
      </c>
      <c r="B790" s="14" t="n">
        <v>0</v>
      </c>
      <c r="C790" s="14" t="n">
        <v>5</v>
      </c>
      <c r="D790" s="42" t="n">
        <v>0</v>
      </c>
      <c r="E790" s="41" t="n">
        <v>17.8</v>
      </c>
      <c r="F790" s="5" t="str">
        <f aca="false">IF(AND(E790&gt;=5,E790&lt;=20,C790&gt;=80,B790&lt;=1),"Opportunity (pos 5-20, 80+ impr, 0-1 click)","")</f>
        <v/>
      </c>
    </row>
    <row r="791" customFormat="false" ht="15" hidden="false" customHeight="false" outlineLevel="0" collapsed="false">
      <c r="A791" s="14" t="s">
        <v>1670</v>
      </c>
      <c r="B791" s="14" t="n">
        <v>0</v>
      </c>
      <c r="C791" s="14" t="n">
        <v>5</v>
      </c>
      <c r="D791" s="42" t="n">
        <v>0</v>
      </c>
      <c r="E791" s="41" t="n">
        <v>18</v>
      </c>
      <c r="F791" s="5" t="str">
        <f aca="false">IF(AND(E791&gt;=5,E791&lt;=20,C791&gt;=80,B791&lt;=1),"Opportunity (pos 5-20, 80+ impr, 0-1 click)","")</f>
        <v/>
      </c>
    </row>
    <row r="792" customFormat="false" ht="15" hidden="false" customHeight="false" outlineLevel="0" collapsed="false">
      <c r="A792" s="14" t="s">
        <v>1671</v>
      </c>
      <c r="B792" s="14" t="n">
        <v>0</v>
      </c>
      <c r="C792" s="14" t="n">
        <v>5</v>
      </c>
      <c r="D792" s="42" t="n">
        <v>0</v>
      </c>
      <c r="E792" s="41" t="n">
        <v>18</v>
      </c>
      <c r="F792" s="5" t="str">
        <f aca="false">IF(AND(E792&gt;=5,E792&lt;=20,C792&gt;=80,B792&lt;=1),"Opportunity (pos 5-20, 80+ impr, 0-1 click)","")</f>
        <v/>
      </c>
    </row>
    <row r="793" customFormat="false" ht="15" hidden="false" customHeight="false" outlineLevel="0" collapsed="false">
      <c r="A793" s="14" t="s">
        <v>1672</v>
      </c>
      <c r="B793" s="14" t="n">
        <v>0</v>
      </c>
      <c r="C793" s="14" t="n">
        <v>5</v>
      </c>
      <c r="D793" s="42" t="n">
        <v>0</v>
      </c>
      <c r="E793" s="41" t="n">
        <v>18.4</v>
      </c>
      <c r="F793" s="5" t="str">
        <f aca="false">IF(AND(E793&gt;=5,E793&lt;=20,C793&gt;=80,B793&lt;=1),"Opportunity (pos 5-20, 80+ impr, 0-1 click)","")</f>
        <v/>
      </c>
    </row>
    <row r="794" customFormat="false" ht="15" hidden="false" customHeight="false" outlineLevel="0" collapsed="false">
      <c r="A794" s="14" t="s">
        <v>1673</v>
      </c>
      <c r="B794" s="14" t="n">
        <v>0</v>
      </c>
      <c r="C794" s="14" t="n">
        <v>5</v>
      </c>
      <c r="D794" s="42" t="n">
        <v>0</v>
      </c>
      <c r="E794" s="41" t="n">
        <v>18.4</v>
      </c>
      <c r="F794" s="5" t="str">
        <f aca="false">IF(AND(E794&gt;=5,E794&lt;=20,C794&gt;=80,B794&lt;=1),"Opportunity (pos 5-20, 80+ impr, 0-1 click)","")</f>
        <v/>
      </c>
    </row>
    <row r="795" customFormat="false" ht="15" hidden="false" customHeight="false" outlineLevel="0" collapsed="false">
      <c r="A795" s="14" t="s">
        <v>1674</v>
      </c>
      <c r="B795" s="14" t="n">
        <v>0</v>
      </c>
      <c r="C795" s="14" t="n">
        <v>5</v>
      </c>
      <c r="D795" s="42" t="n">
        <v>0</v>
      </c>
      <c r="E795" s="41" t="n">
        <v>18.8</v>
      </c>
      <c r="F795" s="5" t="str">
        <f aca="false">IF(AND(E795&gt;=5,E795&lt;=20,C795&gt;=80,B795&lt;=1),"Opportunity (pos 5-20, 80+ impr, 0-1 click)","")</f>
        <v/>
      </c>
    </row>
    <row r="796" customFormat="false" ht="15" hidden="false" customHeight="false" outlineLevel="0" collapsed="false">
      <c r="A796" s="14" t="s">
        <v>1675</v>
      </c>
      <c r="B796" s="14" t="n">
        <v>0</v>
      </c>
      <c r="C796" s="14" t="n">
        <v>5</v>
      </c>
      <c r="D796" s="42" t="n">
        <v>0</v>
      </c>
      <c r="E796" s="41" t="n">
        <v>19</v>
      </c>
      <c r="F796" s="5" t="str">
        <f aca="false">IF(AND(E796&gt;=5,E796&lt;=20,C796&gt;=80,B796&lt;=1),"Opportunity (pos 5-20, 80+ impr, 0-1 click)","")</f>
        <v/>
      </c>
    </row>
    <row r="797" customFormat="false" ht="15" hidden="false" customHeight="false" outlineLevel="0" collapsed="false">
      <c r="A797" s="14" t="s">
        <v>1676</v>
      </c>
      <c r="B797" s="14" t="n">
        <v>0</v>
      </c>
      <c r="C797" s="14" t="n">
        <v>5</v>
      </c>
      <c r="D797" s="42" t="n">
        <v>0</v>
      </c>
      <c r="E797" s="41" t="n">
        <v>19.4</v>
      </c>
      <c r="F797" s="5" t="str">
        <f aca="false">IF(AND(E797&gt;=5,E797&lt;=20,C797&gt;=80,B797&lt;=1),"Opportunity (pos 5-20, 80+ impr, 0-1 click)","")</f>
        <v/>
      </c>
    </row>
    <row r="798" customFormat="false" ht="15" hidden="false" customHeight="false" outlineLevel="0" collapsed="false">
      <c r="A798" s="14" t="s">
        <v>1677</v>
      </c>
      <c r="B798" s="14" t="n">
        <v>0</v>
      </c>
      <c r="C798" s="14" t="n">
        <v>5</v>
      </c>
      <c r="D798" s="42" t="n">
        <v>0</v>
      </c>
      <c r="E798" s="41" t="n">
        <v>19.6</v>
      </c>
      <c r="F798" s="5" t="str">
        <f aca="false">IF(AND(E798&gt;=5,E798&lt;=20,C798&gt;=80,B798&lt;=1),"Opportunity (pos 5-20, 80+ impr, 0-1 click)","")</f>
        <v/>
      </c>
    </row>
    <row r="799" customFormat="false" ht="15" hidden="false" customHeight="false" outlineLevel="0" collapsed="false">
      <c r="A799" s="14" t="s">
        <v>1678</v>
      </c>
      <c r="B799" s="14" t="n">
        <v>0</v>
      </c>
      <c r="C799" s="14" t="n">
        <v>5</v>
      </c>
      <c r="D799" s="42" t="n">
        <v>0</v>
      </c>
      <c r="E799" s="41" t="n">
        <v>19.6</v>
      </c>
      <c r="F799" s="5" t="str">
        <f aca="false">IF(AND(E799&gt;=5,E799&lt;=20,C799&gt;=80,B799&lt;=1),"Opportunity (pos 5-20, 80+ impr, 0-1 click)","")</f>
        <v/>
      </c>
    </row>
    <row r="800" customFormat="false" ht="15" hidden="false" customHeight="false" outlineLevel="0" collapsed="false">
      <c r="A800" s="14" t="s">
        <v>1679</v>
      </c>
      <c r="B800" s="14" t="n">
        <v>0</v>
      </c>
      <c r="C800" s="14" t="n">
        <v>5</v>
      </c>
      <c r="D800" s="42" t="n">
        <v>0</v>
      </c>
      <c r="E800" s="41" t="n">
        <v>19.8</v>
      </c>
      <c r="F800" s="5" t="str">
        <f aca="false">IF(AND(E800&gt;=5,E800&lt;=20,C800&gt;=80,B800&lt;=1),"Opportunity (pos 5-20, 80+ impr, 0-1 click)","")</f>
        <v/>
      </c>
    </row>
    <row r="801" customFormat="false" ht="15" hidden="false" customHeight="false" outlineLevel="0" collapsed="false">
      <c r="A801" s="14" t="s">
        <v>1680</v>
      </c>
      <c r="B801" s="14" t="n">
        <v>0</v>
      </c>
      <c r="C801" s="14" t="n">
        <v>5</v>
      </c>
      <c r="D801" s="42" t="n">
        <v>0</v>
      </c>
      <c r="E801" s="41" t="n">
        <v>20</v>
      </c>
      <c r="F801" s="5" t="str">
        <f aca="false">IF(AND(E801&gt;=5,E801&lt;=20,C801&gt;=80,B801&lt;=1),"Opportunity (pos 5-20, 80+ impr, 0-1 click)","")</f>
        <v/>
      </c>
    </row>
    <row r="802" customFormat="false" ht="15" hidden="false" customHeight="false" outlineLevel="0" collapsed="false">
      <c r="A802" s="14" t="s">
        <v>1681</v>
      </c>
      <c r="B802" s="14" t="n">
        <v>0</v>
      </c>
      <c r="C802" s="14" t="n">
        <v>5</v>
      </c>
      <c r="D802" s="42" t="n">
        <v>0</v>
      </c>
      <c r="E802" s="41" t="n">
        <v>20</v>
      </c>
      <c r="F802" s="5" t="str">
        <f aca="false">IF(AND(E802&gt;=5,E802&lt;=20,C802&gt;=80,B802&lt;=1),"Opportunity (pos 5-20, 80+ impr, 0-1 click)","")</f>
        <v/>
      </c>
    </row>
    <row r="803" customFormat="false" ht="15" hidden="false" customHeight="false" outlineLevel="0" collapsed="false">
      <c r="A803" s="14" t="s">
        <v>1682</v>
      </c>
      <c r="B803" s="14" t="n">
        <v>0</v>
      </c>
      <c r="C803" s="14" t="n">
        <v>5</v>
      </c>
      <c r="D803" s="42" t="n">
        <v>0</v>
      </c>
      <c r="E803" s="41" t="n">
        <v>20.2</v>
      </c>
      <c r="F803" s="5" t="str">
        <f aca="false">IF(AND(E803&gt;=5,E803&lt;=20,C803&gt;=80,B803&lt;=1),"Opportunity (pos 5-20, 80+ impr, 0-1 click)","")</f>
        <v/>
      </c>
    </row>
    <row r="804" customFormat="false" ht="15" hidden="false" customHeight="false" outlineLevel="0" collapsed="false">
      <c r="A804" s="14" t="s">
        <v>1683</v>
      </c>
      <c r="B804" s="14" t="n">
        <v>0</v>
      </c>
      <c r="C804" s="14" t="n">
        <v>5</v>
      </c>
      <c r="D804" s="42" t="n">
        <v>0</v>
      </c>
      <c r="E804" s="41" t="n">
        <v>20.2</v>
      </c>
      <c r="F804" s="5" t="str">
        <f aca="false">IF(AND(E804&gt;=5,E804&lt;=20,C804&gt;=80,B804&lt;=1),"Opportunity (pos 5-20, 80+ impr, 0-1 click)","")</f>
        <v/>
      </c>
    </row>
    <row r="805" customFormat="false" ht="15" hidden="false" customHeight="false" outlineLevel="0" collapsed="false">
      <c r="A805" s="14" t="s">
        <v>1684</v>
      </c>
      <c r="B805" s="14" t="n">
        <v>0</v>
      </c>
      <c r="C805" s="14" t="n">
        <v>5</v>
      </c>
      <c r="D805" s="42" t="n">
        <v>0</v>
      </c>
      <c r="E805" s="41" t="n">
        <v>20.8</v>
      </c>
      <c r="F805" s="5" t="str">
        <f aca="false">IF(AND(E805&gt;=5,E805&lt;=20,C805&gt;=80,B805&lt;=1),"Opportunity (pos 5-20, 80+ impr, 0-1 click)","")</f>
        <v/>
      </c>
    </row>
    <row r="806" customFormat="false" ht="15" hidden="false" customHeight="false" outlineLevel="0" collapsed="false">
      <c r="A806" s="14" t="s">
        <v>1685</v>
      </c>
      <c r="B806" s="14" t="n">
        <v>0</v>
      </c>
      <c r="C806" s="14" t="n">
        <v>5</v>
      </c>
      <c r="D806" s="42" t="n">
        <v>0</v>
      </c>
      <c r="E806" s="41" t="n">
        <v>20.8</v>
      </c>
      <c r="F806" s="5" t="str">
        <f aca="false">IF(AND(E806&gt;=5,E806&lt;=20,C806&gt;=80,B806&lt;=1),"Opportunity (pos 5-20, 80+ impr, 0-1 click)","")</f>
        <v/>
      </c>
    </row>
    <row r="807" customFormat="false" ht="15" hidden="false" customHeight="false" outlineLevel="0" collapsed="false">
      <c r="A807" s="14" t="s">
        <v>1686</v>
      </c>
      <c r="B807" s="14" t="n">
        <v>0</v>
      </c>
      <c r="C807" s="14" t="n">
        <v>5</v>
      </c>
      <c r="D807" s="42" t="n">
        <v>0</v>
      </c>
      <c r="E807" s="41" t="n">
        <v>20.8</v>
      </c>
      <c r="F807" s="5" t="str">
        <f aca="false">IF(AND(E807&gt;=5,E807&lt;=20,C807&gt;=80,B807&lt;=1),"Opportunity (pos 5-20, 80+ impr, 0-1 click)","")</f>
        <v/>
      </c>
    </row>
    <row r="808" customFormat="false" ht="15" hidden="false" customHeight="false" outlineLevel="0" collapsed="false">
      <c r="A808" s="14" t="s">
        <v>1687</v>
      </c>
      <c r="B808" s="14" t="n">
        <v>0</v>
      </c>
      <c r="C808" s="14" t="n">
        <v>5</v>
      </c>
      <c r="D808" s="42" t="n">
        <v>0</v>
      </c>
      <c r="E808" s="41" t="n">
        <v>21</v>
      </c>
      <c r="F808" s="5" t="str">
        <f aca="false">IF(AND(E808&gt;=5,E808&lt;=20,C808&gt;=80,B808&lt;=1),"Opportunity (pos 5-20, 80+ impr, 0-1 click)","")</f>
        <v/>
      </c>
    </row>
    <row r="809" customFormat="false" ht="15" hidden="false" customHeight="false" outlineLevel="0" collapsed="false">
      <c r="A809" s="14" t="s">
        <v>1688</v>
      </c>
      <c r="B809" s="14" t="n">
        <v>0</v>
      </c>
      <c r="C809" s="14" t="n">
        <v>5</v>
      </c>
      <c r="D809" s="42" t="n">
        <v>0</v>
      </c>
      <c r="E809" s="41" t="n">
        <v>21</v>
      </c>
      <c r="F809" s="5" t="str">
        <f aca="false">IF(AND(E809&gt;=5,E809&lt;=20,C809&gt;=80,B809&lt;=1),"Opportunity (pos 5-20, 80+ impr, 0-1 click)","")</f>
        <v/>
      </c>
    </row>
    <row r="810" customFormat="false" ht="15" hidden="false" customHeight="false" outlineLevel="0" collapsed="false">
      <c r="A810" s="14" t="s">
        <v>1689</v>
      </c>
      <c r="B810" s="14" t="n">
        <v>0</v>
      </c>
      <c r="C810" s="14" t="n">
        <v>5</v>
      </c>
      <c r="D810" s="42" t="n">
        <v>0</v>
      </c>
      <c r="E810" s="41" t="n">
        <v>21.2</v>
      </c>
      <c r="F810" s="5" t="str">
        <f aca="false">IF(AND(E810&gt;=5,E810&lt;=20,C810&gt;=80,B810&lt;=1),"Opportunity (pos 5-20, 80+ impr, 0-1 click)","")</f>
        <v/>
      </c>
    </row>
    <row r="811" customFormat="false" ht="15" hidden="false" customHeight="false" outlineLevel="0" collapsed="false">
      <c r="A811" s="14" t="s">
        <v>1690</v>
      </c>
      <c r="B811" s="14" t="n">
        <v>0</v>
      </c>
      <c r="C811" s="14" t="n">
        <v>5</v>
      </c>
      <c r="D811" s="42" t="n">
        <v>0</v>
      </c>
      <c r="E811" s="41" t="n">
        <v>21.2</v>
      </c>
      <c r="F811" s="5" t="str">
        <f aca="false">IF(AND(E811&gt;=5,E811&lt;=20,C811&gt;=80,B811&lt;=1),"Opportunity (pos 5-20, 80+ impr, 0-1 click)","")</f>
        <v/>
      </c>
    </row>
    <row r="812" customFormat="false" ht="15" hidden="false" customHeight="false" outlineLevel="0" collapsed="false">
      <c r="A812" s="14" t="s">
        <v>1691</v>
      </c>
      <c r="B812" s="14" t="n">
        <v>0</v>
      </c>
      <c r="C812" s="14" t="n">
        <v>5</v>
      </c>
      <c r="D812" s="42" t="n">
        <v>0</v>
      </c>
      <c r="E812" s="41" t="n">
        <v>21.2</v>
      </c>
      <c r="F812" s="5" t="str">
        <f aca="false">IF(AND(E812&gt;=5,E812&lt;=20,C812&gt;=80,B812&lt;=1),"Opportunity (pos 5-20, 80+ impr, 0-1 click)","")</f>
        <v/>
      </c>
    </row>
    <row r="813" customFormat="false" ht="15" hidden="false" customHeight="false" outlineLevel="0" collapsed="false">
      <c r="A813" s="14" t="s">
        <v>1692</v>
      </c>
      <c r="B813" s="14" t="n">
        <v>0</v>
      </c>
      <c r="C813" s="14" t="n">
        <v>5</v>
      </c>
      <c r="D813" s="42" t="n">
        <v>0</v>
      </c>
      <c r="E813" s="41" t="n">
        <v>21.8</v>
      </c>
      <c r="F813" s="5" t="str">
        <f aca="false">IF(AND(E813&gt;=5,E813&lt;=20,C813&gt;=80,B813&lt;=1),"Opportunity (pos 5-20, 80+ impr, 0-1 click)","")</f>
        <v/>
      </c>
    </row>
    <row r="814" customFormat="false" ht="15" hidden="false" customHeight="false" outlineLevel="0" collapsed="false">
      <c r="A814" s="14" t="s">
        <v>1693</v>
      </c>
      <c r="B814" s="14" t="n">
        <v>0</v>
      </c>
      <c r="C814" s="14" t="n">
        <v>5</v>
      </c>
      <c r="D814" s="42" t="n">
        <v>0</v>
      </c>
      <c r="E814" s="41" t="n">
        <v>22</v>
      </c>
      <c r="F814" s="5" t="str">
        <f aca="false">IF(AND(E814&gt;=5,E814&lt;=20,C814&gt;=80,B814&lt;=1),"Opportunity (pos 5-20, 80+ impr, 0-1 click)","")</f>
        <v/>
      </c>
    </row>
    <row r="815" customFormat="false" ht="15" hidden="false" customHeight="false" outlineLevel="0" collapsed="false">
      <c r="A815" s="14" t="s">
        <v>1694</v>
      </c>
      <c r="B815" s="14" t="n">
        <v>0</v>
      </c>
      <c r="C815" s="14" t="n">
        <v>5</v>
      </c>
      <c r="D815" s="42" t="n">
        <v>0</v>
      </c>
      <c r="E815" s="41" t="n">
        <v>22</v>
      </c>
      <c r="F815" s="5" t="str">
        <f aca="false">IF(AND(E815&gt;=5,E815&lt;=20,C815&gt;=80,B815&lt;=1),"Opportunity (pos 5-20, 80+ impr, 0-1 click)","")</f>
        <v/>
      </c>
    </row>
    <row r="816" customFormat="false" ht="15" hidden="false" customHeight="false" outlineLevel="0" collapsed="false">
      <c r="A816" s="14" t="s">
        <v>1695</v>
      </c>
      <c r="B816" s="14" t="n">
        <v>0</v>
      </c>
      <c r="C816" s="14" t="n">
        <v>5</v>
      </c>
      <c r="D816" s="42" t="n">
        <v>0</v>
      </c>
      <c r="E816" s="41" t="n">
        <v>22</v>
      </c>
      <c r="F816" s="5" t="str">
        <f aca="false">IF(AND(E816&gt;=5,E816&lt;=20,C816&gt;=80,B816&lt;=1),"Opportunity (pos 5-20, 80+ impr, 0-1 click)","")</f>
        <v/>
      </c>
    </row>
    <row r="817" customFormat="false" ht="15" hidden="false" customHeight="false" outlineLevel="0" collapsed="false">
      <c r="A817" s="14" t="s">
        <v>1696</v>
      </c>
      <c r="B817" s="14" t="n">
        <v>0</v>
      </c>
      <c r="C817" s="14" t="n">
        <v>5</v>
      </c>
      <c r="D817" s="42" t="n">
        <v>0</v>
      </c>
      <c r="E817" s="41" t="n">
        <v>22</v>
      </c>
      <c r="F817" s="5" t="str">
        <f aca="false">IF(AND(E817&gt;=5,E817&lt;=20,C817&gt;=80,B817&lt;=1),"Opportunity (pos 5-20, 80+ impr, 0-1 click)","")</f>
        <v/>
      </c>
    </row>
    <row r="818" customFormat="false" ht="15" hidden="false" customHeight="false" outlineLevel="0" collapsed="false">
      <c r="A818" s="14" t="s">
        <v>1697</v>
      </c>
      <c r="B818" s="14" t="n">
        <v>0</v>
      </c>
      <c r="C818" s="14" t="n">
        <v>5</v>
      </c>
      <c r="D818" s="42" t="n">
        <v>0</v>
      </c>
      <c r="E818" s="41" t="n">
        <v>22.2</v>
      </c>
      <c r="F818" s="5" t="str">
        <f aca="false">IF(AND(E818&gt;=5,E818&lt;=20,C818&gt;=80,B818&lt;=1),"Opportunity (pos 5-20, 80+ impr, 0-1 click)","")</f>
        <v/>
      </c>
    </row>
    <row r="819" customFormat="false" ht="15" hidden="false" customHeight="false" outlineLevel="0" collapsed="false">
      <c r="A819" s="14" t="s">
        <v>1698</v>
      </c>
      <c r="B819" s="14" t="n">
        <v>0</v>
      </c>
      <c r="C819" s="14" t="n">
        <v>5</v>
      </c>
      <c r="D819" s="42" t="n">
        <v>0</v>
      </c>
      <c r="E819" s="41" t="n">
        <v>22.4</v>
      </c>
      <c r="F819" s="5" t="str">
        <f aca="false">IF(AND(E819&gt;=5,E819&lt;=20,C819&gt;=80,B819&lt;=1),"Opportunity (pos 5-20, 80+ impr, 0-1 click)","")</f>
        <v/>
      </c>
    </row>
    <row r="820" customFormat="false" ht="15" hidden="false" customHeight="false" outlineLevel="0" collapsed="false">
      <c r="A820" s="14" t="s">
        <v>1699</v>
      </c>
      <c r="B820" s="14" t="n">
        <v>0</v>
      </c>
      <c r="C820" s="14" t="n">
        <v>5</v>
      </c>
      <c r="D820" s="42" t="n">
        <v>0</v>
      </c>
      <c r="E820" s="41" t="n">
        <v>22.4</v>
      </c>
      <c r="F820" s="5" t="str">
        <f aca="false">IF(AND(E820&gt;=5,E820&lt;=20,C820&gt;=80,B820&lt;=1),"Opportunity (pos 5-20, 80+ impr, 0-1 click)","")</f>
        <v/>
      </c>
    </row>
    <row r="821" customFormat="false" ht="15" hidden="false" customHeight="false" outlineLevel="0" collapsed="false">
      <c r="A821" s="14" t="s">
        <v>1700</v>
      </c>
      <c r="B821" s="14" t="n">
        <v>0</v>
      </c>
      <c r="C821" s="14" t="n">
        <v>5</v>
      </c>
      <c r="D821" s="42" t="n">
        <v>0</v>
      </c>
      <c r="E821" s="41" t="n">
        <v>22.6</v>
      </c>
      <c r="F821" s="5" t="str">
        <f aca="false">IF(AND(E821&gt;=5,E821&lt;=20,C821&gt;=80,B821&lt;=1),"Opportunity (pos 5-20, 80+ impr, 0-1 click)","")</f>
        <v/>
      </c>
    </row>
    <row r="822" customFormat="false" ht="15" hidden="false" customHeight="false" outlineLevel="0" collapsed="false">
      <c r="A822" s="14" t="s">
        <v>1701</v>
      </c>
      <c r="B822" s="14" t="n">
        <v>0</v>
      </c>
      <c r="C822" s="14" t="n">
        <v>5</v>
      </c>
      <c r="D822" s="42" t="n">
        <v>0</v>
      </c>
      <c r="E822" s="41" t="n">
        <v>22.8</v>
      </c>
      <c r="F822" s="5" t="str">
        <f aca="false">IF(AND(E822&gt;=5,E822&lt;=20,C822&gt;=80,B822&lt;=1),"Opportunity (pos 5-20, 80+ impr, 0-1 click)","")</f>
        <v/>
      </c>
    </row>
    <row r="823" customFormat="false" ht="15" hidden="false" customHeight="false" outlineLevel="0" collapsed="false">
      <c r="A823" s="14" t="s">
        <v>1702</v>
      </c>
      <c r="B823" s="14" t="n">
        <v>0</v>
      </c>
      <c r="C823" s="14" t="n">
        <v>5</v>
      </c>
      <c r="D823" s="42" t="n">
        <v>0</v>
      </c>
      <c r="E823" s="41" t="n">
        <v>22.8</v>
      </c>
      <c r="F823" s="5" t="str">
        <f aca="false">IF(AND(E823&gt;=5,E823&lt;=20,C823&gt;=80,B823&lt;=1),"Opportunity (pos 5-20, 80+ impr, 0-1 click)","")</f>
        <v/>
      </c>
    </row>
    <row r="824" customFormat="false" ht="15" hidden="false" customHeight="false" outlineLevel="0" collapsed="false">
      <c r="A824" s="14" t="s">
        <v>1703</v>
      </c>
      <c r="B824" s="14" t="n">
        <v>0</v>
      </c>
      <c r="C824" s="14" t="n">
        <v>5</v>
      </c>
      <c r="D824" s="42" t="n">
        <v>0</v>
      </c>
      <c r="E824" s="41" t="n">
        <v>23</v>
      </c>
      <c r="F824" s="5" t="str">
        <f aca="false">IF(AND(E824&gt;=5,E824&lt;=20,C824&gt;=80,B824&lt;=1),"Opportunity (pos 5-20, 80+ impr, 0-1 click)","")</f>
        <v/>
      </c>
    </row>
    <row r="825" customFormat="false" ht="15" hidden="false" customHeight="false" outlineLevel="0" collapsed="false">
      <c r="A825" s="14" t="s">
        <v>1704</v>
      </c>
      <c r="B825" s="14" t="n">
        <v>0</v>
      </c>
      <c r="C825" s="14" t="n">
        <v>5</v>
      </c>
      <c r="D825" s="42" t="n">
        <v>0</v>
      </c>
      <c r="E825" s="41" t="n">
        <v>23.2</v>
      </c>
      <c r="F825" s="5" t="str">
        <f aca="false">IF(AND(E825&gt;=5,E825&lt;=20,C825&gt;=80,B825&lt;=1),"Opportunity (pos 5-20, 80+ impr, 0-1 click)","")</f>
        <v/>
      </c>
    </row>
    <row r="826" customFormat="false" ht="15" hidden="false" customHeight="false" outlineLevel="0" collapsed="false">
      <c r="A826" s="14" t="s">
        <v>1705</v>
      </c>
      <c r="B826" s="14" t="n">
        <v>0</v>
      </c>
      <c r="C826" s="14" t="n">
        <v>5</v>
      </c>
      <c r="D826" s="42" t="n">
        <v>0</v>
      </c>
      <c r="E826" s="41" t="n">
        <v>23.8</v>
      </c>
      <c r="F826" s="5" t="str">
        <f aca="false">IF(AND(E826&gt;=5,E826&lt;=20,C826&gt;=80,B826&lt;=1),"Opportunity (pos 5-20, 80+ impr, 0-1 click)","")</f>
        <v/>
      </c>
    </row>
    <row r="827" customFormat="false" ht="15" hidden="false" customHeight="false" outlineLevel="0" collapsed="false">
      <c r="A827" s="14" t="s">
        <v>1706</v>
      </c>
      <c r="B827" s="14" t="n">
        <v>0</v>
      </c>
      <c r="C827" s="14" t="n">
        <v>5</v>
      </c>
      <c r="D827" s="42" t="n">
        <v>0</v>
      </c>
      <c r="E827" s="41" t="n">
        <v>23.8</v>
      </c>
      <c r="F827" s="5" t="str">
        <f aca="false">IF(AND(E827&gt;=5,E827&lt;=20,C827&gt;=80,B827&lt;=1),"Opportunity (pos 5-20, 80+ impr, 0-1 click)","")</f>
        <v/>
      </c>
    </row>
    <row r="828" customFormat="false" ht="15" hidden="false" customHeight="false" outlineLevel="0" collapsed="false">
      <c r="A828" s="14" t="s">
        <v>1707</v>
      </c>
      <c r="B828" s="14" t="n">
        <v>0</v>
      </c>
      <c r="C828" s="14" t="n">
        <v>5</v>
      </c>
      <c r="D828" s="42" t="n">
        <v>0</v>
      </c>
      <c r="E828" s="41" t="n">
        <v>24</v>
      </c>
      <c r="F828" s="5" t="str">
        <f aca="false">IF(AND(E828&gt;=5,E828&lt;=20,C828&gt;=80,B828&lt;=1),"Opportunity (pos 5-20, 80+ impr, 0-1 click)","")</f>
        <v/>
      </c>
    </row>
    <row r="829" customFormat="false" ht="15" hidden="false" customHeight="false" outlineLevel="0" collapsed="false">
      <c r="A829" s="14" t="s">
        <v>1708</v>
      </c>
      <c r="B829" s="14" t="n">
        <v>0</v>
      </c>
      <c r="C829" s="14" t="n">
        <v>5</v>
      </c>
      <c r="D829" s="42" t="n">
        <v>0</v>
      </c>
      <c r="E829" s="41" t="n">
        <v>24</v>
      </c>
      <c r="F829" s="5" t="str">
        <f aca="false">IF(AND(E829&gt;=5,E829&lt;=20,C829&gt;=80,B829&lt;=1),"Opportunity (pos 5-20, 80+ impr, 0-1 click)","")</f>
        <v/>
      </c>
    </row>
    <row r="830" customFormat="false" ht="15" hidden="false" customHeight="false" outlineLevel="0" collapsed="false">
      <c r="A830" s="14" t="s">
        <v>1709</v>
      </c>
      <c r="B830" s="14" t="n">
        <v>0</v>
      </c>
      <c r="C830" s="14" t="n">
        <v>5</v>
      </c>
      <c r="D830" s="42" t="n">
        <v>0</v>
      </c>
      <c r="E830" s="41" t="n">
        <v>24.4</v>
      </c>
      <c r="F830" s="5" t="str">
        <f aca="false">IF(AND(E830&gt;=5,E830&lt;=20,C830&gt;=80,B830&lt;=1),"Opportunity (pos 5-20, 80+ impr, 0-1 click)","")</f>
        <v/>
      </c>
    </row>
    <row r="831" customFormat="false" ht="15" hidden="false" customHeight="false" outlineLevel="0" collapsed="false">
      <c r="A831" s="14" t="s">
        <v>1710</v>
      </c>
      <c r="B831" s="14" t="n">
        <v>0</v>
      </c>
      <c r="C831" s="14" t="n">
        <v>5</v>
      </c>
      <c r="D831" s="42" t="n">
        <v>0</v>
      </c>
      <c r="E831" s="41" t="n">
        <v>24.4</v>
      </c>
      <c r="F831" s="5" t="str">
        <f aca="false">IF(AND(E831&gt;=5,E831&lt;=20,C831&gt;=80,B831&lt;=1),"Opportunity (pos 5-20, 80+ impr, 0-1 click)","")</f>
        <v/>
      </c>
    </row>
    <row r="832" customFormat="false" ht="15" hidden="false" customHeight="false" outlineLevel="0" collapsed="false">
      <c r="A832" s="14" t="s">
        <v>1711</v>
      </c>
      <c r="B832" s="14" t="n">
        <v>0</v>
      </c>
      <c r="C832" s="14" t="n">
        <v>5</v>
      </c>
      <c r="D832" s="42" t="n">
        <v>0</v>
      </c>
      <c r="E832" s="41" t="n">
        <v>24.6</v>
      </c>
      <c r="F832" s="5" t="str">
        <f aca="false">IF(AND(E832&gt;=5,E832&lt;=20,C832&gt;=80,B832&lt;=1),"Opportunity (pos 5-20, 80+ impr, 0-1 click)","")</f>
        <v/>
      </c>
    </row>
    <row r="833" customFormat="false" ht="15" hidden="false" customHeight="false" outlineLevel="0" collapsed="false">
      <c r="A833" s="14" t="s">
        <v>1712</v>
      </c>
      <c r="B833" s="14" t="n">
        <v>0</v>
      </c>
      <c r="C833" s="14" t="n">
        <v>5</v>
      </c>
      <c r="D833" s="42" t="n">
        <v>0</v>
      </c>
      <c r="E833" s="41" t="n">
        <v>24.8</v>
      </c>
      <c r="F833" s="5" t="str">
        <f aca="false">IF(AND(E833&gt;=5,E833&lt;=20,C833&gt;=80,B833&lt;=1),"Opportunity (pos 5-20, 80+ impr, 0-1 click)","")</f>
        <v/>
      </c>
    </row>
    <row r="834" customFormat="false" ht="15" hidden="false" customHeight="false" outlineLevel="0" collapsed="false">
      <c r="A834" s="14" t="s">
        <v>1713</v>
      </c>
      <c r="B834" s="14" t="n">
        <v>0</v>
      </c>
      <c r="C834" s="14" t="n">
        <v>5</v>
      </c>
      <c r="D834" s="42" t="n">
        <v>0</v>
      </c>
      <c r="E834" s="41" t="n">
        <v>25</v>
      </c>
      <c r="F834" s="5" t="str">
        <f aca="false">IF(AND(E834&gt;=5,E834&lt;=20,C834&gt;=80,B834&lt;=1),"Opportunity (pos 5-20, 80+ impr, 0-1 click)","")</f>
        <v/>
      </c>
    </row>
    <row r="835" customFormat="false" ht="15" hidden="false" customHeight="false" outlineLevel="0" collapsed="false">
      <c r="A835" s="14" t="s">
        <v>1714</v>
      </c>
      <c r="B835" s="14" t="n">
        <v>0</v>
      </c>
      <c r="C835" s="14" t="n">
        <v>5</v>
      </c>
      <c r="D835" s="42" t="n">
        <v>0</v>
      </c>
      <c r="E835" s="41" t="n">
        <v>25.2</v>
      </c>
      <c r="F835" s="5" t="str">
        <f aca="false">IF(AND(E835&gt;=5,E835&lt;=20,C835&gt;=80,B835&lt;=1),"Opportunity (pos 5-20, 80+ impr, 0-1 click)","")</f>
        <v/>
      </c>
    </row>
    <row r="836" customFormat="false" ht="15" hidden="false" customHeight="false" outlineLevel="0" collapsed="false">
      <c r="A836" s="14" t="s">
        <v>1715</v>
      </c>
      <c r="B836" s="14" t="n">
        <v>0</v>
      </c>
      <c r="C836" s="14" t="n">
        <v>5</v>
      </c>
      <c r="D836" s="42" t="n">
        <v>0</v>
      </c>
      <c r="E836" s="41" t="n">
        <v>25.4</v>
      </c>
      <c r="F836" s="5" t="str">
        <f aca="false">IF(AND(E836&gt;=5,E836&lt;=20,C836&gt;=80,B836&lt;=1),"Opportunity (pos 5-20, 80+ impr, 0-1 click)","")</f>
        <v/>
      </c>
    </row>
    <row r="837" customFormat="false" ht="15" hidden="false" customHeight="false" outlineLevel="0" collapsed="false">
      <c r="A837" s="14" t="s">
        <v>1716</v>
      </c>
      <c r="B837" s="14" t="n">
        <v>0</v>
      </c>
      <c r="C837" s="14" t="n">
        <v>5</v>
      </c>
      <c r="D837" s="42" t="n">
        <v>0</v>
      </c>
      <c r="E837" s="41" t="n">
        <v>25.4</v>
      </c>
      <c r="F837" s="5" t="str">
        <f aca="false">IF(AND(E837&gt;=5,E837&lt;=20,C837&gt;=80,B837&lt;=1),"Opportunity (pos 5-20, 80+ impr, 0-1 click)","")</f>
        <v/>
      </c>
    </row>
    <row r="838" customFormat="false" ht="15" hidden="false" customHeight="false" outlineLevel="0" collapsed="false">
      <c r="A838" s="14" t="s">
        <v>1717</v>
      </c>
      <c r="B838" s="14" t="n">
        <v>0</v>
      </c>
      <c r="C838" s="14" t="n">
        <v>5</v>
      </c>
      <c r="D838" s="42" t="n">
        <v>0</v>
      </c>
      <c r="E838" s="41" t="n">
        <v>25.4</v>
      </c>
      <c r="F838" s="5" t="str">
        <f aca="false">IF(AND(E838&gt;=5,E838&lt;=20,C838&gt;=80,B838&lt;=1),"Opportunity (pos 5-20, 80+ impr, 0-1 click)","")</f>
        <v/>
      </c>
    </row>
    <row r="839" customFormat="false" ht="15" hidden="false" customHeight="false" outlineLevel="0" collapsed="false">
      <c r="A839" s="14" t="s">
        <v>1718</v>
      </c>
      <c r="B839" s="14" t="n">
        <v>0</v>
      </c>
      <c r="C839" s="14" t="n">
        <v>5</v>
      </c>
      <c r="D839" s="42" t="n">
        <v>0</v>
      </c>
      <c r="E839" s="41" t="n">
        <v>25.6</v>
      </c>
      <c r="F839" s="5" t="str">
        <f aca="false">IF(AND(E839&gt;=5,E839&lt;=20,C839&gt;=80,B839&lt;=1),"Opportunity (pos 5-20, 80+ impr, 0-1 click)","")</f>
        <v/>
      </c>
    </row>
    <row r="840" customFormat="false" ht="15" hidden="false" customHeight="false" outlineLevel="0" collapsed="false">
      <c r="A840" s="14" t="s">
        <v>1719</v>
      </c>
      <c r="B840" s="14" t="n">
        <v>0</v>
      </c>
      <c r="C840" s="14" t="n">
        <v>5</v>
      </c>
      <c r="D840" s="42" t="n">
        <v>0</v>
      </c>
      <c r="E840" s="41" t="n">
        <v>25.8</v>
      </c>
      <c r="F840" s="5" t="str">
        <f aca="false">IF(AND(E840&gt;=5,E840&lt;=20,C840&gt;=80,B840&lt;=1),"Opportunity (pos 5-20, 80+ impr, 0-1 click)","")</f>
        <v/>
      </c>
    </row>
    <row r="841" customFormat="false" ht="15" hidden="false" customHeight="false" outlineLevel="0" collapsed="false">
      <c r="A841" s="14" t="s">
        <v>1720</v>
      </c>
      <c r="B841" s="14" t="n">
        <v>0</v>
      </c>
      <c r="C841" s="14" t="n">
        <v>5</v>
      </c>
      <c r="D841" s="42" t="n">
        <v>0</v>
      </c>
      <c r="E841" s="41" t="n">
        <v>26.2</v>
      </c>
      <c r="F841" s="5" t="str">
        <f aca="false">IF(AND(E841&gt;=5,E841&lt;=20,C841&gt;=80,B841&lt;=1),"Opportunity (pos 5-20, 80+ impr, 0-1 click)","")</f>
        <v/>
      </c>
    </row>
    <row r="842" customFormat="false" ht="15" hidden="false" customHeight="false" outlineLevel="0" collapsed="false">
      <c r="A842" s="14" t="s">
        <v>1721</v>
      </c>
      <c r="B842" s="14" t="n">
        <v>0</v>
      </c>
      <c r="C842" s="14" t="n">
        <v>5</v>
      </c>
      <c r="D842" s="42" t="n">
        <v>0</v>
      </c>
      <c r="E842" s="41" t="n">
        <v>26.4</v>
      </c>
      <c r="F842" s="5" t="str">
        <f aca="false">IF(AND(E842&gt;=5,E842&lt;=20,C842&gt;=80,B842&lt;=1),"Opportunity (pos 5-20, 80+ impr, 0-1 click)","")</f>
        <v/>
      </c>
    </row>
    <row r="843" customFormat="false" ht="15" hidden="false" customHeight="false" outlineLevel="0" collapsed="false">
      <c r="A843" s="14" t="s">
        <v>1722</v>
      </c>
      <c r="B843" s="14" t="n">
        <v>0</v>
      </c>
      <c r="C843" s="14" t="n">
        <v>5</v>
      </c>
      <c r="D843" s="42" t="n">
        <v>0</v>
      </c>
      <c r="E843" s="41" t="n">
        <v>26.6</v>
      </c>
      <c r="F843" s="5" t="str">
        <f aca="false">IF(AND(E843&gt;=5,E843&lt;=20,C843&gt;=80,B843&lt;=1),"Opportunity (pos 5-20, 80+ impr, 0-1 click)","")</f>
        <v/>
      </c>
    </row>
    <row r="844" customFormat="false" ht="15" hidden="false" customHeight="false" outlineLevel="0" collapsed="false">
      <c r="A844" s="14" t="s">
        <v>1723</v>
      </c>
      <c r="B844" s="14" t="n">
        <v>0</v>
      </c>
      <c r="C844" s="14" t="n">
        <v>5</v>
      </c>
      <c r="D844" s="42" t="n">
        <v>0</v>
      </c>
      <c r="E844" s="41" t="n">
        <v>27.2</v>
      </c>
      <c r="F844" s="5" t="str">
        <f aca="false">IF(AND(E844&gt;=5,E844&lt;=20,C844&gt;=80,B844&lt;=1),"Opportunity (pos 5-20, 80+ impr, 0-1 click)","")</f>
        <v/>
      </c>
    </row>
    <row r="845" customFormat="false" ht="15" hidden="false" customHeight="false" outlineLevel="0" collapsed="false">
      <c r="A845" s="14" t="s">
        <v>1724</v>
      </c>
      <c r="B845" s="14" t="n">
        <v>0</v>
      </c>
      <c r="C845" s="14" t="n">
        <v>5</v>
      </c>
      <c r="D845" s="42" t="n">
        <v>0</v>
      </c>
      <c r="E845" s="41" t="n">
        <v>27.4</v>
      </c>
      <c r="F845" s="5" t="str">
        <f aca="false">IF(AND(E845&gt;=5,E845&lt;=20,C845&gt;=80,B845&lt;=1),"Opportunity (pos 5-20, 80+ impr, 0-1 click)","")</f>
        <v/>
      </c>
    </row>
    <row r="846" customFormat="false" ht="15" hidden="false" customHeight="false" outlineLevel="0" collapsed="false">
      <c r="A846" s="14" t="s">
        <v>1725</v>
      </c>
      <c r="B846" s="14" t="n">
        <v>0</v>
      </c>
      <c r="C846" s="14" t="n">
        <v>5</v>
      </c>
      <c r="D846" s="42" t="n">
        <v>0</v>
      </c>
      <c r="E846" s="41" t="n">
        <v>27.6</v>
      </c>
      <c r="F846" s="5" t="str">
        <f aca="false">IF(AND(E846&gt;=5,E846&lt;=20,C846&gt;=80,B846&lt;=1),"Opportunity (pos 5-20, 80+ impr, 0-1 click)","")</f>
        <v/>
      </c>
    </row>
    <row r="847" customFormat="false" ht="15" hidden="false" customHeight="false" outlineLevel="0" collapsed="false">
      <c r="A847" s="14" t="s">
        <v>1726</v>
      </c>
      <c r="B847" s="14" t="n">
        <v>0</v>
      </c>
      <c r="C847" s="14" t="n">
        <v>5</v>
      </c>
      <c r="D847" s="42" t="n">
        <v>0</v>
      </c>
      <c r="E847" s="41" t="n">
        <v>27.8</v>
      </c>
      <c r="F847" s="5" t="str">
        <f aca="false">IF(AND(E847&gt;=5,E847&lt;=20,C847&gt;=80,B847&lt;=1),"Opportunity (pos 5-20, 80+ impr, 0-1 click)","")</f>
        <v/>
      </c>
    </row>
    <row r="848" customFormat="false" ht="15" hidden="false" customHeight="false" outlineLevel="0" collapsed="false">
      <c r="A848" s="14" t="s">
        <v>1727</v>
      </c>
      <c r="B848" s="14" t="n">
        <v>0</v>
      </c>
      <c r="C848" s="14" t="n">
        <v>5</v>
      </c>
      <c r="D848" s="42" t="n">
        <v>0</v>
      </c>
      <c r="E848" s="41" t="n">
        <v>27.8</v>
      </c>
      <c r="F848" s="5" t="str">
        <f aca="false">IF(AND(E848&gt;=5,E848&lt;=20,C848&gt;=80,B848&lt;=1),"Opportunity (pos 5-20, 80+ impr, 0-1 click)","")</f>
        <v/>
      </c>
    </row>
    <row r="849" customFormat="false" ht="15" hidden="false" customHeight="false" outlineLevel="0" collapsed="false">
      <c r="A849" s="14" t="s">
        <v>1728</v>
      </c>
      <c r="B849" s="14" t="n">
        <v>0</v>
      </c>
      <c r="C849" s="14" t="n">
        <v>5</v>
      </c>
      <c r="D849" s="42" t="n">
        <v>0</v>
      </c>
      <c r="E849" s="41" t="n">
        <v>27.8</v>
      </c>
      <c r="F849" s="5" t="str">
        <f aca="false">IF(AND(E849&gt;=5,E849&lt;=20,C849&gt;=80,B849&lt;=1),"Opportunity (pos 5-20, 80+ impr, 0-1 click)","")</f>
        <v/>
      </c>
    </row>
    <row r="850" customFormat="false" ht="15" hidden="false" customHeight="false" outlineLevel="0" collapsed="false">
      <c r="A850" s="14" t="s">
        <v>1729</v>
      </c>
      <c r="B850" s="14" t="n">
        <v>0</v>
      </c>
      <c r="C850" s="14" t="n">
        <v>5</v>
      </c>
      <c r="D850" s="42" t="n">
        <v>0</v>
      </c>
      <c r="E850" s="41" t="n">
        <v>28</v>
      </c>
      <c r="F850" s="5" t="str">
        <f aca="false">IF(AND(E850&gt;=5,E850&lt;=20,C850&gt;=80,B850&lt;=1),"Opportunity (pos 5-20, 80+ impr, 0-1 click)","")</f>
        <v/>
      </c>
    </row>
    <row r="851" customFormat="false" ht="15" hidden="false" customHeight="false" outlineLevel="0" collapsed="false">
      <c r="A851" s="14" t="s">
        <v>1730</v>
      </c>
      <c r="B851" s="14" t="n">
        <v>0</v>
      </c>
      <c r="C851" s="14" t="n">
        <v>5</v>
      </c>
      <c r="D851" s="42" t="n">
        <v>0</v>
      </c>
      <c r="E851" s="41" t="n">
        <v>28.2</v>
      </c>
      <c r="F851" s="5" t="str">
        <f aca="false">IF(AND(E851&gt;=5,E851&lt;=20,C851&gt;=80,B851&lt;=1),"Opportunity (pos 5-20, 80+ impr, 0-1 click)","")</f>
        <v/>
      </c>
    </row>
    <row r="852" customFormat="false" ht="15" hidden="false" customHeight="false" outlineLevel="0" collapsed="false">
      <c r="A852" s="14" t="s">
        <v>1731</v>
      </c>
      <c r="B852" s="14" t="n">
        <v>0</v>
      </c>
      <c r="C852" s="14" t="n">
        <v>5</v>
      </c>
      <c r="D852" s="42" t="n">
        <v>0</v>
      </c>
      <c r="E852" s="41" t="n">
        <v>28.6</v>
      </c>
      <c r="F852" s="5" t="str">
        <f aca="false">IF(AND(E852&gt;=5,E852&lt;=20,C852&gt;=80,B852&lt;=1),"Opportunity (pos 5-20, 80+ impr, 0-1 click)","")</f>
        <v/>
      </c>
    </row>
    <row r="853" customFormat="false" ht="15" hidden="false" customHeight="false" outlineLevel="0" collapsed="false">
      <c r="A853" s="14" t="s">
        <v>1732</v>
      </c>
      <c r="B853" s="14" t="n">
        <v>0</v>
      </c>
      <c r="C853" s="14" t="n">
        <v>5</v>
      </c>
      <c r="D853" s="42" t="n">
        <v>0</v>
      </c>
      <c r="E853" s="41" t="n">
        <v>28.8</v>
      </c>
      <c r="F853" s="5" t="str">
        <f aca="false">IF(AND(E853&gt;=5,E853&lt;=20,C853&gt;=80,B853&lt;=1),"Opportunity (pos 5-20, 80+ impr, 0-1 click)","")</f>
        <v/>
      </c>
    </row>
    <row r="854" customFormat="false" ht="15" hidden="false" customHeight="false" outlineLevel="0" collapsed="false">
      <c r="A854" s="14" t="s">
        <v>1733</v>
      </c>
      <c r="B854" s="14" t="n">
        <v>0</v>
      </c>
      <c r="C854" s="14" t="n">
        <v>5</v>
      </c>
      <c r="D854" s="42" t="n">
        <v>0</v>
      </c>
      <c r="E854" s="41" t="n">
        <v>28.8</v>
      </c>
      <c r="F854" s="5" t="str">
        <f aca="false">IF(AND(E854&gt;=5,E854&lt;=20,C854&gt;=80,B854&lt;=1),"Opportunity (pos 5-20, 80+ impr, 0-1 click)","")</f>
        <v/>
      </c>
    </row>
    <row r="855" customFormat="false" ht="15" hidden="false" customHeight="false" outlineLevel="0" collapsed="false">
      <c r="A855" s="14" t="s">
        <v>1734</v>
      </c>
      <c r="B855" s="14" t="n">
        <v>0</v>
      </c>
      <c r="C855" s="14" t="n">
        <v>5</v>
      </c>
      <c r="D855" s="42" t="n">
        <v>0</v>
      </c>
      <c r="E855" s="41" t="n">
        <v>29.2</v>
      </c>
      <c r="F855" s="5" t="str">
        <f aca="false">IF(AND(E855&gt;=5,E855&lt;=20,C855&gt;=80,B855&lt;=1),"Opportunity (pos 5-20, 80+ impr, 0-1 click)","")</f>
        <v/>
      </c>
    </row>
    <row r="856" customFormat="false" ht="15" hidden="false" customHeight="false" outlineLevel="0" collapsed="false">
      <c r="A856" s="14" t="s">
        <v>1735</v>
      </c>
      <c r="B856" s="14" t="n">
        <v>0</v>
      </c>
      <c r="C856" s="14" t="n">
        <v>5</v>
      </c>
      <c r="D856" s="42" t="n">
        <v>0</v>
      </c>
      <c r="E856" s="41" t="n">
        <v>29.4</v>
      </c>
      <c r="F856" s="5" t="str">
        <f aca="false">IF(AND(E856&gt;=5,E856&lt;=20,C856&gt;=80,B856&lt;=1),"Opportunity (pos 5-20, 80+ impr, 0-1 click)","")</f>
        <v/>
      </c>
    </row>
    <row r="857" customFormat="false" ht="15" hidden="false" customHeight="false" outlineLevel="0" collapsed="false">
      <c r="A857" s="14" t="s">
        <v>1736</v>
      </c>
      <c r="B857" s="14" t="n">
        <v>0</v>
      </c>
      <c r="C857" s="14" t="n">
        <v>5</v>
      </c>
      <c r="D857" s="42" t="n">
        <v>0</v>
      </c>
      <c r="E857" s="41" t="n">
        <v>29.6</v>
      </c>
      <c r="F857" s="5" t="str">
        <f aca="false">IF(AND(E857&gt;=5,E857&lt;=20,C857&gt;=80,B857&lt;=1),"Opportunity (pos 5-20, 80+ impr, 0-1 click)","")</f>
        <v/>
      </c>
    </row>
    <row r="858" customFormat="false" ht="15" hidden="false" customHeight="false" outlineLevel="0" collapsed="false">
      <c r="A858" s="14" t="s">
        <v>1737</v>
      </c>
      <c r="B858" s="14" t="n">
        <v>0</v>
      </c>
      <c r="C858" s="14" t="n">
        <v>5</v>
      </c>
      <c r="D858" s="42" t="n">
        <v>0</v>
      </c>
      <c r="E858" s="41" t="n">
        <v>30</v>
      </c>
      <c r="F858" s="5" t="str">
        <f aca="false">IF(AND(E858&gt;=5,E858&lt;=20,C858&gt;=80,B858&lt;=1),"Opportunity (pos 5-20, 80+ impr, 0-1 click)","")</f>
        <v/>
      </c>
    </row>
    <row r="859" customFormat="false" ht="15" hidden="false" customHeight="false" outlineLevel="0" collapsed="false">
      <c r="A859" s="14" t="s">
        <v>1738</v>
      </c>
      <c r="B859" s="14" t="n">
        <v>0</v>
      </c>
      <c r="C859" s="14" t="n">
        <v>5</v>
      </c>
      <c r="D859" s="42" t="n">
        <v>0</v>
      </c>
      <c r="E859" s="41" t="n">
        <v>30.4</v>
      </c>
      <c r="F859" s="5" t="str">
        <f aca="false">IF(AND(E859&gt;=5,E859&lt;=20,C859&gt;=80,B859&lt;=1),"Opportunity (pos 5-20, 80+ impr, 0-1 click)","")</f>
        <v/>
      </c>
    </row>
    <row r="860" customFormat="false" ht="15" hidden="false" customHeight="false" outlineLevel="0" collapsed="false">
      <c r="A860" s="14" t="s">
        <v>1739</v>
      </c>
      <c r="B860" s="14" t="n">
        <v>0</v>
      </c>
      <c r="C860" s="14" t="n">
        <v>5</v>
      </c>
      <c r="D860" s="42" t="n">
        <v>0</v>
      </c>
      <c r="E860" s="41" t="n">
        <v>30.6</v>
      </c>
      <c r="F860" s="5" t="str">
        <f aca="false">IF(AND(E860&gt;=5,E860&lt;=20,C860&gt;=80,B860&lt;=1),"Opportunity (pos 5-20, 80+ impr, 0-1 click)","")</f>
        <v/>
      </c>
    </row>
    <row r="861" customFormat="false" ht="15" hidden="false" customHeight="false" outlineLevel="0" collapsed="false">
      <c r="A861" s="14" t="s">
        <v>1740</v>
      </c>
      <c r="B861" s="14" t="n">
        <v>0</v>
      </c>
      <c r="C861" s="14" t="n">
        <v>5</v>
      </c>
      <c r="D861" s="42" t="n">
        <v>0</v>
      </c>
      <c r="E861" s="41" t="n">
        <v>30.6</v>
      </c>
      <c r="F861" s="5" t="str">
        <f aca="false">IF(AND(E861&gt;=5,E861&lt;=20,C861&gt;=80,B861&lt;=1),"Opportunity (pos 5-20, 80+ impr, 0-1 click)","")</f>
        <v/>
      </c>
    </row>
    <row r="862" customFormat="false" ht="15" hidden="false" customHeight="false" outlineLevel="0" collapsed="false">
      <c r="A862" s="14" t="s">
        <v>1741</v>
      </c>
      <c r="B862" s="14" t="n">
        <v>0</v>
      </c>
      <c r="C862" s="14" t="n">
        <v>5</v>
      </c>
      <c r="D862" s="42" t="n">
        <v>0</v>
      </c>
      <c r="E862" s="41" t="n">
        <v>31.2</v>
      </c>
      <c r="F862" s="5" t="str">
        <f aca="false">IF(AND(E862&gt;=5,E862&lt;=20,C862&gt;=80,B862&lt;=1),"Opportunity (pos 5-20, 80+ impr, 0-1 click)","")</f>
        <v/>
      </c>
    </row>
    <row r="863" customFormat="false" ht="15" hidden="false" customHeight="false" outlineLevel="0" collapsed="false">
      <c r="A863" s="14" t="s">
        <v>1742</v>
      </c>
      <c r="B863" s="14" t="n">
        <v>0</v>
      </c>
      <c r="C863" s="14" t="n">
        <v>5</v>
      </c>
      <c r="D863" s="42" t="n">
        <v>0</v>
      </c>
      <c r="E863" s="41" t="n">
        <v>31.2</v>
      </c>
      <c r="F863" s="5" t="str">
        <f aca="false">IF(AND(E863&gt;=5,E863&lt;=20,C863&gt;=80,B863&lt;=1),"Opportunity (pos 5-20, 80+ impr, 0-1 click)","")</f>
        <v/>
      </c>
    </row>
    <row r="864" customFormat="false" ht="15" hidden="false" customHeight="false" outlineLevel="0" collapsed="false">
      <c r="A864" s="14" t="s">
        <v>1743</v>
      </c>
      <c r="B864" s="14" t="n">
        <v>0</v>
      </c>
      <c r="C864" s="14" t="n">
        <v>5</v>
      </c>
      <c r="D864" s="42" t="n">
        <v>0</v>
      </c>
      <c r="E864" s="41" t="n">
        <v>31.6</v>
      </c>
      <c r="F864" s="5" t="str">
        <f aca="false">IF(AND(E864&gt;=5,E864&lt;=20,C864&gt;=80,B864&lt;=1),"Opportunity (pos 5-20, 80+ impr, 0-1 click)","")</f>
        <v/>
      </c>
    </row>
    <row r="865" customFormat="false" ht="15" hidden="false" customHeight="false" outlineLevel="0" collapsed="false">
      <c r="A865" s="14" t="s">
        <v>1744</v>
      </c>
      <c r="B865" s="14" t="n">
        <v>0</v>
      </c>
      <c r="C865" s="14" t="n">
        <v>5</v>
      </c>
      <c r="D865" s="42" t="n">
        <v>0</v>
      </c>
      <c r="E865" s="41" t="n">
        <v>31.6</v>
      </c>
      <c r="F865" s="5" t="str">
        <f aca="false">IF(AND(E865&gt;=5,E865&lt;=20,C865&gt;=80,B865&lt;=1),"Opportunity (pos 5-20, 80+ impr, 0-1 click)","")</f>
        <v/>
      </c>
    </row>
    <row r="866" customFormat="false" ht="15" hidden="false" customHeight="false" outlineLevel="0" collapsed="false">
      <c r="A866" s="14" t="s">
        <v>1745</v>
      </c>
      <c r="B866" s="14" t="n">
        <v>0</v>
      </c>
      <c r="C866" s="14" t="n">
        <v>5</v>
      </c>
      <c r="D866" s="42" t="n">
        <v>0</v>
      </c>
      <c r="E866" s="41" t="n">
        <v>31.6</v>
      </c>
      <c r="F866" s="5" t="str">
        <f aca="false">IF(AND(E866&gt;=5,E866&lt;=20,C866&gt;=80,B866&lt;=1),"Opportunity (pos 5-20, 80+ impr, 0-1 click)","")</f>
        <v/>
      </c>
    </row>
    <row r="867" customFormat="false" ht="15" hidden="false" customHeight="false" outlineLevel="0" collapsed="false">
      <c r="A867" s="14" t="s">
        <v>1746</v>
      </c>
      <c r="B867" s="14" t="n">
        <v>0</v>
      </c>
      <c r="C867" s="14" t="n">
        <v>5</v>
      </c>
      <c r="D867" s="42" t="n">
        <v>0</v>
      </c>
      <c r="E867" s="41" t="n">
        <v>31.8</v>
      </c>
      <c r="F867" s="5" t="str">
        <f aca="false">IF(AND(E867&gt;=5,E867&lt;=20,C867&gt;=80,B867&lt;=1),"Opportunity (pos 5-20, 80+ impr, 0-1 click)","")</f>
        <v/>
      </c>
    </row>
    <row r="868" customFormat="false" ht="15" hidden="false" customHeight="false" outlineLevel="0" collapsed="false">
      <c r="A868" s="14" t="s">
        <v>1747</v>
      </c>
      <c r="B868" s="14" t="n">
        <v>0</v>
      </c>
      <c r="C868" s="14" t="n">
        <v>5</v>
      </c>
      <c r="D868" s="42" t="n">
        <v>0</v>
      </c>
      <c r="E868" s="41" t="n">
        <v>31.8</v>
      </c>
      <c r="F868" s="5" t="str">
        <f aca="false">IF(AND(E868&gt;=5,E868&lt;=20,C868&gt;=80,B868&lt;=1),"Opportunity (pos 5-20, 80+ impr, 0-1 click)","")</f>
        <v/>
      </c>
    </row>
    <row r="869" customFormat="false" ht="15" hidden="false" customHeight="false" outlineLevel="0" collapsed="false">
      <c r="A869" s="14" t="s">
        <v>1748</v>
      </c>
      <c r="B869" s="14" t="n">
        <v>0</v>
      </c>
      <c r="C869" s="14" t="n">
        <v>5</v>
      </c>
      <c r="D869" s="42" t="n">
        <v>0</v>
      </c>
      <c r="E869" s="41" t="n">
        <v>32</v>
      </c>
      <c r="F869" s="5" t="str">
        <f aca="false">IF(AND(E869&gt;=5,E869&lt;=20,C869&gt;=80,B869&lt;=1),"Opportunity (pos 5-20, 80+ impr, 0-1 click)","")</f>
        <v/>
      </c>
    </row>
    <row r="870" customFormat="false" ht="15" hidden="false" customHeight="false" outlineLevel="0" collapsed="false">
      <c r="A870" s="14" t="s">
        <v>1749</v>
      </c>
      <c r="B870" s="14" t="n">
        <v>0</v>
      </c>
      <c r="C870" s="14" t="n">
        <v>5</v>
      </c>
      <c r="D870" s="42" t="n">
        <v>0</v>
      </c>
      <c r="E870" s="41" t="n">
        <v>32.2</v>
      </c>
      <c r="F870" s="5" t="str">
        <f aca="false">IF(AND(E870&gt;=5,E870&lt;=20,C870&gt;=80,B870&lt;=1),"Opportunity (pos 5-20, 80+ impr, 0-1 click)","")</f>
        <v/>
      </c>
    </row>
    <row r="871" customFormat="false" ht="15" hidden="false" customHeight="false" outlineLevel="0" collapsed="false">
      <c r="A871" s="14" t="s">
        <v>1750</v>
      </c>
      <c r="B871" s="14" t="n">
        <v>0</v>
      </c>
      <c r="C871" s="14" t="n">
        <v>5</v>
      </c>
      <c r="D871" s="42" t="n">
        <v>0</v>
      </c>
      <c r="E871" s="41" t="n">
        <v>32.6</v>
      </c>
      <c r="F871" s="5" t="str">
        <f aca="false">IF(AND(E871&gt;=5,E871&lt;=20,C871&gt;=80,B871&lt;=1),"Opportunity (pos 5-20, 80+ impr, 0-1 click)","")</f>
        <v/>
      </c>
    </row>
    <row r="872" customFormat="false" ht="15" hidden="false" customHeight="false" outlineLevel="0" collapsed="false">
      <c r="A872" s="14" t="s">
        <v>1751</v>
      </c>
      <c r="B872" s="14" t="n">
        <v>0</v>
      </c>
      <c r="C872" s="14" t="n">
        <v>5</v>
      </c>
      <c r="D872" s="42" t="n">
        <v>0</v>
      </c>
      <c r="E872" s="41" t="n">
        <v>32.6</v>
      </c>
      <c r="F872" s="5" t="str">
        <f aca="false">IF(AND(E872&gt;=5,E872&lt;=20,C872&gt;=80,B872&lt;=1),"Opportunity (pos 5-20, 80+ impr, 0-1 click)","")</f>
        <v/>
      </c>
    </row>
    <row r="873" customFormat="false" ht="15" hidden="false" customHeight="false" outlineLevel="0" collapsed="false">
      <c r="A873" s="14" t="s">
        <v>1752</v>
      </c>
      <c r="B873" s="14" t="n">
        <v>0</v>
      </c>
      <c r="C873" s="14" t="n">
        <v>5</v>
      </c>
      <c r="D873" s="42" t="n">
        <v>0</v>
      </c>
      <c r="E873" s="41" t="n">
        <v>32.6</v>
      </c>
      <c r="F873" s="5" t="str">
        <f aca="false">IF(AND(E873&gt;=5,E873&lt;=20,C873&gt;=80,B873&lt;=1),"Opportunity (pos 5-20, 80+ impr, 0-1 click)","")</f>
        <v/>
      </c>
    </row>
    <row r="874" customFormat="false" ht="15" hidden="false" customHeight="false" outlineLevel="0" collapsed="false">
      <c r="A874" s="14" t="s">
        <v>1753</v>
      </c>
      <c r="B874" s="14" t="n">
        <v>0</v>
      </c>
      <c r="C874" s="14" t="n">
        <v>5</v>
      </c>
      <c r="D874" s="42" t="n">
        <v>0</v>
      </c>
      <c r="E874" s="41" t="n">
        <v>33</v>
      </c>
      <c r="F874" s="5" t="str">
        <f aca="false">IF(AND(E874&gt;=5,E874&lt;=20,C874&gt;=80,B874&lt;=1),"Opportunity (pos 5-20, 80+ impr, 0-1 click)","")</f>
        <v/>
      </c>
    </row>
    <row r="875" customFormat="false" ht="15" hidden="false" customHeight="false" outlineLevel="0" collapsed="false">
      <c r="A875" s="14" t="s">
        <v>1754</v>
      </c>
      <c r="B875" s="14" t="n">
        <v>0</v>
      </c>
      <c r="C875" s="14" t="n">
        <v>5</v>
      </c>
      <c r="D875" s="42" t="n">
        <v>0</v>
      </c>
      <c r="E875" s="41" t="n">
        <v>33</v>
      </c>
      <c r="F875" s="5" t="str">
        <f aca="false">IF(AND(E875&gt;=5,E875&lt;=20,C875&gt;=80,B875&lt;=1),"Opportunity (pos 5-20, 80+ impr, 0-1 click)","")</f>
        <v/>
      </c>
    </row>
    <row r="876" customFormat="false" ht="15" hidden="false" customHeight="false" outlineLevel="0" collapsed="false">
      <c r="A876" s="14" t="s">
        <v>1755</v>
      </c>
      <c r="B876" s="14" t="n">
        <v>0</v>
      </c>
      <c r="C876" s="14" t="n">
        <v>5</v>
      </c>
      <c r="D876" s="42" t="n">
        <v>0</v>
      </c>
      <c r="E876" s="41" t="n">
        <v>33</v>
      </c>
      <c r="F876" s="5" t="str">
        <f aca="false">IF(AND(E876&gt;=5,E876&lt;=20,C876&gt;=80,B876&lt;=1),"Opportunity (pos 5-20, 80+ impr, 0-1 click)","")</f>
        <v/>
      </c>
    </row>
    <row r="877" customFormat="false" ht="15" hidden="false" customHeight="false" outlineLevel="0" collapsed="false">
      <c r="A877" s="14" t="s">
        <v>1756</v>
      </c>
      <c r="B877" s="14" t="n">
        <v>0</v>
      </c>
      <c r="C877" s="14" t="n">
        <v>5</v>
      </c>
      <c r="D877" s="42" t="n">
        <v>0</v>
      </c>
      <c r="E877" s="41" t="n">
        <v>33.8</v>
      </c>
      <c r="F877" s="5" t="str">
        <f aca="false">IF(AND(E877&gt;=5,E877&lt;=20,C877&gt;=80,B877&lt;=1),"Opportunity (pos 5-20, 80+ impr, 0-1 click)","")</f>
        <v/>
      </c>
    </row>
    <row r="878" customFormat="false" ht="15" hidden="false" customHeight="false" outlineLevel="0" collapsed="false">
      <c r="A878" s="14" t="s">
        <v>1757</v>
      </c>
      <c r="B878" s="14" t="n">
        <v>0</v>
      </c>
      <c r="C878" s="14" t="n">
        <v>5</v>
      </c>
      <c r="D878" s="42" t="n">
        <v>0</v>
      </c>
      <c r="E878" s="41" t="n">
        <v>34.4</v>
      </c>
      <c r="F878" s="5" t="str">
        <f aca="false">IF(AND(E878&gt;=5,E878&lt;=20,C878&gt;=80,B878&lt;=1),"Opportunity (pos 5-20, 80+ impr, 0-1 click)","")</f>
        <v/>
      </c>
    </row>
    <row r="879" customFormat="false" ht="15" hidden="false" customHeight="false" outlineLevel="0" collapsed="false">
      <c r="A879" s="14" t="s">
        <v>1758</v>
      </c>
      <c r="B879" s="14" t="n">
        <v>0</v>
      </c>
      <c r="C879" s="14" t="n">
        <v>5</v>
      </c>
      <c r="D879" s="42" t="n">
        <v>0</v>
      </c>
      <c r="E879" s="41" t="n">
        <v>34.6</v>
      </c>
      <c r="F879" s="5" t="str">
        <f aca="false">IF(AND(E879&gt;=5,E879&lt;=20,C879&gt;=80,B879&lt;=1),"Opportunity (pos 5-20, 80+ impr, 0-1 click)","")</f>
        <v/>
      </c>
    </row>
    <row r="880" customFormat="false" ht="15" hidden="false" customHeight="false" outlineLevel="0" collapsed="false">
      <c r="A880" s="14" t="s">
        <v>1759</v>
      </c>
      <c r="B880" s="14" t="n">
        <v>0</v>
      </c>
      <c r="C880" s="14" t="n">
        <v>5</v>
      </c>
      <c r="D880" s="42" t="n">
        <v>0</v>
      </c>
      <c r="E880" s="41" t="n">
        <v>35.6</v>
      </c>
      <c r="F880" s="5" t="str">
        <f aca="false">IF(AND(E880&gt;=5,E880&lt;=20,C880&gt;=80,B880&lt;=1),"Opportunity (pos 5-20, 80+ impr, 0-1 click)","")</f>
        <v/>
      </c>
    </row>
    <row r="881" customFormat="false" ht="15" hidden="false" customHeight="false" outlineLevel="0" collapsed="false">
      <c r="A881" s="14" t="s">
        <v>1760</v>
      </c>
      <c r="B881" s="14" t="n">
        <v>0</v>
      </c>
      <c r="C881" s="14" t="n">
        <v>5</v>
      </c>
      <c r="D881" s="42" t="n">
        <v>0</v>
      </c>
      <c r="E881" s="41" t="n">
        <v>35.8</v>
      </c>
      <c r="F881" s="5" t="str">
        <f aca="false">IF(AND(E881&gt;=5,E881&lt;=20,C881&gt;=80,B881&lt;=1),"Opportunity (pos 5-20, 80+ impr, 0-1 click)","")</f>
        <v/>
      </c>
    </row>
    <row r="882" customFormat="false" ht="15" hidden="false" customHeight="false" outlineLevel="0" collapsed="false">
      <c r="A882" s="14" t="s">
        <v>1761</v>
      </c>
      <c r="B882" s="14" t="n">
        <v>0</v>
      </c>
      <c r="C882" s="14" t="n">
        <v>5</v>
      </c>
      <c r="D882" s="42" t="n">
        <v>0</v>
      </c>
      <c r="E882" s="41" t="n">
        <v>36</v>
      </c>
      <c r="F882" s="5" t="str">
        <f aca="false">IF(AND(E882&gt;=5,E882&lt;=20,C882&gt;=80,B882&lt;=1),"Opportunity (pos 5-20, 80+ impr, 0-1 click)","")</f>
        <v/>
      </c>
    </row>
    <row r="883" customFormat="false" ht="15" hidden="false" customHeight="false" outlineLevel="0" collapsed="false">
      <c r="A883" s="14" t="s">
        <v>1762</v>
      </c>
      <c r="B883" s="14" t="n">
        <v>0</v>
      </c>
      <c r="C883" s="14" t="n">
        <v>5</v>
      </c>
      <c r="D883" s="42" t="n">
        <v>0</v>
      </c>
      <c r="E883" s="41" t="n">
        <v>38.4</v>
      </c>
      <c r="F883" s="5" t="str">
        <f aca="false">IF(AND(E883&gt;=5,E883&lt;=20,C883&gt;=80,B883&lt;=1),"Opportunity (pos 5-20, 80+ impr, 0-1 click)","")</f>
        <v/>
      </c>
    </row>
    <row r="884" customFormat="false" ht="15" hidden="false" customHeight="false" outlineLevel="0" collapsed="false">
      <c r="A884" s="14" t="s">
        <v>1763</v>
      </c>
      <c r="B884" s="14" t="n">
        <v>0</v>
      </c>
      <c r="C884" s="14" t="n">
        <v>5</v>
      </c>
      <c r="D884" s="42" t="n">
        <v>0</v>
      </c>
      <c r="E884" s="41" t="n">
        <v>38.6</v>
      </c>
      <c r="F884" s="5" t="str">
        <f aca="false">IF(AND(E884&gt;=5,E884&lt;=20,C884&gt;=80,B884&lt;=1),"Opportunity (pos 5-20, 80+ impr, 0-1 click)","")</f>
        <v/>
      </c>
    </row>
    <row r="885" customFormat="false" ht="15" hidden="false" customHeight="false" outlineLevel="0" collapsed="false">
      <c r="A885" s="14" t="s">
        <v>1764</v>
      </c>
      <c r="B885" s="14" t="n">
        <v>0</v>
      </c>
      <c r="C885" s="14" t="n">
        <v>5</v>
      </c>
      <c r="D885" s="42" t="n">
        <v>0</v>
      </c>
      <c r="E885" s="41" t="n">
        <v>38.6</v>
      </c>
      <c r="F885" s="5" t="str">
        <f aca="false">IF(AND(E885&gt;=5,E885&lt;=20,C885&gt;=80,B885&lt;=1),"Opportunity (pos 5-20, 80+ impr, 0-1 click)","")</f>
        <v/>
      </c>
    </row>
    <row r="886" customFormat="false" ht="15" hidden="false" customHeight="false" outlineLevel="0" collapsed="false">
      <c r="A886" s="14" t="s">
        <v>1765</v>
      </c>
      <c r="B886" s="14" t="n">
        <v>0</v>
      </c>
      <c r="C886" s="14" t="n">
        <v>5</v>
      </c>
      <c r="D886" s="42" t="n">
        <v>0</v>
      </c>
      <c r="E886" s="41" t="n">
        <v>39.6</v>
      </c>
      <c r="F886" s="5" t="str">
        <f aca="false">IF(AND(E886&gt;=5,E886&lt;=20,C886&gt;=80,B886&lt;=1),"Opportunity (pos 5-20, 80+ impr, 0-1 click)","")</f>
        <v/>
      </c>
    </row>
    <row r="887" customFormat="false" ht="15" hidden="false" customHeight="false" outlineLevel="0" collapsed="false">
      <c r="A887" s="14" t="s">
        <v>1766</v>
      </c>
      <c r="B887" s="14" t="n">
        <v>0</v>
      </c>
      <c r="C887" s="14" t="n">
        <v>5</v>
      </c>
      <c r="D887" s="42" t="n">
        <v>0</v>
      </c>
      <c r="E887" s="41" t="n">
        <v>39.8</v>
      </c>
      <c r="F887" s="5" t="str">
        <f aca="false">IF(AND(E887&gt;=5,E887&lt;=20,C887&gt;=80,B887&lt;=1),"Opportunity (pos 5-20, 80+ impr, 0-1 click)","")</f>
        <v/>
      </c>
    </row>
    <row r="888" customFormat="false" ht="15" hidden="false" customHeight="false" outlineLevel="0" collapsed="false">
      <c r="A888" s="14" t="s">
        <v>1767</v>
      </c>
      <c r="B888" s="14" t="n">
        <v>0</v>
      </c>
      <c r="C888" s="14" t="n">
        <v>5</v>
      </c>
      <c r="D888" s="42" t="n">
        <v>0</v>
      </c>
      <c r="E888" s="41" t="n">
        <v>40.4</v>
      </c>
      <c r="F888" s="5" t="str">
        <f aca="false">IF(AND(E888&gt;=5,E888&lt;=20,C888&gt;=80,B888&lt;=1),"Opportunity (pos 5-20, 80+ impr, 0-1 click)","")</f>
        <v/>
      </c>
    </row>
    <row r="889" customFormat="false" ht="15" hidden="false" customHeight="false" outlineLevel="0" collapsed="false">
      <c r="A889" s="14" t="s">
        <v>1768</v>
      </c>
      <c r="B889" s="14" t="n">
        <v>0</v>
      </c>
      <c r="C889" s="14" t="n">
        <v>5</v>
      </c>
      <c r="D889" s="42" t="n">
        <v>0</v>
      </c>
      <c r="E889" s="41" t="n">
        <v>41.4</v>
      </c>
      <c r="F889" s="5" t="str">
        <f aca="false">IF(AND(E889&gt;=5,E889&lt;=20,C889&gt;=80,B889&lt;=1),"Opportunity (pos 5-20, 80+ impr, 0-1 click)","")</f>
        <v/>
      </c>
    </row>
    <row r="890" customFormat="false" ht="15" hidden="false" customHeight="false" outlineLevel="0" collapsed="false">
      <c r="A890" s="14" t="s">
        <v>1769</v>
      </c>
      <c r="B890" s="14" t="n">
        <v>0</v>
      </c>
      <c r="C890" s="14" t="n">
        <v>5</v>
      </c>
      <c r="D890" s="42" t="n">
        <v>0</v>
      </c>
      <c r="E890" s="41" t="n">
        <v>41.6</v>
      </c>
      <c r="F890" s="5" t="str">
        <f aca="false">IF(AND(E890&gt;=5,E890&lt;=20,C890&gt;=80,B890&lt;=1),"Opportunity (pos 5-20, 80+ impr, 0-1 click)","")</f>
        <v/>
      </c>
    </row>
    <row r="891" customFormat="false" ht="15" hidden="false" customHeight="false" outlineLevel="0" collapsed="false">
      <c r="A891" s="14" t="s">
        <v>1770</v>
      </c>
      <c r="B891" s="14" t="n">
        <v>0</v>
      </c>
      <c r="C891" s="14" t="n">
        <v>5</v>
      </c>
      <c r="D891" s="42" t="n">
        <v>0</v>
      </c>
      <c r="E891" s="41" t="n">
        <v>41.6</v>
      </c>
      <c r="F891" s="5" t="str">
        <f aca="false">IF(AND(E891&gt;=5,E891&lt;=20,C891&gt;=80,B891&lt;=1),"Opportunity (pos 5-20, 80+ impr, 0-1 click)","")</f>
        <v/>
      </c>
    </row>
    <row r="892" customFormat="false" ht="15" hidden="false" customHeight="false" outlineLevel="0" collapsed="false">
      <c r="A892" s="14" t="s">
        <v>1771</v>
      </c>
      <c r="B892" s="14" t="n">
        <v>0</v>
      </c>
      <c r="C892" s="14" t="n">
        <v>5</v>
      </c>
      <c r="D892" s="42" t="n">
        <v>0</v>
      </c>
      <c r="E892" s="41" t="n">
        <v>41.8</v>
      </c>
      <c r="F892" s="5" t="str">
        <f aca="false">IF(AND(E892&gt;=5,E892&lt;=20,C892&gt;=80,B892&lt;=1),"Opportunity (pos 5-20, 80+ impr, 0-1 click)","")</f>
        <v/>
      </c>
    </row>
    <row r="893" customFormat="false" ht="15" hidden="false" customHeight="false" outlineLevel="0" collapsed="false">
      <c r="A893" s="14" t="s">
        <v>1772</v>
      </c>
      <c r="B893" s="14" t="n">
        <v>0</v>
      </c>
      <c r="C893" s="14" t="n">
        <v>5</v>
      </c>
      <c r="D893" s="42" t="n">
        <v>0</v>
      </c>
      <c r="E893" s="41" t="n">
        <v>42.2</v>
      </c>
      <c r="F893" s="5" t="str">
        <f aca="false">IF(AND(E893&gt;=5,E893&lt;=20,C893&gt;=80,B893&lt;=1),"Opportunity (pos 5-20, 80+ impr, 0-1 click)","")</f>
        <v/>
      </c>
    </row>
    <row r="894" customFormat="false" ht="15" hidden="false" customHeight="false" outlineLevel="0" collapsed="false">
      <c r="A894" s="14" t="s">
        <v>1773</v>
      </c>
      <c r="B894" s="14" t="n">
        <v>0</v>
      </c>
      <c r="C894" s="14" t="n">
        <v>5</v>
      </c>
      <c r="D894" s="42" t="n">
        <v>0</v>
      </c>
      <c r="E894" s="41" t="n">
        <v>42.4</v>
      </c>
      <c r="F894" s="5" t="str">
        <f aca="false">IF(AND(E894&gt;=5,E894&lt;=20,C894&gt;=80,B894&lt;=1),"Opportunity (pos 5-20, 80+ impr, 0-1 click)","")</f>
        <v/>
      </c>
    </row>
    <row r="895" customFormat="false" ht="15" hidden="false" customHeight="false" outlineLevel="0" collapsed="false">
      <c r="A895" s="14" t="s">
        <v>1774</v>
      </c>
      <c r="B895" s="14" t="n">
        <v>0</v>
      </c>
      <c r="C895" s="14" t="n">
        <v>5</v>
      </c>
      <c r="D895" s="42" t="n">
        <v>0</v>
      </c>
      <c r="E895" s="41" t="n">
        <v>42.8</v>
      </c>
      <c r="F895" s="5" t="str">
        <f aca="false">IF(AND(E895&gt;=5,E895&lt;=20,C895&gt;=80,B895&lt;=1),"Opportunity (pos 5-20, 80+ impr, 0-1 click)","")</f>
        <v/>
      </c>
    </row>
    <row r="896" customFormat="false" ht="15" hidden="false" customHeight="false" outlineLevel="0" collapsed="false">
      <c r="A896" s="14" t="s">
        <v>1775</v>
      </c>
      <c r="B896" s="14" t="n">
        <v>0</v>
      </c>
      <c r="C896" s="14" t="n">
        <v>5</v>
      </c>
      <c r="D896" s="42" t="n">
        <v>0</v>
      </c>
      <c r="E896" s="41" t="n">
        <v>43</v>
      </c>
      <c r="F896" s="5" t="str">
        <f aca="false">IF(AND(E896&gt;=5,E896&lt;=20,C896&gt;=80,B896&lt;=1),"Opportunity (pos 5-20, 80+ impr, 0-1 click)","")</f>
        <v/>
      </c>
    </row>
    <row r="897" customFormat="false" ht="15" hidden="false" customHeight="false" outlineLevel="0" collapsed="false">
      <c r="A897" s="14" t="s">
        <v>1776</v>
      </c>
      <c r="B897" s="14" t="n">
        <v>0</v>
      </c>
      <c r="C897" s="14" t="n">
        <v>5</v>
      </c>
      <c r="D897" s="42" t="n">
        <v>0</v>
      </c>
      <c r="E897" s="41" t="n">
        <v>43.6</v>
      </c>
      <c r="F897" s="5" t="str">
        <f aca="false">IF(AND(E897&gt;=5,E897&lt;=20,C897&gt;=80,B897&lt;=1),"Opportunity (pos 5-20, 80+ impr, 0-1 click)","")</f>
        <v/>
      </c>
    </row>
    <row r="898" customFormat="false" ht="15" hidden="false" customHeight="false" outlineLevel="0" collapsed="false">
      <c r="A898" s="14" t="s">
        <v>1777</v>
      </c>
      <c r="B898" s="14" t="n">
        <v>0</v>
      </c>
      <c r="C898" s="14" t="n">
        <v>5</v>
      </c>
      <c r="D898" s="42" t="n">
        <v>0</v>
      </c>
      <c r="E898" s="41" t="n">
        <v>44</v>
      </c>
      <c r="F898" s="5" t="str">
        <f aca="false">IF(AND(E898&gt;=5,E898&lt;=20,C898&gt;=80,B898&lt;=1),"Opportunity (pos 5-20, 80+ impr, 0-1 click)","")</f>
        <v/>
      </c>
    </row>
    <row r="899" customFormat="false" ht="15" hidden="false" customHeight="false" outlineLevel="0" collapsed="false">
      <c r="A899" s="14" t="s">
        <v>1778</v>
      </c>
      <c r="B899" s="14" t="n">
        <v>0</v>
      </c>
      <c r="C899" s="14" t="n">
        <v>5</v>
      </c>
      <c r="D899" s="42" t="n">
        <v>0</v>
      </c>
      <c r="E899" s="41" t="n">
        <v>45.8</v>
      </c>
      <c r="F899" s="5" t="str">
        <f aca="false">IF(AND(E899&gt;=5,E899&lt;=20,C899&gt;=80,B899&lt;=1),"Opportunity (pos 5-20, 80+ impr, 0-1 click)","")</f>
        <v/>
      </c>
    </row>
    <row r="900" customFormat="false" ht="15" hidden="false" customHeight="false" outlineLevel="0" collapsed="false">
      <c r="A900" s="14" t="s">
        <v>1779</v>
      </c>
      <c r="B900" s="14" t="n">
        <v>0</v>
      </c>
      <c r="C900" s="14" t="n">
        <v>5</v>
      </c>
      <c r="D900" s="42" t="n">
        <v>0</v>
      </c>
      <c r="E900" s="41" t="n">
        <v>46</v>
      </c>
      <c r="F900" s="5" t="str">
        <f aca="false">IF(AND(E900&gt;=5,E900&lt;=20,C900&gt;=80,B900&lt;=1),"Opportunity (pos 5-20, 80+ impr, 0-1 click)","")</f>
        <v/>
      </c>
    </row>
    <row r="901" customFormat="false" ht="15" hidden="false" customHeight="false" outlineLevel="0" collapsed="false">
      <c r="A901" s="14" t="s">
        <v>1780</v>
      </c>
      <c r="B901" s="14" t="n">
        <v>0</v>
      </c>
      <c r="C901" s="14" t="n">
        <v>5</v>
      </c>
      <c r="D901" s="42" t="n">
        <v>0</v>
      </c>
      <c r="E901" s="41" t="n">
        <v>46.4</v>
      </c>
      <c r="F901" s="5" t="str">
        <f aca="false">IF(AND(E901&gt;=5,E901&lt;=20,C901&gt;=80,B901&lt;=1),"Opportunity (pos 5-20, 80+ impr, 0-1 click)","")</f>
        <v/>
      </c>
    </row>
    <row r="902" customFormat="false" ht="15" hidden="false" customHeight="false" outlineLevel="0" collapsed="false">
      <c r="A902" s="14" t="s">
        <v>1781</v>
      </c>
      <c r="B902" s="14" t="n">
        <v>0</v>
      </c>
      <c r="C902" s="14" t="n">
        <v>5</v>
      </c>
      <c r="D902" s="42" t="n">
        <v>0</v>
      </c>
      <c r="E902" s="41" t="n">
        <v>46.8</v>
      </c>
      <c r="F902" s="5" t="str">
        <f aca="false">IF(AND(E902&gt;=5,E902&lt;=20,C902&gt;=80,B902&lt;=1),"Opportunity (pos 5-20, 80+ impr, 0-1 click)","")</f>
        <v/>
      </c>
    </row>
    <row r="903" customFormat="false" ht="15" hidden="false" customHeight="false" outlineLevel="0" collapsed="false">
      <c r="A903" s="14" t="s">
        <v>1782</v>
      </c>
      <c r="B903" s="14" t="n">
        <v>0</v>
      </c>
      <c r="C903" s="14" t="n">
        <v>5</v>
      </c>
      <c r="D903" s="42" t="n">
        <v>0</v>
      </c>
      <c r="E903" s="41" t="n">
        <v>47.4</v>
      </c>
      <c r="F903" s="5" t="str">
        <f aca="false">IF(AND(E903&gt;=5,E903&lt;=20,C903&gt;=80,B903&lt;=1),"Opportunity (pos 5-20, 80+ impr, 0-1 click)","")</f>
        <v/>
      </c>
    </row>
    <row r="904" customFormat="false" ht="15" hidden="false" customHeight="false" outlineLevel="0" collapsed="false">
      <c r="A904" s="14" t="s">
        <v>1783</v>
      </c>
      <c r="B904" s="14" t="n">
        <v>0</v>
      </c>
      <c r="C904" s="14" t="n">
        <v>5</v>
      </c>
      <c r="D904" s="42" t="n">
        <v>0</v>
      </c>
      <c r="E904" s="41" t="n">
        <v>49.6</v>
      </c>
      <c r="F904" s="5" t="str">
        <f aca="false">IF(AND(E904&gt;=5,E904&lt;=20,C904&gt;=80,B904&lt;=1),"Opportunity (pos 5-20, 80+ impr, 0-1 click)","")</f>
        <v/>
      </c>
    </row>
    <row r="905" customFormat="false" ht="15" hidden="false" customHeight="false" outlineLevel="0" collapsed="false">
      <c r="A905" s="14" t="s">
        <v>1784</v>
      </c>
      <c r="B905" s="14" t="n">
        <v>0</v>
      </c>
      <c r="C905" s="14" t="n">
        <v>5</v>
      </c>
      <c r="D905" s="42" t="n">
        <v>0</v>
      </c>
      <c r="E905" s="41" t="n">
        <v>50</v>
      </c>
      <c r="F905" s="5" t="str">
        <f aca="false">IF(AND(E905&gt;=5,E905&lt;=20,C905&gt;=80,B905&lt;=1),"Opportunity (pos 5-20, 80+ impr, 0-1 click)","")</f>
        <v/>
      </c>
    </row>
    <row r="906" customFormat="false" ht="15" hidden="false" customHeight="false" outlineLevel="0" collapsed="false">
      <c r="A906" s="14" t="s">
        <v>1785</v>
      </c>
      <c r="B906" s="14" t="n">
        <v>0</v>
      </c>
      <c r="C906" s="14" t="n">
        <v>5</v>
      </c>
      <c r="D906" s="42" t="n">
        <v>0</v>
      </c>
      <c r="E906" s="41" t="n">
        <v>52.4</v>
      </c>
      <c r="F906" s="5" t="str">
        <f aca="false">IF(AND(E906&gt;=5,E906&lt;=20,C906&gt;=80,B906&lt;=1),"Opportunity (pos 5-20, 80+ impr, 0-1 click)","")</f>
        <v/>
      </c>
    </row>
    <row r="907" customFormat="false" ht="15" hidden="false" customHeight="false" outlineLevel="0" collapsed="false">
      <c r="A907" s="14" t="s">
        <v>1786</v>
      </c>
      <c r="B907" s="14" t="n">
        <v>0</v>
      </c>
      <c r="C907" s="14" t="n">
        <v>5</v>
      </c>
      <c r="D907" s="42" t="n">
        <v>0</v>
      </c>
      <c r="E907" s="41" t="n">
        <v>52.6</v>
      </c>
      <c r="F907" s="5" t="str">
        <f aca="false">IF(AND(E907&gt;=5,E907&lt;=20,C907&gt;=80,B907&lt;=1),"Opportunity (pos 5-20, 80+ impr, 0-1 click)","")</f>
        <v/>
      </c>
    </row>
    <row r="908" customFormat="false" ht="15" hidden="false" customHeight="false" outlineLevel="0" collapsed="false">
      <c r="A908" s="14" t="s">
        <v>1787</v>
      </c>
      <c r="B908" s="14" t="n">
        <v>0</v>
      </c>
      <c r="C908" s="14" t="n">
        <v>5</v>
      </c>
      <c r="D908" s="42" t="n">
        <v>0</v>
      </c>
      <c r="E908" s="41" t="n">
        <v>52.6</v>
      </c>
      <c r="F908" s="5" t="str">
        <f aca="false">IF(AND(E908&gt;=5,E908&lt;=20,C908&gt;=80,B908&lt;=1),"Opportunity (pos 5-20, 80+ impr, 0-1 click)","")</f>
        <v/>
      </c>
    </row>
    <row r="909" customFormat="false" ht="15" hidden="false" customHeight="false" outlineLevel="0" collapsed="false">
      <c r="A909" s="14" t="s">
        <v>1788</v>
      </c>
      <c r="B909" s="14" t="n">
        <v>0</v>
      </c>
      <c r="C909" s="14" t="n">
        <v>5</v>
      </c>
      <c r="D909" s="42" t="n">
        <v>0</v>
      </c>
      <c r="E909" s="41" t="n">
        <v>53.2</v>
      </c>
      <c r="F909" s="5" t="str">
        <f aca="false">IF(AND(E909&gt;=5,E909&lt;=20,C909&gt;=80,B909&lt;=1),"Opportunity (pos 5-20, 80+ impr, 0-1 click)","")</f>
        <v/>
      </c>
    </row>
    <row r="910" customFormat="false" ht="15" hidden="false" customHeight="false" outlineLevel="0" collapsed="false">
      <c r="A910" s="14" t="s">
        <v>1789</v>
      </c>
      <c r="B910" s="14" t="n">
        <v>0</v>
      </c>
      <c r="C910" s="14" t="n">
        <v>5</v>
      </c>
      <c r="D910" s="42" t="n">
        <v>0</v>
      </c>
      <c r="E910" s="41" t="n">
        <v>54</v>
      </c>
      <c r="F910" s="5" t="str">
        <f aca="false">IF(AND(E910&gt;=5,E910&lt;=20,C910&gt;=80,B910&lt;=1),"Opportunity (pos 5-20, 80+ impr, 0-1 click)","")</f>
        <v/>
      </c>
    </row>
    <row r="911" customFormat="false" ht="15" hidden="false" customHeight="false" outlineLevel="0" collapsed="false">
      <c r="A911" s="14" t="s">
        <v>1790</v>
      </c>
      <c r="B911" s="14" t="n">
        <v>0</v>
      </c>
      <c r="C911" s="14" t="n">
        <v>5</v>
      </c>
      <c r="D911" s="42" t="n">
        <v>0</v>
      </c>
      <c r="E911" s="41" t="n">
        <v>54.4</v>
      </c>
      <c r="F911" s="5" t="str">
        <f aca="false">IF(AND(E911&gt;=5,E911&lt;=20,C911&gt;=80,B911&lt;=1),"Opportunity (pos 5-20, 80+ impr, 0-1 click)","")</f>
        <v/>
      </c>
    </row>
    <row r="912" customFormat="false" ht="15" hidden="false" customHeight="false" outlineLevel="0" collapsed="false">
      <c r="A912" s="14" t="s">
        <v>1791</v>
      </c>
      <c r="B912" s="14" t="n">
        <v>0</v>
      </c>
      <c r="C912" s="14" t="n">
        <v>5</v>
      </c>
      <c r="D912" s="42" t="n">
        <v>0</v>
      </c>
      <c r="E912" s="41" t="n">
        <v>55.2</v>
      </c>
      <c r="F912" s="5" t="str">
        <f aca="false">IF(AND(E912&gt;=5,E912&lt;=20,C912&gt;=80,B912&lt;=1),"Opportunity (pos 5-20, 80+ impr, 0-1 click)","")</f>
        <v/>
      </c>
    </row>
    <row r="913" customFormat="false" ht="15" hidden="false" customHeight="false" outlineLevel="0" collapsed="false">
      <c r="A913" s="14" t="s">
        <v>1792</v>
      </c>
      <c r="B913" s="14" t="n">
        <v>0</v>
      </c>
      <c r="C913" s="14" t="n">
        <v>5</v>
      </c>
      <c r="D913" s="42" t="n">
        <v>0</v>
      </c>
      <c r="E913" s="41" t="n">
        <v>55.2</v>
      </c>
      <c r="F913" s="5" t="str">
        <f aca="false">IF(AND(E913&gt;=5,E913&lt;=20,C913&gt;=80,B913&lt;=1),"Opportunity (pos 5-20, 80+ impr, 0-1 click)","")</f>
        <v/>
      </c>
    </row>
    <row r="914" customFormat="false" ht="15" hidden="false" customHeight="false" outlineLevel="0" collapsed="false">
      <c r="A914" s="14" t="s">
        <v>1793</v>
      </c>
      <c r="B914" s="14" t="n">
        <v>0</v>
      </c>
      <c r="C914" s="14" t="n">
        <v>5</v>
      </c>
      <c r="D914" s="42" t="n">
        <v>0</v>
      </c>
      <c r="E914" s="41" t="n">
        <v>55.6</v>
      </c>
      <c r="F914" s="5" t="str">
        <f aca="false">IF(AND(E914&gt;=5,E914&lt;=20,C914&gt;=80,B914&lt;=1),"Opportunity (pos 5-20, 80+ impr, 0-1 click)","")</f>
        <v/>
      </c>
    </row>
    <row r="915" customFormat="false" ht="15" hidden="false" customHeight="false" outlineLevel="0" collapsed="false">
      <c r="A915" s="14" t="s">
        <v>1794</v>
      </c>
      <c r="B915" s="14" t="n">
        <v>0</v>
      </c>
      <c r="C915" s="14" t="n">
        <v>5</v>
      </c>
      <c r="D915" s="42" t="n">
        <v>0</v>
      </c>
      <c r="E915" s="41" t="n">
        <v>57</v>
      </c>
      <c r="F915" s="5" t="str">
        <f aca="false">IF(AND(E915&gt;=5,E915&lt;=20,C915&gt;=80,B915&lt;=1),"Opportunity (pos 5-20, 80+ impr, 0-1 click)","")</f>
        <v/>
      </c>
    </row>
    <row r="916" customFormat="false" ht="15" hidden="false" customHeight="false" outlineLevel="0" collapsed="false">
      <c r="A916" s="14" t="s">
        <v>1795</v>
      </c>
      <c r="B916" s="14" t="n">
        <v>0</v>
      </c>
      <c r="C916" s="14" t="n">
        <v>5</v>
      </c>
      <c r="D916" s="42" t="n">
        <v>0</v>
      </c>
      <c r="E916" s="41" t="n">
        <v>62.6</v>
      </c>
      <c r="F916" s="5" t="str">
        <f aca="false">IF(AND(E916&gt;=5,E916&lt;=20,C916&gt;=80,B916&lt;=1),"Opportunity (pos 5-20, 80+ impr, 0-1 click)","")</f>
        <v/>
      </c>
    </row>
    <row r="917" customFormat="false" ht="15" hidden="false" customHeight="false" outlineLevel="0" collapsed="false">
      <c r="A917" s="14" t="s">
        <v>1796</v>
      </c>
      <c r="B917" s="14" t="n">
        <v>0</v>
      </c>
      <c r="C917" s="14" t="n">
        <v>5</v>
      </c>
      <c r="D917" s="42" t="n">
        <v>0</v>
      </c>
      <c r="E917" s="41" t="n">
        <v>63</v>
      </c>
      <c r="F917" s="5" t="str">
        <f aca="false">IF(AND(E917&gt;=5,E917&lt;=20,C917&gt;=80,B917&lt;=1),"Opportunity (pos 5-20, 80+ impr, 0-1 click)","")</f>
        <v/>
      </c>
    </row>
    <row r="918" customFormat="false" ht="15" hidden="false" customHeight="false" outlineLevel="0" collapsed="false">
      <c r="A918" s="14" t="s">
        <v>1797</v>
      </c>
      <c r="B918" s="14" t="n">
        <v>0</v>
      </c>
      <c r="C918" s="14" t="n">
        <v>5</v>
      </c>
      <c r="D918" s="42" t="n">
        <v>0</v>
      </c>
      <c r="E918" s="41" t="n">
        <v>65.4</v>
      </c>
      <c r="F918" s="5" t="str">
        <f aca="false">IF(AND(E918&gt;=5,E918&lt;=20,C918&gt;=80,B918&lt;=1),"Opportunity (pos 5-20, 80+ impr, 0-1 click)","")</f>
        <v/>
      </c>
    </row>
    <row r="919" customFormat="false" ht="15" hidden="false" customHeight="false" outlineLevel="0" collapsed="false">
      <c r="A919" s="14" t="s">
        <v>1798</v>
      </c>
      <c r="B919" s="14" t="n">
        <v>0</v>
      </c>
      <c r="C919" s="14" t="n">
        <v>5</v>
      </c>
      <c r="D919" s="42" t="n">
        <v>0</v>
      </c>
      <c r="E919" s="41" t="n">
        <v>65.8</v>
      </c>
      <c r="F919" s="5" t="str">
        <f aca="false">IF(AND(E919&gt;=5,E919&lt;=20,C919&gt;=80,B919&lt;=1),"Opportunity (pos 5-20, 80+ impr, 0-1 click)","")</f>
        <v/>
      </c>
    </row>
    <row r="920" customFormat="false" ht="15" hidden="false" customHeight="false" outlineLevel="0" collapsed="false">
      <c r="A920" s="14" t="s">
        <v>1799</v>
      </c>
      <c r="B920" s="14" t="n">
        <v>0</v>
      </c>
      <c r="C920" s="14" t="n">
        <v>5</v>
      </c>
      <c r="D920" s="42" t="n">
        <v>0</v>
      </c>
      <c r="E920" s="41" t="n">
        <v>66.6</v>
      </c>
      <c r="F920" s="5" t="str">
        <f aca="false">IF(AND(E920&gt;=5,E920&lt;=20,C920&gt;=80,B920&lt;=1),"Opportunity (pos 5-20, 80+ impr, 0-1 click)","")</f>
        <v/>
      </c>
    </row>
    <row r="921" customFormat="false" ht="15" hidden="false" customHeight="false" outlineLevel="0" collapsed="false">
      <c r="A921" s="14" t="s">
        <v>1800</v>
      </c>
      <c r="B921" s="14" t="n">
        <v>0</v>
      </c>
      <c r="C921" s="14" t="n">
        <v>5</v>
      </c>
      <c r="D921" s="42" t="n">
        <v>0</v>
      </c>
      <c r="E921" s="41" t="n">
        <v>66.6</v>
      </c>
      <c r="F921" s="5" t="str">
        <f aca="false">IF(AND(E921&gt;=5,E921&lt;=20,C921&gt;=80,B921&lt;=1),"Opportunity (pos 5-20, 80+ impr, 0-1 click)","")</f>
        <v/>
      </c>
    </row>
    <row r="922" customFormat="false" ht="15" hidden="false" customHeight="false" outlineLevel="0" collapsed="false">
      <c r="A922" s="14" t="s">
        <v>1801</v>
      </c>
      <c r="B922" s="14" t="n">
        <v>0</v>
      </c>
      <c r="C922" s="14" t="n">
        <v>5</v>
      </c>
      <c r="D922" s="42" t="n">
        <v>0</v>
      </c>
      <c r="E922" s="41" t="n">
        <v>67</v>
      </c>
      <c r="F922" s="5" t="str">
        <f aca="false">IF(AND(E922&gt;=5,E922&lt;=20,C922&gt;=80,B922&lt;=1),"Opportunity (pos 5-20, 80+ impr, 0-1 click)","")</f>
        <v/>
      </c>
    </row>
    <row r="923" customFormat="false" ht="15" hidden="false" customHeight="false" outlineLevel="0" collapsed="false">
      <c r="A923" s="14" t="s">
        <v>1802</v>
      </c>
      <c r="B923" s="14" t="n">
        <v>0</v>
      </c>
      <c r="C923" s="14" t="n">
        <v>5</v>
      </c>
      <c r="D923" s="42" t="n">
        <v>0</v>
      </c>
      <c r="E923" s="41" t="n">
        <v>67</v>
      </c>
      <c r="F923" s="5" t="str">
        <f aca="false">IF(AND(E923&gt;=5,E923&lt;=20,C923&gt;=80,B923&lt;=1),"Opportunity (pos 5-20, 80+ impr, 0-1 click)","")</f>
        <v/>
      </c>
    </row>
    <row r="924" customFormat="false" ht="15" hidden="false" customHeight="false" outlineLevel="0" collapsed="false">
      <c r="A924" s="14" t="s">
        <v>1803</v>
      </c>
      <c r="B924" s="14" t="n">
        <v>0</v>
      </c>
      <c r="C924" s="14" t="n">
        <v>5</v>
      </c>
      <c r="D924" s="42" t="n">
        <v>0</v>
      </c>
      <c r="E924" s="41" t="n">
        <v>71</v>
      </c>
      <c r="F924" s="5" t="str">
        <f aca="false">IF(AND(E924&gt;=5,E924&lt;=20,C924&gt;=80,B924&lt;=1),"Opportunity (pos 5-20, 80+ impr, 0-1 click)","")</f>
        <v/>
      </c>
    </row>
    <row r="925" customFormat="false" ht="15" hidden="false" customHeight="false" outlineLevel="0" collapsed="false">
      <c r="A925" s="14" t="s">
        <v>1804</v>
      </c>
      <c r="B925" s="14" t="n">
        <v>0</v>
      </c>
      <c r="C925" s="14" t="n">
        <v>5</v>
      </c>
      <c r="D925" s="42" t="n">
        <v>0</v>
      </c>
      <c r="E925" s="41" t="n">
        <v>77.2</v>
      </c>
      <c r="F925" s="5" t="str">
        <f aca="false">IF(AND(E925&gt;=5,E925&lt;=20,C925&gt;=80,B925&lt;=1),"Opportunity (pos 5-20, 80+ impr, 0-1 click)","")</f>
        <v/>
      </c>
    </row>
    <row r="926" customFormat="false" ht="15" hidden="false" customHeight="false" outlineLevel="0" collapsed="false">
      <c r="A926" s="14" t="s">
        <v>1805</v>
      </c>
      <c r="B926" s="14" t="n">
        <v>0</v>
      </c>
      <c r="C926" s="14" t="n">
        <v>4</v>
      </c>
      <c r="D926" s="42" t="n">
        <v>0</v>
      </c>
      <c r="E926" s="41" t="n">
        <v>7.25</v>
      </c>
      <c r="F926" s="5" t="str">
        <f aca="false">IF(AND(E926&gt;=5,E926&lt;=20,C926&gt;=80,B926&lt;=1),"Opportunity (pos 5-20, 80+ impr, 0-1 click)","")</f>
        <v/>
      </c>
    </row>
    <row r="927" customFormat="false" ht="15" hidden="false" customHeight="false" outlineLevel="0" collapsed="false">
      <c r="A927" s="14" t="s">
        <v>1806</v>
      </c>
      <c r="B927" s="14" t="n">
        <v>0</v>
      </c>
      <c r="C927" s="14" t="n">
        <v>4</v>
      </c>
      <c r="D927" s="42" t="n">
        <v>0</v>
      </c>
      <c r="E927" s="41" t="n">
        <v>7.5</v>
      </c>
      <c r="F927" s="5" t="str">
        <f aca="false">IF(AND(E927&gt;=5,E927&lt;=20,C927&gt;=80,B927&lt;=1),"Opportunity (pos 5-20, 80+ impr, 0-1 click)","")</f>
        <v/>
      </c>
    </row>
    <row r="928" customFormat="false" ht="15" hidden="false" customHeight="false" outlineLevel="0" collapsed="false">
      <c r="A928" s="14" t="s">
        <v>1807</v>
      </c>
      <c r="B928" s="14" t="n">
        <v>0</v>
      </c>
      <c r="C928" s="14" t="n">
        <v>4</v>
      </c>
      <c r="D928" s="42" t="n">
        <v>0</v>
      </c>
      <c r="E928" s="41" t="n">
        <v>7.5</v>
      </c>
      <c r="F928" s="5" t="str">
        <f aca="false">IF(AND(E928&gt;=5,E928&lt;=20,C928&gt;=80,B928&lt;=1),"Opportunity (pos 5-20, 80+ impr, 0-1 click)","")</f>
        <v/>
      </c>
    </row>
    <row r="929" customFormat="false" ht="15" hidden="false" customHeight="false" outlineLevel="0" collapsed="false">
      <c r="A929" s="14" t="s">
        <v>1808</v>
      </c>
      <c r="B929" s="14" t="n">
        <v>0</v>
      </c>
      <c r="C929" s="14" t="n">
        <v>4</v>
      </c>
      <c r="D929" s="42" t="n">
        <v>0</v>
      </c>
      <c r="E929" s="41" t="n">
        <v>7.75</v>
      </c>
      <c r="F929" s="5" t="str">
        <f aca="false">IF(AND(E929&gt;=5,E929&lt;=20,C929&gt;=80,B929&lt;=1),"Opportunity (pos 5-20, 80+ impr, 0-1 click)","")</f>
        <v/>
      </c>
    </row>
    <row r="930" customFormat="false" ht="15" hidden="false" customHeight="false" outlineLevel="0" collapsed="false">
      <c r="A930" s="14" t="s">
        <v>1809</v>
      </c>
      <c r="B930" s="14" t="n">
        <v>0</v>
      </c>
      <c r="C930" s="14" t="n">
        <v>4</v>
      </c>
      <c r="D930" s="42" t="n">
        <v>0</v>
      </c>
      <c r="E930" s="41" t="n">
        <v>8</v>
      </c>
      <c r="F930" s="5" t="str">
        <f aca="false">IF(AND(E930&gt;=5,E930&lt;=20,C930&gt;=80,B930&lt;=1),"Opportunity (pos 5-20, 80+ impr, 0-1 click)","")</f>
        <v/>
      </c>
    </row>
    <row r="931" customFormat="false" ht="15" hidden="false" customHeight="false" outlineLevel="0" collapsed="false">
      <c r="A931" s="14" t="s">
        <v>1810</v>
      </c>
      <c r="B931" s="14" t="n">
        <v>0</v>
      </c>
      <c r="C931" s="14" t="n">
        <v>4</v>
      </c>
      <c r="D931" s="42" t="n">
        <v>0</v>
      </c>
      <c r="E931" s="41" t="n">
        <v>8.25</v>
      </c>
      <c r="F931" s="5" t="str">
        <f aca="false">IF(AND(E931&gt;=5,E931&lt;=20,C931&gt;=80,B931&lt;=1),"Opportunity (pos 5-20, 80+ impr, 0-1 click)","")</f>
        <v/>
      </c>
    </row>
    <row r="932" customFormat="false" ht="15" hidden="false" customHeight="false" outlineLevel="0" collapsed="false">
      <c r="A932" s="14" t="s">
        <v>1811</v>
      </c>
      <c r="B932" s="14" t="n">
        <v>0</v>
      </c>
      <c r="C932" s="14" t="n">
        <v>4</v>
      </c>
      <c r="D932" s="42" t="n">
        <v>0</v>
      </c>
      <c r="E932" s="41" t="n">
        <v>8.5</v>
      </c>
      <c r="F932" s="5" t="str">
        <f aca="false">IF(AND(E932&gt;=5,E932&lt;=20,C932&gt;=80,B932&lt;=1),"Opportunity (pos 5-20, 80+ impr, 0-1 click)","")</f>
        <v/>
      </c>
    </row>
    <row r="933" customFormat="false" ht="15" hidden="false" customHeight="false" outlineLevel="0" collapsed="false">
      <c r="A933" s="14" t="s">
        <v>1812</v>
      </c>
      <c r="B933" s="14" t="n">
        <v>0</v>
      </c>
      <c r="C933" s="14" t="n">
        <v>4</v>
      </c>
      <c r="D933" s="42" t="n">
        <v>0</v>
      </c>
      <c r="E933" s="41" t="n">
        <v>8.75</v>
      </c>
      <c r="F933" s="5" t="str">
        <f aca="false">IF(AND(E933&gt;=5,E933&lt;=20,C933&gt;=80,B933&lt;=1),"Opportunity (pos 5-20, 80+ impr, 0-1 click)","")</f>
        <v/>
      </c>
    </row>
    <row r="934" customFormat="false" ht="15" hidden="false" customHeight="false" outlineLevel="0" collapsed="false">
      <c r="A934" s="14" t="s">
        <v>1813</v>
      </c>
      <c r="B934" s="14" t="n">
        <v>0</v>
      </c>
      <c r="C934" s="14" t="n">
        <v>4</v>
      </c>
      <c r="D934" s="42" t="n">
        <v>0</v>
      </c>
      <c r="E934" s="41" t="n">
        <v>8.75</v>
      </c>
      <c r="F934" s="5" t="str">
        <f aca="false">IF(AND(E934&gt;=5,E934&lt;=20,C934&gt;=80,B934&lt;=1),"Opportunity (pos 5-20, 80+ impr, 0-1 click)","")</f>
        <v/>
      </c>
    </row>
    <row r="935" customFormat="false" ht="15" hidden="false" customHeight="false" outlineLevel="0" collapsed="false">
      <c r="A935" s="14" t="s">
        <v>1814</v>
      </c>
      <c r="B935" s="14" t="n">
        <v>0</v>
      </c>
      <c r="C935" s="14" t="n">
        <v>4</v>
      </c>
      <c r="D935" s="42" t="n">
        <v>0</v>
      </c>
      <c r="E935" s="41" t="n">
        <v>9</v>
      </c>
      <c r="F935" s="5" t="str">
        <f aca="false">IF(AND(E935&gt;=5,E935&lt;=20,C935&gt;=80,B935&lt;=1),"Opportunity (pos 5-20, 80+ impr, 0-1 click)","")</f>
        <v/>
      </c>
    </row>
    <row r="936" customFormat="false" ht="15" hidden="false" customHeight="false" outlineLevel="0" collapsed="false">
      <c r="A936" s="14" t="s">
        <v>1815</v>
      </c>
      <c r="B936" s="14" t="n">
        <v>0</v>
      </c>
      <c r="C936" s="14" t="n">
        <v>4</v>
      </c>
      <c r="D936" s="42" t="n">
        <v>0</v>
      </c>
      <c r="E936" s="41" t="n">
        <v>9</v>
      </c>
      <c r="F936" s="5" t="str">
        <f aca="false">IF(AND(E936&gt;=5,E936&lt;=20,C936&gt;=80,B936&lt;=1),"Opportunity (pos 5-20, 80+ impr, 0-1 click)","")</f>
        <v/>
      </c>
    </row>
    <row r="937" customFormat="false" ht="15" hidden="false" customHeight="false" outlineLevel="0" collapsed="false">
      <c r="A937" s="14" t="s">
        <v>1816</v>
      </c>
      <c r="B937" s="14" t="n">
        <v>0</v>
      </c>
      <c r="C937" s="14" t="n">
        <v>4</v>
      </c>
      <c r="D937" s="42" t="n">
        <v>0</v>
      </c>
      <c r="E937" s="41" t="n">
        <v>9</v>
      </c>
      <c r="F937" s="5" t="str">
        <f aca="false">IF(AND(E937&gt;=5,E937&lt;=20,C937&gt;=80,B937&lt;=1),"Opportunity (pos 5-20, 80+ impr, 0-1 click)","")</f>
        <v/>
      </c>
    </row>
    <row r="938" customFormat="false" ht="15" hidden="false" customHeight="false" outlineLevel="0" collapsed="false">
      <c r="A938" s="14" t="s">
        <v>1817</v>
      </c>
      <c r="B938" s="14" t="n">
        <v>0</v>
      </c>
      <c r="C938" s="14" t="n">
        <v>4</v>
      </c>
      <c r="D938" s="42" t="n">
        <v>0</v>
      </c>
      <c r="E938" s="41" t="n">
        <v>9</v>
      </c>
      <c r="F938" s="5" t="str">
        <f aca="false">IF(AND(E938&gt;=5,E938&lt;=20,C938&gt;=80,B938&lt;=1),"Opportunity (pos 5-20, 80+ impr, 0-1 click)","")</f>
        <v/>
      </c>
    </row>
    <row r="939" customFormat="false" ht="15" hidden="false" customHeight="false" outlineLevel="0" collapsed="false">
      <c r="A939" s="14" t="s">
        <v>1818</v>
      </c>
      <c r="B939" s="14" t="n">
        <v>0</v>
      </c>
      <c r="C939" s="14" t="n">
        <v>4</v>
      </c>
      <c r="D939" s="42" t="n">
        <v>0</v>
      </c>
      <c r="E939" s="41" t="n">
        <v>9.25</v>
      </c>
      <c r="F939" s="5" t="str">
        <f aca="false">IF(AND(E939&gt;=5,E939&lt;=20,C939&gt;=80,B939&lt;=1),"Opportunity (pos 5-20, 80+ impr, 0-1 click)","")</f>
        <v/>
      </c>
    </row>
    <row r="940" customFormat="false" ht="15" hidden="false" customHeight="false" outlineLevel="0" collapsed="false">
      <c r="A940" s="14" t="s">
        <v>1819</v>
      </c>
      <c r="B940" s="14" t="n">
        <v>0</v>
      </c>
      <c r="C940" s="14" t="n">
        <v>4</v>
      </c>
      <c r="D940" s="42" t="n">
        <v>0</v>
      </c>
      <c r="E940" s="41" t="n">
        <v>9.5</v>
      </c>
      <c r="F940" s="5" t="str">
        <f aca="false">IF(AND(E940&gt;=5,E940&lt;=20,C940&gt;=80,B940&lt;=1),"Opportunity (pos 5-20, 80+ impr, 0-1 click)","")</f>
        <v/>
      </c>
    </row>
    <row r="941" customFormat="false" ht="15" hidden="false" customHeight="false" outlineLevel="0" collapsed="false">
      <c r="A941" s="14" t="s">
        <v>1820</v>
      </c>
      <c r="B941" s="14" t="n">
        <v>0</v>
      </c>
      <c r="C941" s="14" t="n">
        <v>4</v>
      </c>
      <c r="D941" s="42" t="n">
        <v>0</v>
      </c>
      <c r="E941" s="41" t="n">
        <v>9.5</v>
      </c>
      <c r="F941" s="5" t="str">
        <f aca="false">IF(AND(E941&gt;=5,E941&lt;=20,C941&gt;=80,B941&lt;=1),"Opportunity (pos 5-20, 80+ impr, 0-1 click)","")</f>
        <v/>
      </c>
    </row>
    <row r="942" customFormat="false" ht="15" hidden="false" customHeight="false" outlineLevel="0" collapsed="false">
      <c r="A942" s="14" t="s">
        <v>1821</v>
      </c>
      <c r="B942" s="14" t="n">
        <v>0</v>
      </c>
      <c r="C942" s="14" t="n">
        <v>4</v>
      </c>
      <c r="D942" s="42" t="n">
        <v>0</v>
      </c>
      <c r="E942" s="41" t="n">
        <v>9.5</v>
      </c>
      <c r="F942" s="5" t="str">
        <f aca="false">IF(AND(E942&gt;=5,E942&lt;=20,C942&gt;=80,B942&lt;=1),"Opportunity (pos 5-20, 80+ impr, 0-1 click)","")</f>
        <v/>
      </c>
    </row>
    <row r="943" customFormat="false" ht="15" hidden="false" customHeight="false" outlineLevel="0" collapsed="false">
      <c r="A943" s="14" t="s">
        <v>1822</v>
      </c>
      <c r="B943" s="14" t="n">
        <v>0</v>
      </c>
      <c r="C943" s="14" t="n">
        <v>4</v>
      </c>
      <c r="D943" s="42" t="n">
        <v>0</v>
      </c>
      <c r="E943" s="41" t="n">
        <v>9.75</v>
      </c>
      <c r="F943" s="5" t="str">
        <f aca="false">IF(AND(E943&gt;=5,E943&lt;=20,C943&gt;=80,B943&lt;=1),"Opportunity (pos 5-20, 80+ impr, 0-1 click)","")</f>
        <v/>
      </c>
    </row>
    <row r="944" customFormat="false" ht="15" hidden="false" customHeight="false" outlineLevel="0" collapsed="false">
      <c r="A944" s="14" t="s">
        <v>1823</v>
      </c>
      <c r="B944" s="14" t="n">
        <v>0</v>
      </c>
      <c r="C944" s="14" t="n">
        <v>4</v>
      </c>
      <c r="D944" s="42" t="n">
        <v>0</v>
      </c>
      <c r="E944" s="41" t="n">
        <v>9.75</v>
      </c>
      <c r="F944" s="5" t="str">
        <f aca="false">IF(AND(E944&gt;=5,E944&lt;=20,C944&gt;=80,B944&lt;=1),"Opportunity (pos 5-20, 80+ impr, 0-1 click)","")</f>
        <v/>
      </c>
    </row>
    <row r="945" customFormat="false" ht="15" hidden="false" customHeight="false" outlineLevel="0" collapsed="false">
      <c r="A945" s="14" t="s">
        <v>1824</v>
      </c>
      <c r="B945" s="14" t="n">
        <v>0</v>
      </c>
      <c r="C945" s="14" t="n">
        <v>4</v>
      </c>
      <c r="D945" s="42" t="n">
        <v>0</v>
      </c>
      <c r="E945" s="41" t="n">
        <v>9.75</v>
      </c>
      <c r="F945" s="5" t="str">
        <f aca="false">IF(AND(E945&gt;=5,E945&lt;=20,C945&gt;=80,B945&lt;=1),"Opportunity (pos 5-20, 80+ impr, 0-1 click)","")</f>
        <v/>
      </c>
    </row>
    <row r="946" customFormat="false" ht="15" hidden="false" customHeight="false" outlineLevel="0" collapsed="false">
      <c r="A946" s="14" t="s">
        <v>1825</v>
      </c>
      <c r="B946" s="14" t="n">
        <v>0</v>
      </c>
      <c r="C946" s="14" t="n">
        <v>4</v>
      </c>
      <c r="D946" s="42" t="n">
        <v>0</v>
      </c>
      <c r="E946" s="41" t="n">
        <v>10</v>
      </c>
      <c r="F946" s="5" t="str">
        <f aca="false">IF(AND(E946&gt;=5,E946&lt;=20,C946&gt;=80,B946&lt;=1),"Opportunity (pos 5-20, 80+ impr, 0-1 click)","")</f>
        <v/>
      </c>
    </row>
    <row r="947" customFormat="false" ht="15" hidden="false" customHeight="false" outlineLevel="0" collapsed="false">
      <c r="A947" s="14" t="s">
        <v>1826</v>
      </c>
      <c r="B947" s="14" t="n">
        <v>0</v>
      </c>
      <c r="C947" s="14" t="n">
        <v>4</v>
      </c>
      <c r="D947" s="42" t="n">
        <v>0</v>
      </c>
      <c r="E947" s="41" t="n">
        <v>10</v>
      </c>
      <c r="F947" s="5" t="str">
        <f aca="false">IF(AND(E947&gt;=5,E947&lt;=20,C947&gt;=80,B947&lt;=1),"Opportunity (pos 5-20, 80+ impr, 0-1 click)","")</f>
        <v/>
      </c>
    </row>
    <row r="948" customFormat="false" ht="15" hidden="false" customHeight="false" outlineLevel="0" collapsed="false">
      <c r="A948" s="14" t="s">
        <v>1827</v>
      </c>
      <c r="B948" s="14" t="n">
        <v>0</v>
      </c>
      <c r="C948" s="14" t="n">
        <v>4</v>
      </c>
      <c r="D948" s="42" t="n">
        <v>0</v>
      </c>
      <c r="E948" s="41" t="n">
        <v>10</v>
      </c>
      <c r="F948" s="5" t="str">
        <f aca="false">IF(AND(E948&gt;=5,E948&lt;=20,C948&gt;=80,B948&lt;=1),"Opportunity (pos 5-20, 80+ impr, 0-1 click)","")</f>
        <v/>
      </c>
    </row>
    <row r="949" customFormat="false" ht="15" hidden="false" customHeight="false" outlineLevel="0" collapsed="false">
      <c r="A949" s="14" t="s">
        <v>1828</v>
      </c>
      <c r="B949" s="14" t="n">
        <v>0</v>
      </c>
      <c r="C949" s="14" t="n">
        <v>4</v>
      </c>
      <c r="D949" s="42" t="n">
        <v>0</v>
      </c>
      <c r="E949" s="41" t="n">
        <v>10.25</v>
      </c>
      <c r="F949" s="5" t="str">
        <f aca="false">IF(AND(E949&gt;=5,E949&lt;=20,C949&gt;=80,B949&lt;=1),"Opportunity (pos 5-20, 80+ impr, 0-1 click)","")</f>
        <v/>
      </c>
    </row>
    <row r="950" customFormat="false" ht="15" hidden="false" customHeight="false" outlineLevel="0" collapsed="false">
      <c r="A950" s="14" t="s">
        <v>1829</v>
      </c>
      <c r="B950" s="14" t="n">
        <v>0</v>
      </c>
      <c r="C950" s="14" t="n">
        <v>4</v>
      </c>
      <c r="D950" s="42" t="n">
        <v>0</v>
      </c>
      <c r="E950" s="41" t="n">
        <v>10.25</v>
      </c>
      <c r="F950" s="5" t="str">
        <f aca="false">IF(AND(E950&gt;=5,E950&lt;=20,C950&gt;=80,B950&lt;=1),"Opportunity (pos 5-20, 80+ impr, 0-1 click)","")</f>
        <v/>
      </c>
    </row>
    <row r="951" customFormat="false" ht="15" hidden="false" customHeight="false" outlineLevel="0" collapsed="false">
      <c r="A951" s="14" t="s">
        <v>1830</v>
      </c>
      <c r="B951" s="14" t="n">
        <v>0</v>
      </c>
      <c r="C951" s="14" t="n">
        <v>4</v>
      </c>
      <c r="D951" s="42" t="n">
        <v>0</v>
      </c>
      <c r="E951" s="41" t="n">
        <v>10.5</v>
      </c>
      <c r="F951" s="5" t="str">
        <f aca="false">IF(AND(E951&gt;=5,E951&lt;=20,C951&gt;=80,B951&lt;=1),"Opportunity (pos 5-20, 80+ impr, 0-1 click)","")</f>
        <v/>
      </c>
    </row>
    <row r="952" customFormat="false" ht="15" hidden="false" customHeight="false" outlineLevel="0" collapsed="false">
      <c r="A952" s="14" t="s">
        <v>1831</v>
      </c>
      <c r="B952" s="14" t="n">
        <v>0</v>
      </c>
      <c r="C952" s="14" t="n">
        <v>4</v>
      </c>
      <c r="D952" s="42" t="n">
        <v>0</v>
      </c>
      <c r="E952" s="41" t="n">
        <v>10.5</v>
      </c>
      <c r="F952" s="5" t="str">
        <f aca="false">IF(AND(E952&gt;=5,E952&lt;=20,C952&gt;=80,B952&lt;=1),"Opportunity (pos 5-20, 80+ impr, 0-1 click)","")</f>
        <v/>
      </c>
    </row>
    <row r="953" customFormat="false" ht="15" hidden="false" customHeight="false" outlineLevel="0" collapsed="false">
      <c r="A953" s="14" t="s">
        <v>1832</v>
      </c>
      <c r="B953" s="14" t="n">
        <v>0</v>
      </c>
      <c r="C953" s="14" t="n">
        <v>4</v>
      </c>
      <c r="D953" s="42" t="n">
        <v>0</v>
      </c>
      <c r="E953" s="41" t="n">
        <v>10.5</v>
      </c>
      <c r="F953" s="5" t="str">
        <f aca="false">IF(AND(E953&gt;=5,E953&lt;=20,C953&gt;=80,B953&lt;=1),"Opportunity (pos 5-20, 80+ impr, 0-1 click)","")</f>
        <v/>
      </c>
    </row>
    <row r="954" customFormat="false" ht="15" hidden="false" customHeight="false" outlineLevel="0" collapsed="false">
      <c r="A954" s="14" t="s">
        <v>1833</v>
      </c>
      <c r="B954" s="14" t="n">
        <v>0</v>
      </c>
      <c r="C954" s="14" t="n">
        <v>4</v>
      </c>
      <c r="D954" s="42" t="n">
        <v>0</v>
      </c>
      <c r="E954" s="41" t="n">
        <v>10.75</v>
      </c>
      <c r="F954" s="5" t="str">
        <f aca="false">IF(AND(E954&gt;=5,E954&lt;=20,C954&gt;=80,B954&lt;=1),"Opportunity (pos 5-20, 80+ impr, 0-1 click)","")</f>
        <v/>
      </c>
    </row>
    <row r="955" customFormat="false" ht="15" hidden="false" customHeight="false" outlineLevel="0" collapsed="false">
      <c r="A955" s="14" t="s">
        <v>1834</v>
      </c>
      <c r="B955" s="14" t="n">
        <v>0</v>
      </c>
      <c r="C955" s="14" t="n">
        <v>4</v>
      </c>
      <c r="D955" s="42" t="n">
        <v>0</v>
      </c>
      <c r="E955" s="41" t="n">
        <v>10.75</v>
      </c>
      <c r="F955" s="5" t="str">
        <f aca="false">IF(AND(E955&gt;=5,E955&lt;=20,C955&gt;=80,B955&lt;=1),"Opportunity (pos 5-20, 80+ impr, 0-1 click)","")</f>
        <v/>
      </c>
    </row>
    <row r="956" customFormat="false" ht="15" hidden="false" customHeight="false" outlineLevel="0" collapsed="false">
      <c r="A956" s="14" t="s">
        <v>1835</v>
      </c>
      <c r="B956" s="14" t="n">
        <v>0</v>
      </c>
      <c r="C956" s="14" t="n">
        <v>4</v>
      </c>
      <c r="D956" s="42" t="n">
        <v>0</v>
      </c>
      <c r="E956" s="41" t="n">
        <v>10.75</v>
      </c>
      <c r="F956" s="5" t="str">
        <f aca="false">IF(AND(E956&gt;=5,E956&lt;=20,C956&gt;=80,B956&lt;=1),"Opportunity (pos 5-20, 80+ impr, 0-1 click)","")</f>
        <v/>
      </c>
    </row>
    <row r="957" customFormat="false" ht="15" hidden="false" customHeight="false" outlineLevel="0" collapsed="false">
      <c r="A957" s="14" t="s">
        <v>1836</v>
      </c>
      <c r="B957" s="14" t="n">
        <v>0</v>
      </c>
      <c r="C957" s="14" t="n">
        <v>4</v>
      </c>
      <c r="D957" s="42" t="n">
        <v>0</v>
      </c>
      <c r="E957" s="41" t="n">
        <v>11.25</v>
      </c>
      <c r="F957" s="5" t="str">
        <f aca="false">IF(AND(E957&gt;=5,E957&lt;=20,C957&gt;=80,B957&lt;=1),"Opportunity (pos 5-20, 80+ impr, 0-1 click)","")</f>
        <v/>
      </c>
    </row>
    <row r="958" customFormat="false" ht="15" hidden="false" customHeight="false" outlineLevel="0" collapsed="false">
      <c r="A958" s="14" t="s">
        <v>1837</v>
      </c>
      <c r="B958" s="14" t="n">
        <v>0</v>
      </c>
      <c r="C958" s="14" t="n">
        <v>4</v>
      </c>
      <c r="D958" s="42" t="n">
        <v>0</v>
      </c>
      <c r="E958" s="41" t="n">
        <v>11.25</v>
      </c>
      <c r="F958" s="5" t="str">
        <f aca="false">IF(AND(E958&gt;=5,E958&lt;=20,C958&gt;=80,B958&lt;=1),"Opportunity (pos 5-20, 80+ impr, 0-1 click)","")</f>
        <v/>
      </c>
    </row>
    <row r="959" customFormat="false" ht="15" hidden="false" customHeight="false" outlineLevel="0" collapsed="false">
      <c r="A959" s="14" t="s">
        <v>1838</v>
      </c>
      <c r="B959" s="14" t="n">
        <v>0</v>
      </c>
      <c r="C959" s="14" t="n">
        <v>4</v>
      </c>
      <c r="D959" s="42" t="n">
        <v>0</v>
      </c>
      <c r="E959" s="41" t="n">
        <v>11.25</v>
      </c>
      <c r="F959" s="5" t="str">
        <f aca="false">IF(AND(E959&gt;=5,E959&lt;=20,C959&gt;=80,B959&lt;=1),"Opportunity (pos 5-20, 80+ impr, 0-1 click)","")</f>
        <v/>
      </c>
    </row>
    <row r="960" customFormat="false" ht="15" hidden="false" customHeight="false" outlineLevel="0" collapsed="false">
      <c r="A960" s="14" t="s">
        <v>1839</v>
      </c>
      <c r="B960" s="14" t="n">
        <v>0</v>
      </c>
      <c r="C960" s="14" t="n">
        <v>4</v>
      </c>
      <c r="D960" s="42" t="n">
        <v>0</v>
      </c>
      <c r="E960" s="41" t="n">
        <v>11.25</v>
      </c>
      <c r="F960" s="5" t="str">
        <f aca="false">IF(AND(E960&gt;=5,E960&lt;=20,C960&gt;=80,B960&lt;=1),"Opportunity (pos 5-20, 80+ impr, 0-1 click)","")</f>
        <v/>
      </c>
    </row>
    <row r="961" customFormat="false" ht="15" hidden="false" customHeight="false" outlineLevel="0" collapsed="false">
      <c r="A961" s="14" t="s">
        <v>1840</v>
      </c>
      <c r="B961" s="14" t="n">
        <v>0</v>
      </c>
      <c r="C961" s="14" t="n">
        <v>4</v>
      </c>
      <c r="D961" s="42" t="n">
        <v>0</v>
      </c>
      <c r="E961" s="41" t="n">
        <v>11.25</v>
      </c>
      <c r="F961" s="5" t="str">
        <f aca="false">IF(AND(E961&gt;=5,E961&lt;=20,C961&gt;=80,B961&lt;=1),"Opportunity (pos 5-20, 80+ impr, 0-1 click)","")</f>
        <v/>
      </c>
    </row>
    <row r="962" customFormat="false" ht="15" hidden="false" customHeight="false" outlineLevel="0" collapsed="false">
      <c r="A962" s="14" t="s">
        <v>1841</v>
      </c>
      <c r="B962" s="14" t="n">
        <v>0</v>
      </c>
      <c r="C962" s="14" t="n">
        <v>4</v>
      </c>
      <c r="D962" s="42" t="n">
        <v>0</v>
      </c>
      <c r="E962" s="41" t="n">
        <v>11.25</v>
      </c>
      <c r="F962" s="5" t="str">
        <f aca="false">IF(AND(E962&gt;=5,E962&lt;=20,C962&gt;=80,B962&lt;=1),"Opportunity (pos 5-20, 80+ impr, 0-1 click)","")</f>
        <v/>
      </c>
    </row>
    <row r="963" customFormat="false" ht="15" hidden="false" customHeight="false" outlineLevel="0" collapsed="false">
      <c r="A963" s="14" t="s">
        <v>1842</v>
      </c>
      <c r="B963" s="14" t="n">
        <v>0</v>
      </c>
      <c r="C963" s="14" t="n">
        <v>4</v>
      </c>
      <c r="D963" s="42" t="n">
        <v>0</v>
      </c>
      <c r="E963" s="41" t="n">
        <v>11.5</v>
      </c>
      <c r="F963" s="5" t="str">
        <f aca="false">IF(AND(E963&gt;=5,E963&lt;=20,C963&gt;=80,B963&lt;=1),"Opportunity (pos 5-20, 80+ impr, 0-1 click)","")</f>
        <v/>
      </c>
    </row>
    <row r="964" customFormat="false" ht="15" hidden="false" customHeight="false" outlineLevel="0" collapsed="false">
      <c r="A964" s="14" t="s">
        <v>1843</v>
      </c>
      <c r="B964" s="14" t="n">
        <v>0</v>
      </c>
      <c r="C964" s="14" t="n">
        <v>4</v>
      </c>
      <c r="D964" s="42" t="n">
        <v>0</v>
      </c>
      <c r="E964" s="41" t="n">
        <v>11.75</v>
      </c>
      <c r="F964" s="5" t="str">
        <f aca="false">IF(AND(E964&gt;=5,E964&lt;=20,C964&gt;=80,B964&lt;=1),"Opportunity (pos 5-20, 80+ impr, 0-1 click)","")</f>
        <v/>
      </c>
    </row>
    <row r="965" customFormat="false" ht="15" hidden="false" customHeight="false" outlineLevel="0" collapsed="false">
      <c r="A965" s="14" t="s">
        <v>1844</v>
      </c>
      <c r="B965" s="14" t="n">
        <v>0</v>
      </c>
      <c r="C965" s="14" t="n">
        <v>4</v>
      </c>
      <c r="D965" s="42" t="n">
        <v>0</v>
      </c>
      <c r="E965" s="41" t="n">
        <v>11.75</v>
      </c>
      <c r="F965" s="5" t="str">
        <f aca="false">IF(AND(E965&gt;=5,E965&lt;=20,C965&gt;=80,B965&lt;=1),"Opportunity (pos 5-20, 80+ impr, 0-1 click)","")</f>
        <v/>
      </c>
    </row>
    <row r="966" customFormat="false" ht="15" hidden="false" customHeight="false" outlineLevel="0" collapsed="false">
      <c r="A966" s="14" t="s">
        <v>1845</v>
      </c>
      <c r="B966" s="14" t="n">
        <v>0</v>
      </c>
      <c r="C966" s="14" t="n">
        <v>4</v>
      </c>
      <c r="D966" s="42" t="n">
        <v>0</v>
      </c>
      <c r="E966" s="41" t="n">
        <v>11.75</v>
      </c>
      <c r="F966" s="5" t="str">
        <f aca="false">IF(AND(E966&gt;=5,E966&lt;=20,C966&gt;=80,B966&lt;=1),"Opportunity (pos 5-20, 80+ impr, 0-1 click)","")</f>
        <v/>
      </c>
    </row>
    <row r="967" customFormat="false" ht="15" hidden="false" customHeight="false" outlineLevel="0" collapsed="false">
      <c r="A967" s="14" t="s">
        <v>1846</v>
      </c>
      <c r="B967" s="14" t="n">
        <v>0</v>
      </c>
      <c r="C967" s="14" t="n">
        <v>4</v>
      </c>
      <c r="D967" s="42" t="n">
        <v>0</v>
      </c>
      <c r="E967" s="41" t="n">
        <v>11.75</v>
      </c>
      <c r="F967" s="5" t="str">
        <f aca="false">IF(AND(E967&gt;=5,E967&lt;=20,C967&gt;=80,B967&lt;=1),"Opportunity (pos 5-20, 80+ impr, 0-1 click)","")</f>
        <v/>
      </c>
    </row>
    <row r="968" customFormat="false" ht="15" hidden="false" customHeight="false" outlineLevel="0" collapsed="false">
      <c r="A968" s="14" t="s">
        <v>1847</v>
      </c>
      <c r="B968" s="14" t="n">
        <v>0</v>
      </c>
      <c r="C968" s="14" t="n">
        <v>4</v>
      </c>
      <c r="D968" s="42" t="n">
        <v>0</v>
      </c>
      <c r="E968" s="41" t="n">
        <v>11.75</v>
      </c>
      <c r="F968" s="5" t="str">
        <f aca="false">IF(AND(E968&gt;=5,E968&lt;=20,C968&gt;=80,B968&lt;=1),"Opportunity (pos 5-20, 80+ impr, 0-1 click)","")</f>
        <v/>
      </c>
    </row>
    <row r="969" customFormat="false" ht="15" hidden="false" customHeight="false" outlineLevel="0" collapsed="false">
      <c r="A969" s="14" t="s">
        <v>1848</v>
      </c>
      <c r="B969" s="14" t="n">
        <v>0</v>
      </c>
      <c r="C969" s="14" t="n">
        <v>4</v>
      </c>
      <c r="D969" s="42" t="n">
        <v>0</v>
      </c>
      <c r="E969" s="41" t="n">
        <v>12</v>
      </c>
      <c r="F969" s="5" t="str">
        <f aca="false">IF(AND(E969&gt;=5,E969&lt;=20,C969&gt;=80,B969&lt;=1),"Opportunity (pos 5-20, 80+ impr, 0-1 click)","")</f>
        <v/>
      </c>
    </row>
    <row r="970" customFormat="false" ht="15" hidden="false" customHeight="false" outlineLevel="0" collapsed="false">
      <c r="A970" s="14" t="s">
        <v>1849</v>
      </c>
      <c r="B970" s="14" t="n">
        <v>0</v>
      </c>
      <c r="C970" s="14" t="n">
        <v>4</v>
      </c>
      <c r="D970" s="42" t="n">
        <v>0</v>
      </c>
      <c r="E970" s="41" t="n">
        <v>12</v>
      </c>
      <c r="F970" s="5" t="str">
        <f aca="false">IF(AND(E970&gt;=5,E970&lt;=20,C970&gt;=80,B970&lt;=1),"Opportunity (pos 5-20, 80+ impr, 0-1 click)","")</f>
        <v/>
      </c>
    </row>
    <row r="971" customFormat="false" ht="15" hidden="false" customHeight="false" outlineLevel="0" collapsed="false">
      <c r="A971" s="14" t="s">
        <v>1850</v>
      </c>
      <c r="B971" s="14" t="n">
        <v>0</v>
      </c>
      <c r="C971" s="14" t="n">
        <v>4</v>
      </c>
      <c r="D971" s="42" t="n">
        <v>0</v>
      </c>
      <c r="E971" s="41" t="n">
        <v>12</v>
      </c>
      <c r="F971" s="5" t="str">
        <f aca="false">IF(AND(E971&gt;=5,E971&lt;=20,C971&gt;=80,B971&lt;=1),"Opportunity (pos 5-20, 80+ impr, 0-1 click)","")</f>
        <v/>
      </c>
    </row>
    <row r="972" customFormat="false" ht="15" hidden="false" customHeight="false" outlineLevel="0" collapsed="false">
      <c r="A972" s="14" t="s">
        <v>1851</v>
      </c>
      <c r="B972" s="14" t="n">
        <v>0</v>
      </c>
      <c r="C972" s="14" t="n">
        <v>4</v>
      </c>
      <c r="D972" s="42" t="n">
        <v>0</v>
      </c>
      <c r="E972" s="41" t="n">
        <v>12.5</v>
      </c>
      <c r="F972" s="5" t="str">
        <f aca="false">IF(AND(E972&gt;=5,E972&lt;=20,C972&gt;=80,B972&lt;=1),"Opportunity (pos 5-20, 80+ impr, 0-1 click)","")</f>
        <v/>
      </c>
    </row>
    <row r="973" customFormat="false" ht="15" hidden="false" customHeight="false" outlineLevel="0" collapsed="false">
      <c r="A973" s="14" t="s">
        <v>1852</v>
      </c>
      <c r="B973" s="14" t="n">
        <v>0</v>
      </c>
      <c r="C973" s="14" t="n">
        <v>4</v>
      </c>
      <c r="D973" s="42" t="n">
        <v>0</v>
      </c>
      <c r="E973" s="41" t="n">
        <v>12.5</v>
      </c>
      <c r="F973" s="5" t="str">
        <f aca="false">IF(AND(E973&gt;=5,E973&lt;=20,C973&gt;=80,B973&lt;=1),"Opportunity (pos 5-20, 80+ impr, 0-1 click)","")</f>
        <v/>
      </c>
    </row>
    <row r="974" customFormat="false" ht="15" hidden="false" customHeight="false" outlineLevel="0" collapsed="false">
      <c r="A974" s="14" t="s">
        <v>1853</v>
      </c>
      <c r="B974" s="14" t="n">
        <v>0</v>
      </c>
      <c r="C974" s="14" t="n">
        <v>4</v>
      </c>
      <c r="D974" s="42" t="n">
        <v>0</v>
      </c>
      <c r="E974" s="41" t="n">
        <v>12.5</v>
      </c>
      <c r="F974" s="5" t="str">
        <f aca="false">IF(AND(E974&gt;=5,E974&lt;=20,C974&gt;=80,B974&lt;=1),"Opportunity (pos 5-20, 80+ impr, 0-1 click)","")</f>
        <v/>
      </c>
    </row>
    <row r="975" customFormat="false" ht="15" hidden="false" customHeight="false" outlineLevel="0" collapsed="false">
      <c r="A975" s="14" t="s">
        <v>1854</v>
      </c>
      <c r="B975" s="14" t="n">
        <v>0</v>
      </c>
      <c r="C975" s="14" t="n">
        <v>4</v>
      </c>
      <c r="D975" s="42" t="n">
        <v>0</v>
      </c>
      <c r="E975" s="41" t="n">
        <v>12.75</v>
      </c>
      <c r="F975" s="5" t="str">
        <f aca="false">IF(AND(E975&gt;=5,E975&lt;=20,C975&gt;=80,B975&lt;=1),"Opportunity (pos 5-20, 80+ impr, 0-1 click)","")</f>
        <v/>
      </c>
    </row>
    <row r="976" customFormat="false" ht="15" hidden="false" customHeight="false" outlineLevel="0" collapsed="false">
      <c r="A976" s="14" t="s">
        <v>1855</v>
      </c>
      <c r="B976" s="14" t="n">
        <v>0</v>
      </c>
      <c r="C976" s="14" t="n">
        <v>4</v>
      </c>
      <c r="D976" s="42" t="n">
        <v>0</v>
      </c>
      <c r="E976" s="41" t="n">
        <v>12.75</v>
      </c>
      <c r="F976" s="5" t="str">
        <f aca="false">IF(AND(E976&gt;=5,E976&lt;=20,C976&gt;=80,B976&lt;=1),"Opportunity (pos 5-20, 80+ impr, 0-1 click)","")</f>
        <v/>
      </c>
    </row>
    <row r="977" customFormat="false" ht="15" hidden="false" customHeight="false" outlineLevel="0" collapsed="false">
      <c r="A977" s="14" t="s">
        <v>1856</v>
      </c>
      <c r="B977" s="14" t="n">
        <v>0</v>
      </c>
      <c r="C977" s="14" t="n">
        <v>4</v>
      </c>
      <c r="D977" s="42" t="n">
        <v>0</v>
      </c>
      <c r="E977" s="41" t="n">
        <v>12.75</v>
      </c>
      <c r="F977" s="5" t="str">
        <f aca="false">IF(AND(E977&gt;=5,E977&lt;=20,C977&gt;=80,B977&lt;=1),"Opportunity (pos 5-20, 80+ impr, 0-1 click)","")</f>
        <v/>
      </c>
    </row>
    <row r="978" customFormat="false" ht="15" hidden="false" customHeight="false" outlineLevel="0" collapsed="false">
      <c r="A978" s="14" t="s">
        <v>1857</v>
      </c>
      <c r="B978" s="14" t="n">
        <v>0</v>
      </c>
      <c r="C978" s="14" t="n">
        <v>4</v>
      </c>
      <c r="D978" s="42" t="n">
        <v>0</v>
      </c>
      <c r="E978" s="41" t="n">
        <v>13</v>
      </c>
      <c r="F978" s="5" t="str">
        <f aca="false">IF(AND(E978&gt;=5,E978&lt;=20,C978&gt;=80,B978&lt;=1),"Opportunity (pos 5-20, 80+ impr, 0-1 click)","")</f>
        <v/>
      </c>
    </row>
    <row r="979" customFormat="false" ht="15" hidden="false" customHeight="false" outlineLevel="0" collapsed="false">
      <c r="A979" s="14" t="s">
        <v>1858</v>
      </c>
      <c r="B979" s="14" t="n">
        <v>0</v>
      </c>
      <c r="C979" s="14" t="n">
        <v>4</v>
      </c>
      <c r="D979" s="42" t="n">
        <v>0</v>
      </c>
      <c r="E979" s="41" t="n">
        <v>13.25</v>
      </c>
      <c r="F979" s="5" t="str">
        <f aca="false">IF(AND(E979&gt;=5,E979&lt;=20,C979&gt;=80,B979&lt;=1),"Opportunity (pos 5-20, 80+ impr, 0-1 click)","")</f>
        <v/>
      </c>
    </row>
    <row r="980" customFormat="false" ht="15" hidden="false" customHeight="false" outlineLevel="0" collapsed="false">
      <c r="A980" s="14" t="s">
        <v>1859</v>
      </c>
      <c r="B980" s="14" t="n">
        <v>0</v>
      </c>
      <c r="C980" s="14" t="n">
        <v>4</v>
      </c>
      <c r="D980" s="42" t="n">
        <v>0</v>
      </c>
      <c r="E980" s="41" t="n">
        <v>13.25</v>
      </c>
      <c r="F980" s="5" t="str">
        <f aca="false">IF(AND(E980&gt;=5,E980&lt;=20,C980&gt;=80,B980&lt;=1),"Opportunity (pos 5-20, 80+ impr, 0-1 click)","")</f>
        <v/>
      </c>
    </row>
    <row r="981" customFormat="false" ht="15" hidden="false" customHeight="false" outlineLevel="0" collapsed="false">
      <c r="A981" s="14" t="s">
        <v>1860</v>
      </c>
      <c r="B981" s="14" t="n">
        <v>0</v>
      </c>
      <c r="C981" s="14" t="n">
        <v>4</v>
      </c>
      <c r="D981" s="42" t="n">
        <v>0</v>
      </c>
      <c r="E981" s="41" t="n">
        <v>13.25</v>
      </c>
      <c r="F981" s="5" t="str">
        <f aca="false">IF(AND(E981&gt;=5,E981&lt;=20,C981&gt;=80,B981&lt;=1),"Opportunity (pos 5-20, 80+ impr, 0-1 click)","")</f>
        <v/>
      </c>
    </row>
    <row r="982" customFormat="false" ht="15" hidden="false" customHeight="false" outlineLevel="0" collapsed="false">
      <c r="A982" s="14" t="s">
        <v>1861</v>
      </c>
      <c r="B982" s="14" t="n">
        <v>0</v>
      </c>
      <c r="C982" s="14" t="n">
        <v>4</v>
      </c>
      <c r="D982" s="42" t="n">
        <v>0</v>
      </c>
      <c r="E982" s="41" t="n">
        <v>13.5</v>
      </c>
      <c r="F982" s="5" t="str">
        <f aca="false">IF(AND(E982&gt;=5,E982&lt;=20,C982&gt;=80,B982&lt;=1),"Opportunity (pos 5-20, 80+ impr, 0-1 click)","")</f>
        <v/>
      </c>
    </row>
    <row r="983" customFormat="false" ht="15" hidden="false" customHeight="false" outlineLevel="0" collapsed="false">
      <c r="A983" s="14" t="s">
        <v>1862</v>
      </c>
      <c r="B983" s="14" t="n">
        <v>0</v>
      </c>
      <c r="C983" s="14" t="n">
        <v>4</v>
      </c>
      <c r="D983" s="42" t="n">
        <v>0</v>
      </c>
      <c r="E983" s="41" t="n">
        <v>13.5</v>
      </c>
      <c r="F983" s="5" t="str">
        <f aca="false">IF(AND(E983&gt;=5,E983&lt;=20,C983&gt;=80,B983&lt;=1),"Opportunity (pos 5-20, 80+ impr, 0-1 click)","")</f>
        <v/>
      </c>
    </row>
    <row r="984" customFormat="false" ht="15" hidden="false" customHeight="false" outlineLevel="0" collapsed="false">
      <c r="A984" s="14" t="s">
        <v>1863</v>
      </c>
      <c r="B984" s="14" t="n">
        <v>0</v>
      </c>
      <c r="C984" s="14" t="n">
        <v>4</v>
      </c>
      <c r="D984" s="42" t="n">
        <v>0</v>
      </c>
      <c r="E984" s="41" t="n">
        <v>13.5</v>
      </c>
      <c r="F984" s="5" t="str">
        <f aca="false">IF(AND(E984&gt;=5,E984&lt;=20,C984&gt;=80,B984&lt;=1),"Opportunity (pos 5-20, 80+ impr, 0-1 click)","")</f>
        <v/>
      </c>
    </row>
    <row r="985" customFormat="false" ht="15" hidden="false" customHeight="false" outlineLevel="0" collapsed="false">
      <c r="A985" s="14" t="s">
        <v>1864</v>
      </c>
      <c r="B985" s="14" t="n">
        <v>0</v>
      </c>
      <c r="C985" s="14" t="n">
        <v>4</v>
      </c>
      <c r="D985" s="42" t="n">
        <v>0</v>
      </c>
      <c r="E985" s="41" t="n">
        <v>13.5</v>
      </c>
      <c r="F985" s="5" t="str">
        <f aca="false">IF(AND(E985&gt;=5,E985&lt;=20,C985&gt;=80,B985&lt;=1),"Opportunity (pos 5-20, 80+ impr, 0-1 click)","")</f>
        <v/>
      </c>
    </row>
    <row r="986" customFormat="false" ht="15" hidden="false" customHeight="false" outlineLevel="0" collapsed="false">
      <c r="A986" s="14" t="s">
        <v>1865</v>
      </c>
      <c r="B986" s="14" t="n">
        <v>0</v>
      </c>
      <c r="C986" s="14" t="n">
        <v>4</v>
      </c>
      <c r="D986" s="42" t="n">
        <v>0</v>
      </c>
      <c r="E986" s="41" t="n">
        <v>13.5</v>
      </c>
      <c r="F986" s="5" t="str">
        <f aca="false">IF(AND(E986&gt;=5,E986&lt;=20,C986&gt;=80,B986&lt;=1),"Opportunity (pos 5-20, 80+ impr, 0-1 click)","")</f>
        <v/>
      </c>
    </row>
    <row r="987" customFormat="false" ht="15" hidden="false" customHeight="false" outlineLevel="0" collapsed="false">
      <c r="A987" s="14" t="s">
        <v>1866</v>
      </c>
      <c r="B987" s="14" t="n">
        <v>0</v>
      </c>
      <c r="C987" s="14" t="n">
        <v>4</v>
      </c>
      <c r="D987" s="42" t="n">
        <v>0</v>
      </c>
      <c r="E987" s="41" t="n">
        <v>13.75</v>
      </c>
      <c r="F987" s="5" t="str">
        <f aca="false">IF(AND(E987&gt;=5,E987&lt;=20,C987&gt;=80,B987&lt;=1),"Opportunity (pos 5-20, 80+ impr, 0-1 click)","")</f>
        <v/>
      </c>
    </row>
    <row r="988" customFormat="false" ht="15" hidden="false" customHeight="false" outlineLevel="0" collapsed="false">
      <c r="A988" s="14" t="s">
        <v>1867</v>
      </c>
      <c r="B988" s="14" t="n">
        <v>0</v>
      </c>
      <c r="C988" s="14" t="n">
        <v>4</v>
      </c>
      <c r="D988" s="42" t="n">
        <v>0</v>
      </c>
      <c r="E988" s="41" t="n">
        <v>13.75</v>
      </c>
      <c r="F988" s="5" t="str">
        <f aca="false">IF(AND(E988&gt;=5,E988&lt;=20,C988&gt;=80,B988&lt;=1),"Opportunity (pos 5-20, 80+ impr, 0-1 click)","")</f>
        <v/>
      </c>
    </row>
    <row r="989" customFormat="false" ht="15" hidden="false" customHeight="false" outlineLevel="0" collapsed="false">
      <c r="A989" s="14" t="s">
        <v>1868</v>
      </c>
      <c r="B989" s="14" t="n">
        <v>0</v>
      </c>
      <c r="C989" s="14" t="n">
        <v>4</v>
      </c>
      <c r="D989" s="42" t="n">
        <v>0</v>
      </c>
      <c r="E989" s="41" t="n">
        <v>14</v>
      </c>
      <c r="F989" s="5" t="str">
        <f aca="false">IF(AND(E989&gt;=5,E989&lt;=20,C989&gt;=80,B989&lt;=1),"Opportunity (pos 5-20, 80+ impr, 0-1 click)","")</f>
        <v/>
      </c>
    </row>
    <row r="990" customFormat="false" ht="15" hidden="false" customHeight="false" outlineLevel="0" collapsed="false">
      <c r="A990" s="14" t="s">
        <v>1869</v>
      </c>
      <c r="B990" s="14" t="n">
        <v>0</v>
      </c>
      <c r="C990" s="14" t="n">
        <v>4</v>
      </c>
      <c r="D990" s="42" t="n">
        <v>0</v>
      </c>
      <c r="E990" s="41" t="n">
        <v>14.5</v>
      </c>
      <c r="F990" s="5" t="str">
        <f aca="false">IF(AND(E990&gt;=5,E990&lt;=20,C990&gt;=80,B990&lt;=1),"Opportunity (pos 5-20, 80+ impr, 0-1 click)","")</f>
        <v/>
      </c>
    </row>
    <row r="991" customFormat="false" ht="15" hidden="false" customHeight="false" outlineLevel="0" collapsed="false">
      <c r="A991" s="14" t="s">
        <v>1870</v>
      </c>
      <c r="B991" s="14" t="n">
        <v>0</v>
      </c>
      <c r="C991" s="14" t="n">
        <v>4</v>
      </c>
      <c r="D991" s="42" t="n">
        <v>0</v>
      </c>
      <c r="E991" s="41" t="n">
        <v>14.5</v>
      </c>
      <c r="F991" s="5" t="str">
        <f aca="false">IF(AND(E991&gt;=5,E991&lt;=20,C991&gt;=80,B991&lt;=1),"Opportunity (pos 5-20, 80+ impr, 0-1 click)","")</f>
        <v/>
      </c>
    </row>
    <row r="992" customFormat="false" ht="15" hidden="false" customHeight="false" outlineLevel="0" collapsed="false">
      <c r="A992" s="14" t="s">
        <v>1871</v>
      </c>
      <c r="B992" s="14" t="n">
        <v>0</v>
      </c>
      <c r="C992" s="14" t="n">
        <v>4</v>
      </c>
      <c r="D992" s="42" t="n">
        <v>0</v>
      </c>
      <c r="E992" s="41" t="n">
        <v>14.5</v>
      </c>
      <c r="F992" s="5" t="str">
        <f aca="false">IF(AND(E992&gt;=5,E992&lt;=20,C992&gt;=80,B992&lt;=1),"Opportunity (pos 5-20, 80+ impr, 0-1 click)","")</f>
        <v/>
      </c>
    </row>
    <row r="993" customFormat="false" ht="15" hidden="false" customHeight="false" outlineLevel="0" collapsed="false">
      <c r="A993" s="14" t="s">
        <v>1872</v>
      </c>
      <c r="B993" s="14" t="n">
        <v>0</v>
      </c>
      <c r="C993" s="14" t="n">
        <v>4</v>
      </c>
      <c r="D993" s="42" t="n">
        <v>0</v>
      </c>
      <c r="E993" s="41" t="n">
        <v>14.5</v>
      </c>
      <c r="F993" s="5" t="str">
        <f aca="false">IF(AND(E993&gt;=5,E993&lt;=20,C993&gt;=80,B993&lt;=1),"Opportunity (pos 5-20, 80+ impr, 0-1 click)","")</f>
        <v/>
      </c>
    </row>
    <row r="994" customFormat="false" ht="15" hidden="false" customHeight="false" outlineLevel="0" collapsed="false">
      <c r="A994" s="14" t="s">
        <v>1873</v>
      </c>
      <c r="B994" s="14" t="n">
        <v>0</v>
      </c>
      <c r="C994" s="14" t="n">
        <v>4</v>
      </c>
      <c r="D994" s="42" t="n">
        <v>0</v>
      </c>
      <c r="E994" s="41" t="n">
        <v>14.5</v>
      </c>
      <c r="F994" s="5" t="str">
        <f aca="false">IF(AND(E994&gt;=5,E994&lt;=20,C994&gt;=80,B994&lt;=1),"Opportunity (pos 5-20, 80+ impr, 0-1 click)","")</f>
        <v/>
      </c>
    </row>
    <row r="995" customFormat="false" ht="15" hidden="false" customHeight="false" outlineLevel="0" collapsed="false">
      <c r="A995" s="14" t="s">
        <v>1874</v>
      </c>
      <c r="B995" s="14" t="n">
        <v>0</v>
      </c>
      <c r="C995" s="14" t="n">
        <v>4</v>
      </c>
      <c r="D995" s="42" t="n">
        <v>0</v>
      </c>
      <c r="E995" s="41" t="n">
        <v>14.5</v>
      </c>
      <c r="F995" s="5" t="str">
        <f aca="false">IF(AND(E995&gt;=5,E995&lt;=20,C995&gt;=80,B995&lt;=1),"Opportunity (pos 5-20, 80+ impr, 0-1 click)","")</f>
        <v/>
      </c>
    </row>
    <row r="996" customFormat="false" ht="15" hidden="false" customHeight="false" outlineLevel="0" collapsed="false">
      <c r="A996" s="14" t="s">
        <v>1875</v>
      </c>
      <c r="B996" s="14" t="n">
        <v>0</v>
      </c>
      <c r="C996" s="14" t="n">
        <v>4</v>
      </c>
      <c r="D996" s="42" t="n">
        <v>0</v>
      </c>
      <c r="E996" s="41" t="n">
        <v>14.5</v>
      </c>
      <c r="F996" s="5" t="str">
        <f aca="false">IF(AND(E996&gt;=5,E996&lt;=20,C996&gt;=80,B996&lt;=1),"Opportunity (pos 5-20, 80+ impr, 0-1 click)","")</f>
        <v/>
      </c>
    </row>
    <row r="997" customFormat="false" ht="15" hidden="false" customHeight="false" outlineLevel="0" collapsed="false">
      <c r="A997" s="14" t="s">
        <v>1876</v>
      </c>
      <c r="B997" s="14" t="n">
        <v>0</v>
      </c>
      <c r="C997" s="14" t="n">
        <v>4</v>
      </c>
      <c r="D997" s="42" t="n">
        <v>0</v>
      </c>
      <c r="E997" s="41" t="n">
        <v>14.75</v>
      </c>
      <c r="F997" s="5" t="str">
        <f aca="false">IF(AND(E997&gt;=5,E997&lt;=20,C997&gt;=80,B997&lt;=1),"Opportunity (pos 5-20, 80+ impr, 0-1 click)","")</f>
        <v/>
      </c>
    </row>
    <row r="998" customFormat="false" ht="15" hidden="false" customHeight="false" outlineLevel="0" collapsed="false">
      <c r="A998" s="14" t="s">
        <v>1877</v>
      </c>
      <c r="B998" s="14" t="n">
        <v>0</v>
      </c>
      <c r="C998" s="14" t="n">
        <v>4</v>
      </c>
      <c r="D998" s="42" t="n">
        <v>0</v>
      </c>
      <c r="E998" s="41" t="n">
        <v>14.75</v>
      </c>
      <c r="F998" s="5" t="str">
        <f aca="false">IF(AND(E998&gt;=5,E998&lt;=20,C998&gt;=80,B998&lt;=1),"Opportunity (pos 5-20, 80+ impr, 0-1 click)","")</f>
        <v/>
      </c>
    </row>
    <row r="999" customFormat="false" ht="15" hidden="false" customHeight="false" outlineLevel="0" collapsed="false">
      <c r="A999" s="14" t="s">
        <v>1878</v>
      </c>
      <c r="B999" s="14" t="n">
        <v>0</v>
      </c>
      <c r="C999" s="14" t="n">
        <v>4</v>
      </c>
      <c r="D999" s="42" t="n">
        <v>0</v>
      </c>
      <c r="E999" s="41" t="n">
        <v>15</v>
      </c>
      <c r="F999" s="5" t="str">
        <f aca="false">IF(AND(E999&gt;=5,E999&lt;=20,C999&gt;=80,B999&lt;=1),"Opportunity (pos 5-20, 80+ impr, 0-1 click)","")</f>
        <v/>
      </c>
    </row>
    <row r="1000" customFormat="false" ht="15" hidden="false" customHeight="false" outlineLevel="0" collapsed="false">
      <c r="A1000" s="14" t="s">
        <v>1879</v>
      </c>
      <c r="B1000" s="14" t="n">
        <v>0</v>
      </c>
      <c r="C1000" s="14" t="n">
        <v>4</v>
      </c>
      <c r="D1000" s="42" t="n">
        <v>0</v>
      </c>
      <c r="E1000" s="41" t="n">
        <v>15</v>
      </c>
      <c r="F1000" s="5" t="str">
        <f aca="false">IF(AND(E1000&gt;=5,E1000&lt;=20,C1000&gt;=80,B1000&lt;=1),"Opportunity (pos 5-20, 80+ impr, 0-1 click)","")</f>
        <v/>
      </c>
    </row>
    <row r="1001" customFormat="false" ht="15" hidden="false" customHeight="false" outlineLevel="0" collapsed="false">
      <c r="A1001" s="14" t="s">
        <v>1880</v>
      </c>
      <c r="B1001" s="14" t="n">
        <v>0</v>
      </c>
      <c r="C1001" s="14" t="n">
        <v>4</v>
      </c>
      <c r="D1001" s="42" t="n">
        <v>0</v>
      </c>
      <c r="E1001" s="41" t="n">
        <v>15.25</v>
      </c>
      <c r="F1001" s="5" t="str">
        <f aca="false">IF(AND(E1001&gt;=5,E1001&lt;=20,C1001&gt;=80,B1001&lt;=1),"Opportunity (pos 5-20, 80+ impr, 0-1 click)","")</f>
        <v/>
      </c>
    </row>
    <row r="1002" customFormat="false" ht="15" hidden="false" customHeight="false" outlineLevel="0" collapsed="false">
      <c r="A1002" s="14" t="s">
        <v>1881</v>
      </c>
      <c r="B1002" s="14" t="n">
        <v>0</v>
      </c>
      <c r="C1002" s="14" t="n">
        <v>4</v>
      </c>
      <c r="D1002" s="42" t="n">
        <v>0</v>
      </c>
      <c r="E1002" s="41" t="n">
        <v>15.25</v>
      </c>
      <c r="F1002" s="5" t="str">
        <f aca="false">IF(AND(E1002&gt;=5,E1002&lt;=20,C1002&gt;=80,B1002&lt;=1),"Opportunity (pos 5-20, 80+ impr, 0-1 click)","")</f>
        <v/>
      </c>
    </row>
    <row r="1003" customFormat="false" ht="15" hidden="false" customHeight="false" outlineLevel="0" collapsed="false">
      <c r="A1003" s="14" t="s">
        <v>1882</v>
      </c>
      <c r="B1003" s="14" t="n">
        <v>0</v>
      </c>
      <c r="C1003" s="14" t="n">
        <v>4</v>
      </c>
      <c r="D1003" s="42" t="n">
        <v>0</v>
      </c>
      <c r="E1003" s="41" t="n">
        <v>15.5</v>
      </c>
      <c r="F1003" s="5" t="str">
        <f aca="false">IF(AND(E1003&gt;=5,E1003&lt;=20,C1003&gt;=80,B1003&lt;=1),"Opportunity (pos 5-20, 80+ impr, 0-1 click)","")</f>
        <v/>
      </c>
    </row>
    <row r="1004" customFormat="false" ht="15" hidden="false" customHeight="false" outlineLevel="0" collapsed="false">
      <c r="A1004" s="14" t="s">
        <v>1883</v>
      </c>
      <c r="B1004" s="14" t="n">
        <v>0</v>
      </c>
      <c r="C1004" s="14" t="n">
        <v>4</v>
      </c>
      <c r="D1004" s="42" t="n">
        <v>0</v>
      </c>
      <c r="E1004" s="41" t="n">
        <v>15.5</v>
      </c>
      <c r="F1004" s="5" t="str">
        <f aca="false">IF(AND(E1004&gt;=5,E1004&lt;=20,C1004&gt;=80,B1004&lt;=1),"Opportunity (pos 5-20, 80+ impr, 0-1 click)","")</f>
        <v/>
      </c>
    </row>
  </sheetData>
  <autoFilter ref="A4:F10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100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8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4" min="4" style="0" width="9"/>
    <col collapsed="false" customWidth="true" hidden="false" outlineLevel="0" max="5" min="5" style="0" width="12"/>
    <col collapsed="false" customWidth="true" hidden="false" outlineLevel="0" max="6" min="6" style="0" width="38"/>
  </cols>
  <sheetData>
    <row r="1" customFormat="false" ht="19.7" hidden="false" customHeight="false" outlineLevel="0" collapsed="false">
      <c r="A1" s="1" t="s">
        <v>1884</v>
      </c>
    </row>
    <row r="2" customFormat="false" ht="15" hidden="false" customHeight="false" outlineLevel="0" collapsed="false">
      <c r="A2" s="2" t="s">
        <v>881</v>
      </c>
    </row>
    <row r="4" customFormat="false" ht="31.5" hidden="false" customHeight="true" outlineLevel="0" collapsed="false">
      <c r="A4" s="9" t="s">
        <v>1885</v>
      </c>
      <c r="B4" s="9" t="s">
        <v>637</v>
      </c>
      <c r="C4" s="9" t="s">
        <v>636</v>
      </c>
      <c r="D4" s="9" t="s">
        <v>81</v>
      </c>
      <c r="E4" s="9" t="s">
        <v>819</v>
      </c>
      <c r="F4" s="9" t="s">
        <v>116</v>
      </c>
    </row>
    <row r="5" customFormat="false" ht="15" hidden="false" customHeight="false" outlineLevel="0" collapsed="false">
      <c r="A5" s="14" t="s">
        <v>1886</v>
      </c>
      <c r="B5" s="14" t="n">
        <v>29</v>
      </c>
      <c r="C5" s="14" t="n">
        <v>8384</v>
      </c>
      <c r="D5" s="42" t="n">
        <v>0.0035</v>
      </c>
      <c r="E5" s="41" t="n">
        <v>11.76</v>
      </c>
      <c r="F5" s="5" t="s">
        <v>844</v>
      </c>
    </row>
    <row r="6" customFormat="false" ht="15" hidden="false" customHeight="false" outlineLevel="0" collapsed="false">
      <c r="A6" s="14" t="s">
        <v>1887</v>
      </c>
      <c r="B6" s="14" t="n">
        <v>17</v>
      </c>
      <c r="C6" s="14" t="n">
        <v>104</v>
      </c>
      <c r="D6" s="42" t="n">
        <v>0.1635</v>
      </c>
      <c r="E6" s="41" t="n">
        <v>6.01</v>
      </c>
      <c r="F6" s="5" t="s">
        <v>845</v>
      </c>
    </row>
    <row r="7" customFormat="false" ht="15" hidden="false" customHeight="false" outlineLevel="0" collapsed="false">
      <c r="A7" s="14" t="s">
        <v>1888</v>
      </c>
      <c r="B7" s="14" t="n">
        <v>2</v>
      </c>
      <c r="C7" s="14" t="n">
        <v>812</v>
      </c>
      <c r="D7" s="42" t="n">
        <v>0.0025</v>
      </c>
      <c r="E7" s="41" t="n">
        <v>14.85</v>
      </c>
      <c r="F7" s="5" t="s">
        <v>846</v>
      </c>
    </row>
    <row r="8" customFormat="false" ht="15" hidden="false" customHeight="false" outlineLevel="0" collapsed="false">
      <c r="A8" s="14" t="s">
        <v>1889</v>
      </c>
      <c r="B8" s="14" t="n">
        <v>2</v>
      </c>
      <c r="C8" s="14" t="n">
        <v>235</v>
      </c>
      <c r="D8" s="42" t="n">
        <v>0.0085</v>
      </c>
      <c r="E8" s="41" t="n">
        <v>7.61</v>
      </c>
      <c r="F8" s="5" t="s">
        <v>847</v>
      </c>
    </row>
    <row r="9" customFormat="false" ht="15" hidden="false" customHeight="false" outlineLevel="0" collapsed="false">
      <c r="A9" s="14" t="s">
        <v>1890</v>
      </c>
      <c r="B9" s="14" t="n">
        <v>2</v>
      </c>
      <c r="C9" s="14" t="n">
        <v>131</v>
      </c>
      <c r="D9" s="42" t="n">
        <v>0.0153</v>
      </c>
      <c r="E9" s="41" t="n">
        <v>24.44</v>
      </c>
      <c r="F9" s="5" t="s">
        <v>848</v>
      </c>
    </row>
    <row r="10" customFormat="false" ht="15" hidden="false" customHeight="false" outlineLevel="0" collapsed="false">
      <c r="A10" s="14" t="s">
        <v>1891</v>
      </c>
      <c r="B10" s="14" t="n">
        <v>2</v>
      </c>
      <c r="C10" s="14" t="n">
        <v>127</v>
      </c>
      <c r="D10" s="42" t="n">
        <v>0.0157</v>
      </c>
      <c r="E10" s="41" t="n">
        <v>10.78</v>
      </c>
      <c r="F10" s="5" t="s">
        <v>849</v>
      </c>
    </row>
    <row r="11" customFormat="false" ht="15" hidden="false" customHeight="false" outlineLevel="0" collapsed="false">
      <c r="A11" s="14" t="s">
        <v>1892</v>
      </c>
      <c r="B11" s="14" t="n">
        <v>2</v>
      </c>
      <c r="C11" s="14" t="n">
        <v>47</v>
      </c>
      <c r="D11" s="42" t="n">
        <v>0.0426</v>
      </c>
      <c r="E11" s="41" t="n">
        <v>6.94</v>
      </c>
      <c r="F11" s="5" t="s">
        <v>849</v>
      </c>
    </row>
    <row r="12" customFormat="false" ht="15" hidden="false" customHeight="false" outlineLevel="0" collapsed="false">
      <c r="A12" s="14" t="s">
        <v>1893</v>
      </c>
      <c r="B12" s="14" t="n">
        <v>1</v>
      </c>
      <c r="C12" s="14" t="n">
        <v>331</v>
      </c>
      <c r="D12" s="42" t="n">
        <v>0.003</v>
      </c>
      <c r="E12" s="41" t="n">
        <v>16.48</v>
      </c>
      <c r="F12" s="5" t="s">
        <v>850</v>
      </c>
    </row>
    <row r="13" customFormat="false" ht="15" hidden="false" customHeight="false" outlineLevel="0" collapsed="false">
      <c r="A13" s="14" t="s">
        <v>1894</v>
      </c>
      <c r="B13" s="14" t="n">
        <v>1</v>
      </c>
      <c r="C13" s="14" t="n">
        <v>234</v>
      </c>
      <c r="D13" s="42" t="n">
        <v>0.0043</v>
      </c>
      <c r="E13" s="41" t="n">
        <v>13.07</v>
      </c>
      <c r="F13" s="5" t="s">
        <v>851</v>
      </c>
    </row>
    <row r="14" customFormat="false" ht="15" hidden="false" customHeight="false" outlineLevel="0" collapsed="false">
      <c r="A14" s="14" t="s">
        <v>1895</v>
      </c>
      <c r="B14" s="14" t="n">
        <v>1</v>
      </c>
      <c r="C14" s="14" t="n">
        <v>193</v>
      </c>
      <c r="D14" s="42" t="n">
        <v>0.0052</v>
      </c>
      <c r="E14" s="41" t="n">
        <v>19.25</v>
      </c>
      <c r="F14" s="5" t="s">
        <v>849</v>
      </c>
    </row>
    <row r="15" customFormat="false" ht="15" hidden="false" customHeight="false" outlineLevel="0" collapsed="false">
      <c r="A15" s="14" t="s">
        <v>1896</v>
      </c>
      <c r="B15" s="14" t="n">
        <v>1</v>
      </c>
      <c r="C15" s="14" t="n">
        <v>183</v>
      </c>
      <c r="D15" s="42" t="n">
        <v>0.0055</v>
      </c>
      <c r="E15" s="41" t="n">
        <v>12.31</v>
      </c>
      <c r="F15" s="5" t="s">
        <v>849</v>
      </c>
    </row>
    <row r="16" customFormat="false" ht="15" hidden="false" customHeight="false" outlineLevel="0" collapsed="false">
      <c r="A16" s="14" t="s">
        <v>1897</v>
      </c>
      <c r="B16" s="14" t="n">
        <v>1</v>
      </c>
      <c r="C16" s="14" t="n">
        <v>163</v>
      </c>
      <c r="D16" s="42" t="n">
        <v>0.0061</v>
      </c>
      <c r="E16" s="41" t="n">
        <v>11.44</v>
      </c>
      <c r="F16" s="5" t="s">
        <v>850</v>
      </c>
    </row>
    <row r="17" customFormat="false" ht="15" hidden="false" customHeight="false" outlineLevel="0" collapsed="false">
      <c r="A17" s="14" t="s">
        <v>1898</v>
      </c>
      <c r="B17" s="14" t="n">
        <v>1</v>
      </c>
      <c r="C17" s="14" t="n">
        <v>143</v>
      </c>
      <c r="D17" s="42" t="n">
        <v>0.007</v>
      </c>
      <c r="E17" s="41" t="n">
        <v>11.45</v>
      </c>
      <c r="F17" s="5" t="s">
        <v>849</v>
      </c>
    </row>
    <row r="18" customFormat="false" ht="15" hidden="false" customHeight="false" outlineLevel="0" collapsed="false">
      <c r="A18" s="14" t="s">
        <v>1899</v>
      </c>
      <c r="B18" s="14" t="n">
        <v>1</v>
      </c>
      <c r="C18" s="14" t="n">
        <v>137</v>
      </c>
      <c r="D18" s="42" t="n">
        <v>0.0073</v>
      </c>
      <c r="E18" s="41" t="n">
        <v>21.16</v>
      </c>
      <c r="F18" s="5" t="s">
        <v>849</v>
      </c>
    </row>
    <row r="19" customFormat="false" ht="15" hidden="false" customHeight="false" outlineLevel="0" collapsed="false">
      <c r="A19" s="14" t="s">
        <v>1900</v>
      </c>
      <c r="B19" s="14" t="n">
        <v>1</v>
      </c>
      <c r="C19" s="14" t="n">
        <v>113</v>
      </c>
      <c r="D19" s="42" t="n">
        <v>0.0088</v>
      </c>
      <c r="E19" s="41" t="n">
        <v>12.71</v>
      </c>
      <c r="F19" s="5" t="s">
        <v>849</v>
      </c>
    </row>
    <row r="20" customFormat="false" ht="15" hidden="false" customHeight="false" outlineLevel="0" collapsed="false">
      <c r="A20" s="14" t="s">
        <v>1901</v>
      </c>
      <c r="B20" s="14" t="n">
        <v>1</v>
      </c>
      <c r="C20" s="14" t="n">
        <v>100</v>
      </c>
      <c r="D20" s="42" t="n">
        <v>0.01</v>
      </c>
      <c r="E20" s="41" t="n">
        <v>23.01</v>
      </c>
      <c r="F20" s="5" t="s">
        <v>849</v>
      </c>
    </row>
    <row r="21" customFormat="false" ht="15" hidden="false" customHeight="false" outlineLevel="0" collapsed="false">
      <c r="A21" s="14" t="s">
        <v>1902</v>
      </c>
      <c r="B21" s="14" t="n">
        <v>1</v>
      </c>
      <c r="C21" s="14" t="n">
        <v>96</v>
      </c>
      <c r="D21" s="42" t="n">
        <v>0.0104</v>
      </c>
      <c r="E21" s="41" t="n">
        <v>23.88</v>
      </c>
      <c r="F21" s="5" t="s">
        <v>850</v>
      </c>
    </row>
    <row r="22" customFormat="false" ht="15" hidden="false" customHeight="false" outlineLevel="0" collapsed="false">
      <c r="A22" s="14" t="s">
        <v>1903</v>
      </c>
      <c r="B22" s="14" t="n">
        <v>1</v>
      </c>
      <c r="C22" s="14" t="n">
        <v>87</v>
      </c>
      <c r="D22" s="42" t="n">
        <v>0.0115</v>
      </c>
      <c r="E22" s="41" t="n">
        <v>13.16</v>
      </c>
      <c r="F22" s="5" t="s">
        <v>849</v>
      </c>
    </row>
    <row r="23" customFormat="false" ht="15" hidden="false" customHeight="false" outlineLevel="0" collapsed="false">
      <c r="A23" s="14" t="s">
        <v>1904</v>
      </c>
      <c r="B23" s="14" t="n">
        <v>1</v>
      </c>
      <c r="C23" s="14" t="n">
        <v>83</v>
      </c>
      <c r="D23" s="42" t="n">
        <v>0.012</v>
      </c>
      <c r="E23" s="41" t="n">
        <v>22.95</v>
      </c>
      <c r="F23" s="5" t="s">
        <v>849</v>
      </c>
    </row>
    <row r="24" customFormat="false" ht="15" hidden="false" customHeight="false" outlineLevel="0" collapsed="false">
      <c r="A24" s="14" t="s">
        <v>1905</v>
      </c>
      <c r="B24" s="14" t="n">
        <v>1</v>
      </c>
      <c r="C24" s="14" t="n">
        <v>65</v>
      </c>
      <c r="D24" s="42" t="n">
        <v>0.0154</v>
      </c>
      <c r="E24" s="41" t="n">
        <v>13.74</v>
      </c>
      <c r="F24" s="5" t="s">
        <v>849</v>
      </c>
    </row>
    <row r="25" customFormat="false" ht="15" hidden="false" customHeight="false" outlineLevel="0" collapsed="false">
      <c r="A25" s="14" t="s">
        <v>1906</v>
      </c>
      <c r="B25" s="14" t="n">
        <v>1</v>
      </c>
      <c r="C25" s="14" t="n">
        <v>62</v>
      </c>
      <c r="D25" s="42" t="n">
        <v>0.0161</v>
      </c>
      <c r="E25" s="41" t="n">
        <v>8.39</v>
      </c>
      <c r="F25" s="5" t="s">
        <v>850</v>
      </c>
    </row>
    <row r="26" customFormat="false" ht="15" hidden="false" customHeight="false" outlineLevel="0" collapsed="false">
      <c r="A26" s="14" t="s">
        <v>1907</v>
      </c>
      <c r="B26" s="14" t="n">
        <v>1</v>
      </c>
      <c r="C26" s="14" t="n">
        <v>57</v>
      </c>
      <c r="D26" s="42" t="n">
        <v>0.0175</v>
      </c>
      <c r="E26" s="41" t="n">
        <v>8.44</v>
      </c>
      <c r="F26" s="5" t="s">
        <v>847</v>
      </c>
    </row>
    <row r="27" customFormat="false" ht="15" hidden="false" customHeight="false" outlineLevel="0" collapsed="false">
      <c r="A27" s="14" t="s">
        <v>1908</v>
      </c>
      <c r="B27" s="14" t="n">
        <v>1</v>
      </c>
      <c r="C27" s="14" t="n">
        <v>54</v>
      </c>
      <c r="D27" s="42" t="n">
        <v>0.0185</v>
      </c>
      <c r="E27" s="41" t="n">
        <v>12.39</v>
      </c>
      <c r="F27" s="5" t="s">
        <v>849</v>
      </c>
    </row>
    <row r="28" customFormat="false" ht="15" hidden="false" customHeight="false" outlineLevel="0" collapsed="false">
      <c r="A28" s="14" t="s">
        <v>1909</v>
      </c>
      <c r="B28" s="14" t="n">
        <v>1</v>
      </c>
      <c r="C28" s="14" t="n">
        <v>48</v>
      </c>
      <c r="D28" s="42" t="n">
        <v>0.0208</v>
      </c>
      <c r="E28" s="41" t="n">
        <v>19.21</v>
      </c>
      <c r="F28" s="5" t="s">
        <v>849</v>
      </c>
    </row>
    <row r="29" customFormat="false" ht="15" hidden="false" customHeight="false" outlineLevel="0" collapsed="false">
      <c r="A29" s="14" t="s">
        <v>1910</v>
      </c>
      <c r="B29" s="14" t="n">
        <v>1</v>
      </c>
      <c r="C29" s="14" t="n">
        <v>47</v>
      </c>
      <c r="D29" s="42" t="n">
        <v>0.0213</v>
      </c>
      <c r="E29" s="41" t="n">
        <v>13.66</v>
      </c>
      <c r="F29" s="5" t="s">
        <v>850</v>
      </c>
    </row>
    <row r="30" customFormat="false" ht="15" hidden="false" customHeight="false" outlineLevel="0" collapsed="false">
      <c r="A30" s="14" t="s">
        <v>1911</v>
      </c>
      <c r="B30" s="14" t="n">
        <v>1</v>
      </c>
      <c r="C30" s="14" t="n">
        <v>45</v>
      </c>
      <c r="D30" s="42" t="n">
        <v>0.0222</v>
      </c>
      <c r="E30" s="41" t="n">
        <v>11.53</v>
      </c>
      <c r="F30" s="5" t="s">
        <v>849</v>
      </c>
    </row>
    <row r="31" customFormat="false" ht="15" hidden="false" customHeight="false" outlineLevel="0" collapsed="false">
      <c r="A31" s="14" t="s">
        <v>1912</v>
      </c>
      <c r="B31" s="14" t="n">
        <v>1</v>
      </c>
      <c r="C31" s="14" t="n">
        <v>44</v>
      </c>
      <c r="D31" s="42" t="n">
        <v>0.0227</v>
      </c>
      <c r="E31" s="41" t="n">
        <v>24.07</v>
      </c>
      <c r="F31" s="5" t="s">
        <v>849</v>
      </c>
    </row>
    <row r="32" customFormat="false" ht="15" hidden="false" customHeight="false" outlineLevel="0" collapsed="false">
      <c r="A32" s="14" t="s">
        <v>1913</v>
      </c>
      <c r="B32" s="14" t="n">
        <v>1</v>
      </c>
      <c r="C32" s="14" t="n">
        <v>42</v>
      </c>
      <c r="D32" s="42" t="n">
        <v>0.0238</v>
      </c>
      <c r="E32" s="41" t="n">
        <v>9.76</v>
      </c>
      <c r="F32" s="5" t="s">
        <v>849</v>
      </c>
    </row>
    <row r="33" customFormat="false" ht="15" hidden="false" customHeight="false" outlineLevel="0" collapsed="false">
      <c r="A33" s="14" t="s">
        <v>1914</v>
      </c>
      <c r="B33" s="14" t="n">
        <v>1</v>
      </c>
      <c r="C33" s="14" t="n">
        <v>33</v>
      </c>
      <c r="D33" s="42" t="n">
        <v>0.0303</v>
      </c>
      <c r="E33" s="41" t="n">
        <v>20.09</v>
      </c>
      <c r="F33" s="5" t="s">
        <v>849</v>
      </c>
    </row>
    <row r="34" customFormat="false" ht="15" hidden="false" customHeight="false" outlineLevel="0" collapsed="false">
      <c r="A34" s="14" t="s">
        <v>1915</v>
      </c>
      <c r="B34" s="14" t="n">
        <v>1</v>
      </c>
      <c r="C34" s="14" t="n">
        <v>33</v>
      </c>
      <c r="D34" s="42" t="n">
        <v>0.0303</v>
      </c>
      <c r="E34" s="41" t="n">
        <v>24.58</v>
      </c>
      <c r="F34" s="5" t="s">
        <v>850</v>
      </c>
    </row>
    <row r="35" customFormat="false" ht="15" hidden="false" customHeight="false" outlineLevel="0" collapsed="false">
      <c r="A35" s="14" t="s">
        <v>1916</v>
      </c>
      <c r="B35" s="14" t="n">
        <v>1</v>
      </c>
      <c r="C35" s="14" t="n">
        <v>31</v>
      </c>
      <c r="D35" s="42" t="n">
        <v>0.0323</v>
      </c>
      <c r="E35" s="41" t="n">
        <v>10.52</v>
      </c>
      <c r="F35" s="5" t="s">
        <v>849</v>
      </c>
    </row>
    <row r="36" customFormat="false" ht="15" hidden="false" customHeight="false" outlineLevel="0" collapsed="false">
      <c r="A36" s="14" t="s">
        <v>1917</v>
      </c>
      <c r="B36" s="14" t="n">
        <v>1</v>
      </c>
      <c r="C36" s="14" t="n">
        <v>29</v>
      </c>
      <c r="D36" s="42" t="n">
        <v>0.0345</v>
      </c>
      <c r="E36" s="41" t="n">
        <v>10.79</v>
      </c>
      <c r="F36" s="5" t="s">
        <v>849</v>
      </c>
    </row>
    <row r="37" customFormat="false" ht="15" hidden="false" customHeight="false" outlineLevel="0" collapsed="false">
      <c r="A37" s="14" t="s">
        <v>1918</v>
      </c>
      <c r="B37" s="14" t="n">
        <v>1</v>
      </c>
      <c r="C37" s="14" t="n">
        <v>28</v>
      </c>
      <c r="D37" s="42" t="n">
        <v>0.0357</v>
      </c>
      <c r="E37" s="41" t="n">
        <v>10.43</v>
      </c>
      <c r="F37" s="5" t="s">
        <v>849</v>
      </c>
    </row>
    <row r="38" customFormat="false" ht="15" hidden="false" customHeight="false" outlineLevel="0" collapsed="false">
      <c r="A38" s="14" t="s">
        <v>1919</v>
      </c>
      <c r="B38" s="14" t="n">
        <v>1</v>
      </c>
      <c r="C38" s="14" t="n">
        <v>27</v>
      </c>
      <c r="D38" s="42" t="n">
        <v>0.037</v>
      </c>
      <c r="E38" s="41" t="n">
        <v>9.85</v>
      </c>
      <c r="F38" s="5" t="s">
        <v>849</v>
      </c>
    </row>
    <row r="39" customFormat="false" ht="15" hidden="false" customHeight="false" outlineLevel="0" collapsed="false">
      <c r="A39" s="14" t="s">
        <v>1920</v>
      </c>
      <c r="B39" s="14" t="n">
        <v>1</v>
      </c>
      <c r="C39" s="14" t="n">
        <v>26</v>
      </c>
      <c r="D39" s="42" t="n">
        <v>0.0385</v>
      </c>
      <c r="E39" s="41" t="n">
        <v>13.77</v>
      </c>
      <c r="F39" s="5" t="s">
        <v>849</v>
      </c>
    </row>
    <row r="40" customFormat="false" ht="15" hidden="false" customHeight="false" outlineLevel="0" collapsed="false">
      <c r="A40" s="14" t="s">
        <v>1921</v>
      </c>
      <c r="B40" s="14" t="n">
        <v>1</v>
      </c>
      <c r="C40" s="14" t="n">
        <v>25</v>
      </c>
      <c r="D40" s="42" t="n">
        <v>0.04</v>
      </c>
      <c r="E40" s="41" t="n">
        <v>20.6</v>
      </c>
      <c r="F40" s="5" t="s">
        <v>849</v>
      </c>
    </row>
    <row r="41" customFormat="false" ht="15" hidden="false" customHeight="false" outlineLevel="0" collapsed="false">
      <c r="A41" s="14" t="s">
        <v>1922</v>
      </c>
      <c r="B41" s="14" t="n">
        <v>1</v>
      </c>
      <c r="C41" s="14" t="n">
        <v>22</v>
      </c>
      <c r="D41" s="42" t="n">
        <v>0.0455</v>
      </c>
      <c r="E41" s="41" t="n">
        <v>9.64</v>
      </c>
      <c r="F41" s="5" t="s">
        <v>849</v>
      </c>
    </row>
    <row r="42" customFormat="false" ht="15" hidden="false" customHeight="false" outlineLevel="0" collapsed="false">
      <c r="A42" s="14" t="s">
        <v>1923</v>
      </c>
      <c r="B42" s="14" t="n">
        <v>1</v>
      </c>
      <c r="C42" s="14" t="n">
        <v>22</v>
      </c>
      <c r="D42" s="42" t="n">
        <v>0.0455</v>
      </c>
      <c r="E42" s="41" t="n">
        <v>37.45</v>
      </c>
      <c r="F42" s="5" t="s">
        <v>849</v>
      </c>
    </row>
    <row r="43" customFormat="false" ht="15" hidden="false" customHeight="false" outlineLevel="0" collapsed="false">
      <c r="A43" s="14" t="s">
        <v>1924</v>
      </c>
      <c r="B43" s="14" t="n">
        <v>1</v>
      </c>
      <c r="C43" s="14" t="n">
        <v>21</v>
      </c>
      <c r="D43" s="42" t="n">
        <v>0.0476</v>
      </c>
      <c r="E43" s="41" t="n">
        <v>15.95</v>
      </c>
      <c r="F43" s="5" t="s">
        <v>844</v>
      </c>
    </row>
    <row r="44" customFormat="false" ht="15" hidden="false" customHeight="false" outlineLevel="0" collapsed="false">
      <c r="A44" s="14" t="s">
        <v>1925</v>
      </c>
      <c r="B44" s="14" t="n">
        <v>1</v>
      </c>
      <c r="C44" s="14" t="n">
        <v>20</v>
      </c>
      <c r="D44" s="42" t="n">
        <v>0.05</v>
      </c>
      <c r="E44" s="41" t="n">
        <v>14.9</v>
      </c>
      <c r="F44" s="5" t="s">
        <v>849</v>
      </c>
    </row>
    <row r="45" customFormat="false" ht="15" hidden="false" customHeight="false" outlineLevel="0" collapsed="false">
      <c r="A45" s="14" t="s">
        <v>1926</v>
      </c>
      <c r="B45" s="14" t="n">
        <v>1</v>
      </c>
      <c r="C45" s="14" t="n">
        <v>20</v>
      </c>
      <c r="D45" s="42" t="n">
        <v>0.05</v>
      </c>
      <c r="E45" s="41" t="n">
        <v>17.15</v>
      </c>
      <c r="F45" s="5" t="s">
        <v>850</v>
      </c>
    </row>
    <row r="46" customFormat="false" ht="15" hidden="false" customHeight="false" outlineLevel="0" collapsed="false">
      <c r="A46" s="14" t="s">
        <v>1927</v>
      </c>
      <c r="B46" s="14" t="n">
        <v>1</v>
      </c>
      <c r="C46" s="14" t="n">
        <v>18</v>
      </c>
      <c r="D46" s="42" t="n">
        <v>0.0556</v>
      </c>
      <c r="E46" s="41" t="n">
        <v>15.94</v>
      </c>
      <c r="F46" s="5" t="s">
        <v>849</v>
      </c>
    </row>
    <row r="47" customFormat="false" ht="15" hidden="false" customHeight="false" outlineLevel="0" collapsed="false">
      <c r="A47" s="14" t="s">
        <v>1928</v>
      </c>
      <c r="B47" s="14" t="n">
        <v>1</v>
      </c>
      <c r="C47" s="14" t="n">
        <v>16</v>
      </c>
      <c r="D47" s="42" t="n">
        <v>0.0625</v>
      </c>
      <c r="E47" s="41" t="n">
        <v>9.31</v>
      </c>
      <c r="F47" s="5" t="s">
        <v>849</v>
      </c>
    </row>
    <row r="48" customFormat="false" ht="15" hidden="false" customHeight="false" outlineLevel="0" collapsed="false">
      <c r="A48" s="14" t="s">
        <v>1929</v>
      </c>
      <c r="B48" s="14" t="n">
        <v>1</v>
      </c>
      <c r="C48" s="14" t="n">
        <v>16</v>
      </c>
      <c r="D48" s="42" t="n">
        <v>0.0625</v>
      </c>
      <c r="E48" s="41" t="n">
        <v>11.62</v>
      </c>
      <c r="F48" s="5" t="s">
        <v>849</v>
      </c>
    </row>
    <row r="49" customFormat="false" ht="15" hidden="false" customHeight="false" outlineLevel="0" collapsed="false">
      <c r="A49" s="14" t="s">
        <v>1930</v>
      </c>
      <c r="B49" s="14" t="n">
        <v>1</v>
      </c>
      <c r="C49" s="14" t="n">
        <v>16</v>
      </c>
      <c r="D49" s="42" t="n">
        <v>0.0625</v>
      </c>
      <c r="E49" s="41" t="n">
        <v>14.88</v>
      </c>
      <c r="F49" s="5" t="s">
        <v>850</v>
      </c>
    </row>
    <row r="50" customFormat="false" ht="15" hidden="false" customHeight="false" outlineLevel="0" collapsed="false">
      <c r="A50" s="14" t="s">
        <v>1931</v>
      </c>
      <c r="B50" s="14" t="n">
        <v>1</v>
      </c>
      <c r="C50" s="14" t="n">
        <v>15</v>
      </c>
      <c r="D50" s="42" t="n">
        <v>0.0667</v>
      </c>
      <c r="E50" s="41" t="n">
        <v>6.8</v>
      </c>
      <c r="F50" s="5" t="s">
        <v>849</v>
      </c>
    </row>
    <row r="51" customFormat="false" ht="15" hidden="false" customHeight="false" outlineLevel="0" collapsed="false">
      <c r="A51" s="14" t="s">
        <v>1932</v>
      </c>
      <c r="B51" s="14" t="n">
        <v>1</v>
      </c>
      <c r="C51" s="14" t="n">
        <v>14</v>
      </c>
      <c r="D51" s="42" t="n">
        <v>0.0714</v>
      </c>
      <c r="E51" s="41" t="n">
        <v>10.64</v>
      </c>
      <c r="F51" s="5" t="s">
        <v>849</v>
      </c>
    </row>
    <row r="52" customFormat="false" ht="15" hidden="false" customHeight="false" outlineLevel="0" collapsed="false">
      <c r="A52" s="14" t="s">
        <v>1933</v>
      </c>
      <c r="B52" s="14" t="n">
        <v>1</v>
      </c>
      <c r="C52" s="14" t="n">
        <v>13</v>
      </c>
      <c r="D52" s="42" t="n">
        <v>0.0769</v>
      </c>
      <c r="E52" s="41" t="n">
        <v>10.15</v>
      </c>
      <c r="F52" s="5" t="s">
        <v>849</v>
      </c>
    </row>
    <row r="53" customFormat="false" ht="15" hidden="false" customHeight="false" outlineLevel="0" collapsed="false">
      <c r="A53" s="14" t="s">
        <v>1934</v>
      </c>
      <c r="B53" s="14" t="n">
        <v>1</v>
      </c>
      <c r="C53" s="14" t="n">
        <v>13</v>
      </c>
      <c r="D53" s="42" t="n">
        <v>0.0769</v>
      </c>
      <c r="E53" s="41" t="n">
        <v>11.46</v>
      </c>
      <c r="F53" s="5" t="s">
        <v>849</v>
      </c>
    </row>
    <row r="54" customFormat="false" ht="15" hidden="false" customHeight="false" outlineLevel="0" collapsed="false">
      <c r="A54" s="14" t="s">
        <v>1935</v>
      </c>
      <c r="B54" s="14" t="n">
        <v>1</v>
      </c>
      <c r="C54" s="14" t="n">
        <v>12</v>
      </c>
      <c r="D54" s="42" t="n">
        <v>0.0833</v>
      </c>
      <c r="E54" s="41" t="n">
        <v>9</v>
      </c>
      <c r="F54" s="5" t="s">
        <v>849</v>
      </c>
    </row>
    <row r="55" customFormat="false" ht="15" hidden="false" customHeight="false" outlineLevel="0" collapsed="false">
      <c r="A55" s="14" t="s">
        <v>1936</v>
      </c>
      <c r="B55" s="14" t="n">
        <v>1</v>
      </c>
      <c r="C55" s="14" t="n">
        <v>11</v>
      </c>
      <c r="D55" s="42" t="n">
        <v>0.0909</v>
      </c>
      <c r="E55" s="41" t="n">
        <v>17.82</v>
      </c>
      <c r="F55" s="5" t="s">
        <v>849</v>
      </c>
    </row>
    <row r="56" customFormat="false" ht="15" hidden="false" customHeight="false" outlineLevel="0" collapsed="false">
      <c r="A56" s="14" t="s">
        <v>1937</v>
      </c>
      <c r="B56" s="14" t="n">
        <v>1</v>
      </c>
      <c r="C56" s="14" t="n">
        <v>10</v>
      </c>
      <c r="D56" s="42" t="n">
        <v>0.1</v>
      </c>
      <c r="E56" s="41" t="n">
        <v>14.1</v>
      </c>
      <c r="F56" s="5" t="s">
        <v>849</v>
      </c>
    </row>
    <row r="57" customFormat="false" ht="15" hidden="false" customHeight="false" outlineLevel="0" collapsed="false">
      <c r="A57" s="14" t="s">
        <v>1938</v>
      </c>
      <c r="B57" s="14" t="n">
        <v>1</v>
      </c>
      <c r="C57" s="14" t="n">
        <v>8</v>
      </c>
      <c r="D57" s="42" t="n">
        <v>0.125</v>
      </c>
      <c r="E57" s="41" t="n">
        <v>12.62</v>
      </c>
      <c r="F57" s="5" t="s">
        <v>849</v>
      </c>
    </row>
    <row r="58" customFormat="false" ht="15" hidden="false" customHeight="false" outlineLevel="0" collapsed="false">
      <c r="A58" s="14" t="s">
        <v>1939</v>
      </c>
      <c r="B58" s="14" t="n">
        <v>1</v>
      </c>
      <c r="C58" s="14" t="n">
        <v>8</v>
      </c>
      <c r="D58" s="42" t="n">
        <v>0.125</v>
      </c>
      <c r="E58" s="41" t="n">
        <v>20</v>
      </c>
      <c r="F58" s="5" t="s">
        <v>849</v>
      </c>
    </row>
    <row r="59" customFormat="false" ht="15" hidden="false" customHeight="false" outlineLevel="0" collapsed="false">
      <c r="A59" s="14" t="s">
        <v>1940</v>
      </c>
      <c r="B59" s="14" t="n">
        <v>1</v>
      </c>
      <c r="C59" s="14" t="n">
        <v>8</v>
      </c>
      <c r="D59" s="42" t="n">
        <v>0.125</v>
      </c>
      <c r="E59" s="41" t="n">
        <v>24.75</v>
      </c>
      <c r="F59" s="5" t="s">
        <v>848</v>
      </c>
    </row>
    <row r="60" customFormat="false" ht="15" hidden="false" customHeight="false" outlineLevel="0" collapsed="false">
      <c r="A60" s="14" t="s">
        <v>1941</v>
      </c>
      <c r="B60" s="14" t="n">
        <v>1</v>
      </c>
      <c r="C60" s="14" t="n">
        <v>7</v>
      </c>
      <c r="D60" s="42" t="n">
        <v>0.1429</v>
      </c>
      <c r="E60" s="41" t="n">
        <v>3.86</v>
      </c>
      <c r="F60" s="5" t="s">
        <v>849</v>
      </c>
    </row>
    <row r="61" customFormat="false" ht="15" hidden="false" customHeight="false" outlineLevel="0" collapsed="false">
      <c r="A61" s="14" t="s">
        <v>1942</v>
      </c>
      <c r="B61" s="14" t="n">
        <v>1</v>
      </c>
      <c r="C61" s="14" t="n">
        <v>6</v>
      </c>
      <c r="D61" s="42" t="n">
        <v>0.1667</v>
      </c>
      <c r="E61" s="41" t="n">
        <v>5.33</v>
      </c>
      <c r="F61" s="5" t="s">
        <v>851</v>
      </c>
    </row>
    <row r="62" customFormat="false" ht="15" hidden="false" customHeight="false" outlineLevel="0" collapsed="false">
      <c r="A62" s="14" t="s">
        <v>1943</v>
      </c>
      <c r="B62" s="14" t="n">
        <v>1</v>
      </c>
      <c r="C62" s="14" t="n">
        <v>6</v>
      </c>
      <c r="D62" s="42" t="n">
        <v>0.1667</v>
      </c>
      <c r="E62" s="41" t="n">
        <v>6</v>
      </c>
      <c r="F62" s="5" t="s">
        <v>849</v>
      </c>
    </row>
    <row r="63" customFormat="false" ht="15" hidden="false" customHeight="false" outlineLevel="0" collapsed="false">
      <c r="A63" s="14" t="s">
        <v>1944</v>
      </c>
      <c r="B63" s="14" t="n">
        <v>1</v>
      </c>
      <c r="C63" s="14" t="n">
        <v>5</v>
      </c>
      <c r="D63" s="42" t="n">
        <v>0.2</v>
      </c>
      <c r="E63" s="41" t="n">
        <v>10</v>
      </c>
      <c r="F63" s="5" t="s">
        <v>849</v>
      </c>
    </row>
    <row r="64" customFormat="false" ht="15" hidden="false" customHeight="false" outlineLevel="0" collapsed="false">
      <c r="A64" s="14" t="s">
        <v>1945</v>
      </c>
      <c r="B64" s="14" t="n">
        <v>1</v>
      </c>
      <c r="C64" s="14" t="n">
        <v>4</v>
      </c>
      <c r="D64" s="42" t="n">
        <v>0.25</v>
      </c>
      <c r="E64" s="41" t="n">
        <v>6.25</v>
      </c>
      <c r="F64" s="5" t="s">
        <v>849</v>
      </c>
    </row>
    <row r="65" customFormat="false" ht="15" hidden="false" customHeight="false" outlineLevel="0" collapsed="false">
      <c r="A65" s="14" t="s">
        <v>1946</v>
      </c>
      <c r="B65" s="14" t="n">
        <v>1</v>
      </c>
      <c r="C65" s="14" t="n">
        <v>4</v>
      </c>
      <c r="D65" s="42" t="n">
        <v>0.25</v>
      </c>
      <c r="E65" s="41" t="n">
        <v>7.5</v>
      </c>
      <c r="F65" s="5" t="s">
        <v>849</v>
      </c>
    </row>
    <row r="66" customFormat="false" ht="15" hidden="false" customHeight="false" outlineLevel="0" collapsed="false">
      <c r="A66" s="14" t="s">
        <v>1947</v>
      </c>
      <c r="B66" s="14" t="n">
        <v>1</v>
      </c>
      <c r="C66" s="14" t="n">
        <v>4</v>
      </c>
      <c r="D66" s="42" t="n">
        <v>0.25</v>
      </c>
      <c r="E66" s="41" t="n">
        <v>7.5</v>
      </c>
      <c r="F66" s="5" t="s">
        <v>849</v>
      </c>
    </row>
    <row r="67" customFormat="false" ht="15" hidden="false" customHeight="false" outlineLevel="0" collapsed="false">
      <c r="A67" s="14" t="s">
        <v>1948</v>
      </c>
      <c r="B67" s="14" t="n">
        <v>1</v>
      </c>
      <c r="C67" s="14" t="n">
        <v>4</v>
      </c>
      <c r="D67" s="42" t="n">
        <v>0.25</v>
      </c>
      <c r="E67" s="41" t="n">
        <v>16.5</v>
      </c>
      <c r="F67" s="5" t="s">
        <v>849</v>
      </c>
    </row>
    <row r="68" customFormat="false" ht="15" hidden="false" customHeight="false" outlineLevel="0" collapsed="false">
      <c r="A68" s="14" t="s">
        <v>1949</v>
      </c>
      <c r="B68" s="14" t="n">
        <v>1</v>
      </c>
      <c r="C68" s="14" t="n">
        <v>3</v>
      </c>
      <c r="D68" s="42" t="n">
        <v>0.3333</v>
      </c>
      <c r="E68" s="41" t="n">
        <v>8</v>
      </c>
      <c r="F68" s="5" t="s">
        <v>849</v>
      </c>
    </row>
    <row r="69" customFormat="false" ht="15" hidden="false" customHeight="false" outlineLevel="0" collapsed="false">
      <c r="A69" s="14" t="s">
        <v>1950</v>
      </c>
      <c r="B69" s="14" t="n">
        <v>1</v>
      </c>
      <c r="C69" s="14" t="n">
        <v>3</v>
      </c>
      <c r="D69" s="42" t="n">
        <v>0.3333</v>
      </c>
      <c r="E69" s="41" t="n">
        <v>8.33</v>
      </c>
      <c r="F69" s="5" t="s">
        <v>849</v>
      </c>
    </row>
    <row r="70" customFormat="false" ht="15" hidden="false" customHeight="false" outlineLevel="0" collapsed="false">
      <c r="A70" s="14" t="s">
        <v>1951</v>
      </c>
      <c r="B70" s="14" t="n">
        <v>1</v>
      </c>
      <c r="C70" s="14" t="n">
        <v>2</v>
      </c>
      <c r="D70" s="42" t="n">
        <v>0.5</v>
      </c>
      <c r="E70" s="41" t="n">
        <v>4.5</v>
      </c>
      <c r="F70" s="5" t="s">
        <v>849</v>
      </c>
    </row>
    <row r="71" customFormat="false" ht="15" hidden="false" customHeight="false" outlineLevel="0" collapsed="false">
      <c r="A71" s="14" t="s">
        <v>1952</v>
      </c>
      <c r="B71" s="14" t="n">
        <v>1</v>
      </c>
      <c r="C71" s="14" t="n">
        <v>2</v>
      </c>
      <c r="D71" s="42" t="n">
        <v>0.5</v>
      </c>
      <c r="E71" s="41" t="n">
        <v>6.5</v>
      </c>
      <c r="F71" s="5" t="s">
        <v>849</v>
      </c>
    </row>
    <row r="72" customFormat="false" ht="15" hidden="false" customHeight="false" outlineLevel="0" collapsed="false">
      <c r="A72" s="14" t="s">
        <v>1953</v>
      </c>
      <c r="B72" s="14" t="n">
        <v>1</v>
      </c>
      <c r="C72" s="14" t="n">
        <v>2</v>
      </c>
      <c r="D72" s="42" t="n">
        <v>0.5</v>
      </c>
      <c r="E72" s="41" t="n">
        <v>6.5</v>
      </c>
      <c r="F72" s="5" t="s">
        <v>849</v>
      </c>
    </row>
    <row r="73" customFormat="false" ht="15" hidden="false" customHeight="false" outlineLevel="0" collapsed="false">
      <c r="A73" s="14" t="s">
        <v>1954</v>
      </c>
      <c r="B73" s="14" t="n">
        <v>1</v>
      </c>
      <c r="C73" s="14" t="n">
        <v>2</v>
      </c>
      <c r="D73" s="42" t="n">
        <v>0.5</v>
      </c>
      <c r="E73" s="41" t="n">
        <v>7</v>
      </c>
      <c r="F73" s="5" t="s">
        <v>849</v>
      </c>
    </row>
    <row r="74" customFormat="false" ht="15" hidden="false" customHeight="false" outlineLevel="0" collapsed="false">
      <c r="A74" s="14" t="s">
        <v>1955</v>
      </c>
      <c r="B74" s="14" t="n">
        <v>1</v>
      </c>
      <c r="C74" s="14" t="n">
        <v>1</v>
      </c>
      <c r="D74" s="42" t="n">
        <v>1</v>
      </c>
      <c r="E74" s="41" t="n">
        <v>2</v>
      </c>
      <c r="F74" s="5" t="s">
        <v>849</v>
      </c>
    </row>
    <row r="75" customFormat="false" ht="15" hidden="false" customHeight="false" outlineLevel="0" collapsed="false">
      <c r="A75" s="14" t="s">
        <v>1956</v>
      </c>
      <c r="B75" s="14" t="n">
        <v>1</v>
      </c>
      <c r="C75" s="14" t="n">
        <v>1</v>
      </c>
      <c r="D75" s="42" t="n">
        <v>1</v>
      </c>
      <c r="E75" s="41" t="n">
        <v>4</v>
      </c>
      <c r="F75" s="5" t="s">
        <v>849</v>
      </c>
    </row>
    <row r="76" customFormat="false" ht="15" hidden="false" customHeight="false" outlineLevel="0" collapsed="false">
      <c r="A76" s="14" t="s">
        <v>1957</v>
      </c>
      <c r="B76" s="14" t="n">
        <v>1</v>
      </c>
      <c r="C76" s="14" t="n">
        <v>1</v>
      </c>
      <c r="D76" s="42" t="n">
        <v>1</v>
      </c>
      <c r="E76" s="41" t="n">
        <v>6</v>
      </c>
      <c r="F76" s="5" t="s">
        <v>849</v>
      </c>
    </row>
    <row r="77" customFormat="false" ht="15" hidden="false" customHeight="false" outlineLevel="0" collapsed="false">
      <c r="A77" s="14" t="s">
        <v>1958</v>
      </c>
      <c r="B77" s="14" t="n">
        <v>1</v>
      </c>
      <c r="C77" s="14" t="n">
        <v>1</v>
      </c>
      <c r="D77" s="42" t="n">
        <v>1</v>
      </c>
      <c r="E77" s="41" t="n">
        <v>9</v>
      </c>
      <c r="F77" s="5" t="s">
        <v>849</v>
      </c>
    </row>
    <row r="78" customFormat="false" ht="15" hidden="false" customHeight="false" outlineLevel="0" collapsed="false">
      <c r="A78" s="14" t="s">
        <v>1959</v>
      </c>
      <c r="B78" s="14" t="n">
        <v>1</v>
      </c>
      <c r="C78" s="14" t="n">
        <v>1</v>
      </c>
      <c r="D78" s="42" t="n">
        <v>1</v>
      </c>
      <c r="E78" s="41" t="n">
        <v>15</v>
      </c>
      <c r="F78" s="5" t="s">
        <v>849</v>
      </c>
    </row>
    <row r="79" customFormat="false" ht="15" hidden="false" customHeight="false" outlineLevel="0" collapsed="false">
      <c r="A79" s="14" t="s">
        <v>1960</v>
      </c>
      <c r="B79" s="14" t="n">
        <v>1</v>
      </c>
      <c r="C79" s="14" t="n">
        <v>1</v>
      </c>
      <c r="D79" s="42" t="n">
        <v>1</v>
      </c>
      <c r="E79" s="41" t="n">
        <v>23</v>
      </c>
      <c r="F79" s="5" t="s">
        <v>849</v>
      </c>
    </row>
    <row r="80" customFormat="false" ht="15" hidden="false" customHeight="false" outlineLevel="0" collapsed="false">
      <c r="A80" s="14" t="s">
        <v>1961</v>
      </c>
      <c r="B80" s="14" t="n">
        <v>0</v>
      </c>
      <c r="C80" s="14" t="n">
        <v>1012</v>
      </c>
      <c r="D80" s="42" t="n">
        <v>0</v>
      </c>
      <c r="E80" s="41" t="n">
        <v>13.81</v>
      </c>
      <c r="F80" s="5" t="s">
        <v>848</v>
      </c>
    </row>
    <row r="81" customFormat="false" ht="15" hidden="false" customHeight="false" outlineLevel="0" collapsed="false">
      <c r="A81" s="14" t="s">
        <v>1962</v>
      </c>
      <c r="B81" s="14" t="n">
        <v>0</v>
      </c>
      <c r="C81" s="14" t="n">
        <v>738</v>
      </c>
      <c r="D81" s="42" t="n">
        <v>0</v>
      </c>
      <c r="E81" s="41" t="n">
        <v>19.99</v>
      </c>
      <c r="F81" s="5" t="s">
        <v>852</v>
      </c>
    </row>
    <row r="82" customFormat="false" ht="15" hidden="false" customHeight="false" outlineLevel="0" collapsed="false">
      <c r="A82" s="14" t="s">
        <v>1963</v>
      </c>
      <c r="B82" s="14" t="n">
        <v>0</v>
      </c>
      <c r="C82" s="14" t="n">
        <v>521</v>
      </c>
      <c r="D82" s="42" t="n">
        <v>0</v>
      </c>
      <c r="E82" s="41" t="n">
        <v>15.95</v>
      </c>
      <c r="F82" s="5" t="s">
        <v>850</v>
      </c>
    </row>
    <row r="83" customFormat="false" ht="15" hidden="false" customHeight="false" outlineLevel="0" collapsed="false">
      <c r="A83" s="14" t="s">
        <v>1964</v>
      </c>
      <c r="B83" s="14" t="n">
        <v>0</v>
      </c>
      <c r="C83" s="14" t="n">
        <v>512</v>
      </c>
      <c r="D83" s="42" t="n">
        <v>0</v>
      </c>
      <c r="E83" s="41" t="n">
        <v>20.12</v>
      </c>
      <c r="F83" s="5" t="s">
        <v>850</v>
      </c>
    </row>
    <row r="84" customFormat="false" ht="15" hidden="false" customHeight="false" outlineLevel="0" collapsed="false">
      <c r="A84" s="14" t="s">
        <v>1965</v>
      </c>
      <c r="B84" s="14" t="n">
        <v>0</v>
      </c>
      <c r="C84" s="14" t="n">
        <v>487</v>
      </c>
      <c r="D84" s="42" t="n">
        <v>0</v>
      </c>
      <c r="E84" s="41" t="n">
        <v>35</v>
      </c>
      <c r="F84" s="5" t="s">
        <v>850</v>
      </c>
    </row>
    <row r="85" customFormat="false" ht="15" hidden="false" customHeight="false" outlineLevel="0" collapsed="false">
      <c r="A85" s="14" t="s">
        <v>1966</v>
      </c>
      <c r="B85" s="14" t="n">
        <v>0</v>
      </c>
      <c r="C85" s="14" t="n">
        <v>410</v>
      </c>
      <c r="D85" s="42" t="n">
        <v>0</v>
      </c>
      <c r="E85" s="41" t="n">
        <v>25.05</v>
      </c>
      <c r="F85" s="5" t="s">
        <v>852</v>
      </c>
    </row>
    <row r="86" customFormat="false" ht="15" hidden="false" customHeight="false" outlineLevel="0" collapsed="false">
      <c r="A86" s="14" t="s">
        <v>1967</v>
      </c>
      <c r="B86" s="14" t="n">
        <v>0</v>
      </c>
      <c r="C86" s="14" t="n">
        <v>406</v>
      </c>
      <c r="D86" s="42" t="n">
        <v>0</v>
      </c>
      <c r="E86" s="41" t="n">
        <v>27.9</v>
      </c>
      <c r="F86" s="5" t="s">
        <v>850</v>
      </c>
    </row>
    <row r="87" customFormat="false" ht="15" hidden="false" customHeight="false" outlineLevel="0" collapsed="false">
      <c r="A87" s="14" t="s">
        <v>1968</v>
      </c>
      <c r="B87" s="14" t="n">
        <v>0</v>
      </c>
      <c r="C87" s="14" t="n">
        <v>377</v>
      </c>
      <c r="D87" s="42" t="n">
        <v>0</v>
      </c>
      <c r="E87" s="41" t="n">
        <v>18.72</v>
      </c>
      <c r="F87" s="5" t="s">
        <v>848</v>
      </c>
    </row>
    <row r="88" customFormat="false" ht="15" hidden="false" customHeight="false" outlineLevel="0" collapsed="false">
      <c r="A88" s="14" t="s">
        <v>1969</v>
      </c>
      <c r="B88" s="14" t="n">
        <v>0</v>
      </c>
      <c r="C88" s="14" t="n">
        <v>328</v>
      </c>
      <c r="D88" s="42" t="n">
        <v>0</v>
      </c>
      <c r="E88" s="41" t="n">
        <v>51.72</v>
      </c>
      <c r="F88" s="5" t="s">
        <v>850</v>
      </c>
    </row>
    <row r="89" customFormat="false" ht="15" hidden="false" customHeight="false" outlineLevel="0" collapsed="false">
      <c r="A89" s="14" t="s">
        <v>1970</v>
      </c>
      <c r="B89" s="14" t="n">
        <v>0</v>
      </c>
      <c r="C89" s="14" t="n">
        <v>294</v>
      </c>
      <c r="D89" s="42" t="n">
        <v>0</v>
      </c>
      <c r="E89" s="41" t="n">
        <v>12.77</v>
      </c>
      <c r="F89" s="5" t="s">
        <v>850</v>
      </c>
    </row>
    <row r="90" customFormat="false" ht="15" hidden="false" customHeight="false" outlineLevel="0" collapsed="false">
      <c r="A90" s="14" t="s">
        <v>1971</v>
      </c>
      <c r="B90" s="14" t="n">
        <v>0</v>
      </c>
      <c r="C90" s="14" t="n">
        <v>250</v>
      </c>
      <c r="D90" s="42" t="n">
        <v>0</v>
      </c>
      <c r="E90" s="41" t="n">
        <v>24.75</v>
      </c>
      <c r="F90" s="5" t="s">
        <v>850</v>
      </c>
    </row>
    <row r="91" customFormat="false" ht="15" hidden="false" customHeight="false" outlineLevel="0" collapsed="false">
      <c r="A91" s="14" t="s">
        <v>1972</v>
      </c>
      <c r="B91" s="14" t="n">
        <v>0</v>
      </c>
      <c r="C91" s="14" t="n">
        <v>236</v>
      </c>
      <c r="D91" s="42" t="n">
        <v>0</v>
      </c>
      <c r="E91" s="41" t="n">
        <v>28.26</v>
      </c>
      <c r="F91" s="5" t="s">
        <v>849</v>
      </c>
    </row>
    <row r="92" customFormat="false" ht="15" hidden="false" customHeight="false" outlineLevel="0" collapsed="false">
      <c r="A92" s="14" t="s">
        <v>1973</v>
      </c>
      <c r="B92" s="14" t="n">
        <v>0</v>
      </c>
      <c r="C92" s="14" t="n">
        <v>218</v>
      </c>
      <c r="D92" s="42" t="n">
        <v>0</v>
      </c>
      <c r="E92" s="41" t="n">
        <v>42.29</v>
      </c>
      <c r="F92" s="5" t="s">
        <v>850</v>
      </c>
    </row>
    <row r="93" customFormat="false" ht="15" hidden="false" customHeight="false" outlineLevel="0" collapsed="false">
      <c r="A93" s="14" t="s">
        <v>1974</v>
      </c>
      <c r="B93" s="14" t="n">
        <v>0</v>
      </c>
      <c r="C93" s="14" t="n">
        <v>187</v>
      </c>
      <c r="D93" s="42" t="n">
        <v>0</v>
      </c>
      <c r="E93" s="41" t="n">
        <v>37.87</v>
      </c>
      <c r="F93" s="5" t="s">
        <v>850</v>
      </c>
    </row>
    <row r="94" customFormat="false" ht="15" hidden="false" customHeight="false" outlineLevel="0" collapsed="false">
      <c r="A94" s="14" t="s">
        <v>1975</v>
      </c>
      <c r="B94" s="14" t="n">
        <v>0</v>
      </c>
      <c r="C94" s="14" t="n">
        <v>186</v>
      </c>
      <c r="D94" s="42" t="n">
        <v>0</v>
      </c>
      <c r="E94" s="41" t="n">
        <v>13.85</v>
      </c>
      <c r="F94" s="5" t="s">
        <v>849</v>
      </c>
    </row>
    <row r="95" customFormat="false" ht="15" hidden="false" customHeight="false" outlineLevel="0" collapsed="false">
      <c r="A95" s="14" t="s">
        <v>1976</v>
      </c>
      <c r="B95" s="14" t="n">
        <v>0</v>
      </c>
      <c r="C95" s="14" t="n">
        <v>182</v>
      </c>
      <c r="D95" s="42" t="n">
        <v>0</v>
      </c>
      <c r="E95" s="41" t="n">
        <v>7.86</v>
      </c>
      <c r="F95" s="5" t="s">
        <v>849</v>
      </c>
    </row>
    <row r="96" customFormat="false" ht="15" hidden="false" customHeight="false" outlineLevel="0" collapsed="false">
      <c r="A96" s="14" t="s">
        <v>1977</v>
      </c>
      <c r="B96" s="14" t="n">
        <v>0</v>
      </c>
      <c r="C96" s="14" t="n">
        <v>173</v>
      </c>
      <c r="D96" s="42" t="n">
        <v>0</v>
      </c>
      <c r="E96" s="41" t="n">
        <v>8.37</v>
      </c>
      <c r="F96" s="5" t="s">
        <v>847</v>
      </c>
    </row>
    <row r="97" customFormat="false" ht="15" hidden="false" customHeight="false" outlineLevel="0" collapsed="false">
      <c r="A97" s="14" t="s">
        <v>1978</v>
      </c>
      <c r="B97" s="14" t="n">
        <v>0</v>
      </c>
      <c r="C97" s="14" t="n">
        <v>172</v>
      </c>
      <c r="D97" s="42" t="n">
        <v>0</v>
      </c>
      <c r="E97" s="41" t="n">
        <v>13.47</v>
      </c>
      <c r="F97" s="5" t="s">
        <v>850</v>
      </c>
    </row>
    <row r="98" customFormat="false" ht="15" hidden="false" customHeight="false" outlineLevel="0" collapsed="false">
      <c r="A98" s="14" t="s">
        <v>1979</v>
      </c>
      <c r="B98" s="14" t="n">
        <v>0</v>
      </c>
      <c r="C98" s="14" t="n">
        <v>171</v>
      </c>
      <c r="D98" s="42" t="n">
        <v>0</v>
      </c>
      <c r="E98" s="41" t="n">
        <v>25.09</v>
      </c>
      <c r="F98" s="5" t="s">
        <v>849</v>
      </c>
    </row>
    <row r="99" customFormat="false" ht="15" hidden="false" customHeight="false" outlineLevel="0" collapsed="false">
      <c r="A99" s="14" t="s">
        <v>1980</v>
      </c>
      <c r="B99" s="14" t="n">
        <v>0</v>
      </c>
      <c r="C99" s="14" t="n">
        <v>165</v>
      </c>
      <c r="D99" s="42" t="n">
        <v>0</v>
      </c>
      <c r="E99" s="41" t="n">
        <v>51.32</v>
      </c>
      <c r="F99" s="5" t="s">
        <v>847</v>
      </c>
    </row>
    <row r="100" customFormat="false" ht="15" hidden="false" customHeight="false" outlineLevel="0" collapsed="false">
      <c r="A100" s="14" t="s">
        <v>1981</v>
      </c>
      <c r="B100" s="14" t="n">
        <v>0</v>
      </c>
      <c r="C100" s="14" t="n">
        <v>163</v>
      </c>
      <c r="D100" s="42" t="n">
        <v>0</v>
      </c>
      <c r="E100" s="41" t="n">
        <v>9.67</v>
      </c>
      <c r="F100" s="5" t="s">
        <v>849</v>
      </c>
    </row>
    <row r="101" customFormat="false" ht="15" hidden="false" customHeight="false" outlineLevel="0" collapsed="false">
      <c r="A101" s="14" t="s">
        <v>1982</v>
      </c>
      <c r="B101" s="14" t="n">
        <v>0</v>
      </c>
      <c r="C101" s="14" t="n">
        <v>158</v>
      </c>
      <c r="D101" s="42" t="n">
        <v>0</v>
      </c>
      <c r="E101" s="41" t="n">
        <v>9.16</v>
      </c>
      <c r="F101" s="5" t="s">
        <v>850</v>
      </c>
    </row>
    <row r="102" customFormat="false" ht="15" hidden="false" customHeight="false" outlineLevel="0" collapsed="false">
      <c r="A102" s="14" t="s">
        <v>1983</v>
      </c>
      <c r="B102" s="14" t="n">
        <v>0</v>
      </c>
      <c r="C102" s="14" t="n">
        <v>146</v>
      </c>
      <c r="D102" s="42" t="n">
        <v>0</v>
      </c>
      <c r="E102" s="41" t="n">
        <v>26.9</v>
      </c>
      <c r="F102" s="5" t="s">
        <v>850</v>
      </c>
    </row>
    <row r="103" customFormat="false" ht="15" hidden="false" customHeight="false" outlineLevel="0" collapsed="false">
      <c r="A103" s="14" t="s">
        <v>1984</v>
      </c>
      <c r="B103" s="14" t="n">
        <v>0</v>
      </c>
      <c r="C103" s="14" t="n">
        <v>139</v>
      </c>
      <c r="D103" s="42" t="n">
        <v>0</v>
      </c>
      <c r="E103" s="41" t="n">
        <v>9.16</v>
      </c>
      <c r="F103" s="5" t="s">
        <v>849</v>
      </c>
    </row>
    <row r="104" customFormat="false" ht="15" hidden="false" customHeight="false" outlineLevel="0" collapsed="false">
      <c r="A104" s="14" t="s">
        <v>1985</v>
      </c>
      <c r="B104" s="14" t="n">
        <v>0</v>
      </c>
      <c r="C104" s="14" t="n">
        <v>136</v>
      </c>
      <c r="D104" s="42" t="n">
        <v>0</v>
      </c>
      <c r="E104" s="41" t="n">
        <v>14.29</v>
      </c>
      <c r="F104" s="5" t="s">
        <v>849</v>
      </c>
    </row>
    <row r="105" customFormat="false" ht="15" hidden="false" customHeight="false" outlineLevel="0" collapsed="false">
      <c r="A105" s="14" t="s">
        <v>1986</v>
      </c>
      <c r="B105" s="14" t="n">
        <v>0</v>
      </c>
      <c r="C105" s="14" t="n">
        <v>134</v>
      </c>
      <c r="D105" s="42" t="n">
        <v>0</v>
      </c>
      <c r="E105" s="41" t="n">
        <v>23.75</v>
      </c>
      <c r="F105" s="5" t="s">
        <v>848</v>
      </c>
    </row>
    <row r="106" customFormat="false" ht="15" hidden="false" customHeight="false" outlineLevel="0" collapsed="false">
      <c r="A106" s="14" t="s">
        <v>1987</v>
      </c>
      <c r="B106" s="14" t="n">
        <v>0</v>
      </c>
      <c r="C106" s="14" t="n">
        <v>132</v>
      </c>
      <c r="D106" s="42" t="n">
        <v>0</v>
      </c>
      <c r="E106" s="41" t="n">
        <v>11.32</v>
      </c>
      <c r="F106" s="5" t="s">
        <v>850</v>
      </c>
    </row>
    <row r="107" customFormat="false" ht="15" hidden="false" customHeight="false" outlineLevel="0" collapsed="false">
      <c r="A107" s="14" t="s">
        <v>1988</v>
      </c>
      <c r="B107" s="14" t="n">
        <v>0</v>
      </c>
      <c r="C107" s="14" t="n">
        <v>131</v>
      </c>
      <c r="D107" s="42" t="n">
        <v>0</v>
      </c>
      <c r="E107" s="41" t="n">
        <v>16.08</v>
      </c>
      <c r="F107" s="5" t="s">
        <v>849</v>
      </c>
    </row>
    <row r="108" customFormat="false" ht="15" hidden="false" customHeight="false" outlineLevel="0" collapsed="false">
      <c r="A108" s="14" t="s">
        <v>1989</v>
      </c>
      <c r="B108" s="14" t="n">
        <v>0</v>
      </c>
      <c r="C108" s="14" t="n">
        <v>121</v>
      </c>
      <c r="D108" s="42" t="n">
        <v>0</v>
      </c>
      <c r="E108" s="41" t="n">
        <v>11.89</v>
      </c>
      <c r="F108" s="5" t="s">
        <v>849</v>
      </c>
    </row>
    <row r="109" customFormat="false" ht="15" hidden="false" customHeight="false" outlineLevel="0" collapsed="false">
      <c r="A109" s="14" t="s">
        <v>1990</v>
      </c>
      <c r="B109" s="14" t="n">
        <v>0</v>
      </c>
      <c r="C109" s="14" t="n">
        <v>121</v>
      </c>
      <c r="D109" s="42" t="n">
        <v>0</v>
      </c>
      <c r="E109" s="41" t="n">
        <v>27.65</v>
      </c>
      <c r="F109" s="5" t="s">
        <v>849</v>
      </c>
    </row>
    <row r="110" customFormat="false" ht="15" hidden="false" customHeight="false" outlineLevel="0" collapsed="false">
      <c r="A110" s="14" t="s">
        <v>1991</v>
      </c>
      <c r="B110" s="14" t="n">
        <v>0</v>
      </c>
      <c r="C110" s="14" t="n">
        <v>121</v>
      </c>
      <c r="D110" s="42" t="n">
        <v>0</v>
      </c>
      <c r="E110" s="41" t="n">
        <v>35.58</v>
      </c>
      <c r="F110" s="5" t="s">
        <v>849</v>
      </c>
    </row>
    <row r="111" customFormat="false" ht="15" hidden="false" customHeight="false" outlineLevel="0" collapsed="false">
      <c r="A111" s="14" t="s">
        <v>1992</v>
      </c>
      <c r="B111" s="14" t="n">
        <v>0</v>
      </c>
      <c r="C111" s="14" t="n">
        <v>119</v>
      </c>
      <c r="D111" s="42" t="n">
        <v>0</v>
      </c>
      <c r="E111" s="41" t="n">
        <v>10.08</v>
      </c>
      <c r="F111" s="5" t="s">
        <v>850</v>
      </c>
    </row>
    <row r="112" customFormat="false" ht="15" hidden="false" customHeight="false" outlineLevel="0" collapsed="false">
      <c r="A112" s="14" t="s">
        <v>1993</v>
      </c>
      <c r="B112" s="14" t="n">
        <v>0</v>
      </c>
      <c r="C112" s="14" t="n">
        <v>119</v>
      </c>
      <c r="D112" s="42" t="n">
        <v>0</v>
      </c>
      <c r="E112" s="41" t="n">
        <v>18.56</v>
      </c>
      <c r="F112" s="5" t="s">
        <v>849</v>
      </c>
    </row>
    <row r="113" customFormat="false" ht="15" hidden="false" customHeight="false" outlineLevel="0" collapsed="false">
      <c r="A113" s="14" t="s">
        <v>1994</v>
      </c>
      <c r="B113" s="14" t="n">
        <v>0</v>
      </c>
      <c r="C113" s="14" t="n">
        <v>116</v>
      </c>
      <c r="D113" s="42" t="n">
        <v>0</v>
      </c>
      <c r="E113" s="41" t="n">
        <v>9.34</v>
      </c>
      <c r="F113" s="5" t="s">
        <v>849</v>
      </c>
    </row>
    <row r="114" customFormat="false" ht="15" hidden="false" customHeight="false" outlineLevel="0" collapsed="false">
      <c r="A114" s="14" t="s">
        <v>1995</v>
      </c>
      <c r="B114" s="14" t="n">
        <v>0</v>
      </c>
      <c r="C114" s="14" t="n">
        <v>116</v>
      </c>
      <c r="D114" s="42" t="n">
        <v>0</v>
      </c>
      <c r="E114" s="41" t="n">
        <v>38.02</v>
      </c>
      <c r="F114" s="5" t="s">
        <v>847</v>
      </c>
    </row>
    <row r="115" customFormat="false" ht="15" hidden="false" customHeight="false" outlineLevel="0" collapsed="false">
      <c r="A115" s="14" t="s">
        <v>1996</v>
      </c>
      <c r="B115" s="14" t="n">
        <v>0</v>
      </c>
      <c r="C115" s="14" t="n">
        <v>114</v>
      </c>
      <c r="D115" s="42" t="n">
        <v>0</v>
      </c>
      <c r="E115" s="41" t="n">
        <v>16.93</v>
      </c>
      <c r="F115" s="5" t="s">
        <v>850</v>
      </c>
    </row>
    <row r="116" customFormat="false" ht="15" hidden="false" customHeight="false" outlineLevel="0" collapsed="false">
      <c r="A116" s="14" t="s">
        <v>1997</v>
      </c>
      <c r="B116" s="14" t="n">
        <v>0</v>
      </c>
      <c r="C116" s="14" t="n">
        <v>112</v>
      </c>
      <c r="D116" s="42" t="n">
        <v>0</v>
      </c>
      <c r="E116" s="41" t="n">
        <v>28.04</v>
      </c>
      <c r="F116" s="5" t="s">
        <v>850</v>
      </c>
    </row>
    <row r="117" customFormat="false" ht="15" hidden="false" customHeight="false" outlineLevel="0" collapsed="false">
      <c r="A117" s="14" t="s">
        <v>1998</v>
      </c>
      <c r="B117" s="14" t="n">
        <v>0</v>
      </c>
      <c r="C117" s="14" t="n">
        <v>110</v>
      </c>
      <c r="D117" s="42" t="n">
        <v>0</v>
      </c>
      <c r="E117" s="41" t="n">
        <v>10.91</v>
      </c>
      <c r="F117" s="5" t="s">
        <v>849</v>
      </c>
    </row>
    <row r="118" customFormat="false" ht="15" hidden="false" customHeight="false" outlineLevel="0" collapsed="false">
      <c r="A118" s="14" t="s">
        <v>1999</v>
      </c>
      <c r="B118" s="14" t="n">
        <v>0</v>
      </c>
      <c r="C118" s="14" t="n">
        <v>110</v>
      </c>
      <c r="D118" s="42" t="n">
        <v>0</v>
      </c>
      <c r="E118" s="41" t="n">
        <v>14.65</v>
      </c>
      <c r="F118" s="5" t="s">
        <v>849</v>
      </c>
    </row>
    <row r="119" customFormat="false" ht="15" hidden="false" customHeight="false" outlineLevel="0" collapsed="false">
      <c r="A119" s="14" t="s">
        <v>2000</v>
      </c>
      <c r="B119" s="14" t="n">
        <v>0</v>
      </c>
      <c r="C119" s="14" t="n">
        <v>108</v>
      </c>
      <c r="D119" s="42" t="n">
        <v>0</v>
      </c>
      <c r="E119" s="41" t="n">
        <v>49.76</v>
      </c>
      <c r="F119" s="5" t="s">
        <v>850</v>
      </c>
    </row>
    <row r="120" customFormat="false" ht="15" hidden="false" customHeight="false" outlineLevel="0" collapsed="false">
      <c r="A120" s="14" t="s">
        <v>2001</v>
      </c>
      <c r="B120" s="14" t="n">
        <v>0</v>
      </c>
      <c r="C120" s="14" t="n">
        <v>105</v>
      </c>
      <c r="D120" s="42" t="n">
        <v>0</v>
      </c>
      <c r="E120" s="41" t="n">
        <v>10.06</v>
      </c>
      <c r="F120" s="5" t="s">
        <v>849</v>
      </c>
    </row>
    <row r="121" customFormat="false" ht="15" hidden="false" customHeight="false" outlineLevel="0" collapsed="false">
      <c r="A121" s="14" t="s">
        <v>2002</v>
      </c>
      <c r="B121" s="14" t="n">
        <v>0</v>
      </c>
      <c r="C121" s="14" t="n">
        <v>105</v>
      </c>
      <c r="D121" s="42" t="n">
        <v>0</v>
      </c>
      <c r="E121" s="41" t="n">
        <v>36.53</v>
      </c>
      <c r="F121" s="5" t="s">
        <v>850</v>
      </c>
    </row>
    <row r="122" customFormat="false" ht="15" hidden="false" customHeight="false" outlineLevel="0" collapsed="false">
      <c r="A122" s="14" t="s">
        <v>2003</v>
      </c>
      <c r="B122" s="14" t="n">
        <v>0</v>
      </c>
      <c r="C122" s="14" t="n">
        <v>103</v>
      </c>
      <c r="D122" s="42" t="n">
        <v>0</v>
      </c>
      <c r="E122" s="41" t="n">
        <v>4.59</v>
      </c>
      <c r="F122" s="5" t="s">
        <v>849</v>
      </c>
    </row>
    <row r="123" customFormat="false" ht="15" hidden="false" customHeight="false" outlineLevel="0" collapsed="false">
      <c r="A123" s="14" t="s">
        <v>2004</v>
      </c>
      <c r="B123" s="14" t="n">
        <v>0</v>
      </c>
      <c r="C123" s="14" t="n">
        <v>101</v>
      </c>
      <c r="D123" s="42" t="n">
        <v>0</v>
      </c>
      <c r="E123" s="41" t="n">
        <v>7.88</v>
      </c>
      <c r="F123" s="5" t="s">
        <v>850</v>
      </c>
    </row>
    <row r="124" customFormat="false" ht="15" hidden="false" customHeight="false" outlineLevel="0" collapsed="false">
      <c r="A124" s="14" t="s">
        <v>2005</v>
      </c>
      <c r="B124" s="14" t="n">
        <v>0</v>
      </c>
      <c r="C124" s="14" t="n">
        <v>101</v>
      </c>
      <c r="D124" s="42" t="n">
        <v>0</v>
      </c>
      <c r="E124" s="41" t="n">
        <v>25.14</v>
      </c>
      <c r="F124" s="5" t="s">
        <v>850</v>
      </c>
    </row>
    <row r="125" customFormat="false" ht="15" hidden="false" customHeight="false" outlineLevel="0" collapsed="false">
      <c r="A125" s="14" t="s">
        <v>2006</v>
      </c>
      <c r="B125" s="14" t="n">
        <v>0</v>
      </c>
      <c r="C125" s="14" t="n">
        <v>100</v>
      </c>
      <c r="D125" s="42" t="n">
        <v>0</v>
      </c>
      <c r="E125" s="41" t="n">
        <v>32.6</v>
      </c>
      <c r="F125" s="5" t="s">
        <v>850</v>
      </c>
    </row>
    <row r="126" customFormat="false" ht="15" hidden="false" customHeight="false" outlineLevel="0" collapsed="false">
      <c r="A126" s="14" t="s">
        <v>2007</v>
      </c>
      <c r="B126" s="14" t="n">
        <v>0</v>
      </c>
      <c r="C126" s="14" t="n">
        <v>97</v>
      </c>
      <c r="D126" s="42" t="n">
        <v>0</v>
      </c>
      <c r="E126" s="41" t="n">
        <v>12.72</v>
      </c>
      <c r="F126" s="5" t="s">
        <v>849</v>
      </c>
    </row>
    <row r="127" customFormat="false" ht="15" hidden="false" customHeight="false" outlineLevel="0" collapsed="false">
      <c r="A127" s="14" t="s">
        <v>2008</v>
      </c>
      <c r="B127" s="14" t="n">
        <v>0</v>
      </c>
      <c r="C127" s="14" t="n">
        <v>95</v>
      </c>
      <c r="D127" s="42" t="n">
        <v>0</v>
      </c>
      <c r="E127" s="41" t="n">
        <v>9.08</v>
      </c>
      <c r="F127" s="5" t="s">
        <v>853</v>
      </c>
    </row>
    <row r="128" customFormat="false" ht="15" hidden="false" customHeight="false" outlineLevel="0" collapsed="false">
      <c r="A128" s="14" t="s">
        <v>2009</v>
      </c>
      <c r="B128" s="14" t="n">
        <v>0</v>
      </c>
      <c r="C128" s="14" t="n">
        <v>94</v>
      </c>
      <c r="D128" s="42" t="n">
        <v>0</v>
      </c>
      <c r="E128" s="41" t="n">
        <v>30.39</v>
      </c>
      <c r="F128" s="5" t="s">
        <v>849</v>
      </c>
    </row>
    <row r="129" customFormat="false" ht="15" hidden="false" customHeight="false" outlineLevel="0" collapsed="false">
      <c r="A129" s="14" t="s">
        <v>2010</v>
      </c>
      <c r="B129" s="14" t="n">
        <v>0</v>
      </c>
      <c r="C129" s="14" t="n">
        <v>89</v>
      </c>
      <c r="D129" s="42" t="n">
        <v>0</v>
      </c>
      <c r="E129" s="41" t="n">
        <v>10.47</v>
      </c>
      <c r="F129" s="5" t="s">
        <v>848</v>
      </c>
    </row>
    <row r="130" customFormat="false" ht="15" hidden="false" customHeight="false" outlineLevel="0" collapsed="false">
      <c r="A130" s="14" t="s">
        <v>2011</v>
      </c>
      <c r="B130" s="14" t="n">
        <v>0</v>
      </c>
      <c r="C130" s="14" t="n">
        <v>89</v>
      </c>
      <c r="D130" s="42" t="n">
        <v>0</v>
      </c>
      <c r="E130" s="41" t="n">
        <v>22.93</v>
      </c>
      <c r="F130" s="5" t="s">
        <v>849</v>
      </c>
    </row>
    <row r="131" customFormat="false" ht="15" hidden="false" customHeight="false" outlineLevel="0" collapsed="false">
      <c r="A131" s="14" t="s">
        <v>2012</v>
      </c>
      <c r="B131" s="14" t="n">
        <v>0</v>
      </c>
      <c r="C131" s="14" t="n">
        <v>88</v>
      </c>
      <c r="D131" s="42" t="n">
        <v>0</v>
      </c>
      <c r="E131" s="41" t="n">
        <v>10.33</v>
      </c>
      <c r="F131" s="5" t="s">
        <v>850</v>
      </c>
    </row>
    <row r="132" customFormat="false" ht="15" hidden="false" customHeight="false" outlineLevel="0" collapsed="false">
      <c r="A132" s="14" t="s">
        <v>2013</v>
      </c>
      <c r="B132" s="14" t="n">
        <v>0</v>
      </c>
      <c r="C132" s="14" t="n">
        <v>87</v>
      </c>
      <c r="D132" s="42" t="n">
        <v>0</v>
      </c>
      <c r="E132" s="41" t="n">
        <v>22.48</v>
      </c>
      <c r="F132" s="5" t="s">
        <v>850</v>
      </c>
    </row>
    <row r="133" customFormat="false" ht="15" hidden="false" customHeight="false" outlineLevel="0" collapsed="false">
      <c r="A133" s="14" t="s">
        <v>2014</v>
      </c>
      <c r="B133" s="14" t="n">
        <v>0</v>
      </c>
      <c r="C133" s="14" t="n">
        <v>84</v>
      </c>
      <c r="D133" s="42" t="n">
        <v>0</v>
      </c>
      <c r="E133" s="41" t="n">
        <v>36.81</v>
      </c>
      <c r="F133" s="5" t="s">
        <v>849</v>
      </c>
    </row>
    <row r="134" customFormat="false" ht="15" hidden="false" customHeight="false" outlineLevel="0" collapsed="false">
      <c r="A134" s="14" t="s">
        <v>2015</v>
      </c>
      <c r="B134" s="14" t="n">
        <v>0</v>
      </c>
      <c r="C134" s="14" t="n">
        <v>83</v>
      </c>
      <c r="D134" s="42" t="n">
        <v>0</v>
      </c>
      <c r="E134" s="41" t="n">
        <v>14.02</v>
      </c>
      <c r="F134" s="5" t="s">
        <v>849</v>
      </c>
    </row>
    <row r="135" customFormat="false" ht="15" hidden="false" customHeight="false" outlineLevel="0" collapsed="false">
      <c r="A135" s="14" t="s">
        <v>2016</v>
      </c>
      <c r="B135" s="14" t="n">
        <v>0</v>
      </c>
      <c r="C135" s="14" t="n">
        <v>82</v>
      </c>
      <c r="D135" s="42" t="n">
        <v>0</v>
      </c>
      <c r="E135" s="41" t="n">
        <v>14.96</v>
      </c>
      <c r="F135" s="5" t="s">
        <v>849</v>
      </c>
    </row>
    <row r="136" customFormat="false" ht="15" hidden="false" customHeight="false" outlineLevel="0" collapsed="false">
      <c r="A136" s="14" t="s">
        <v>2017</v>
      </c>
      <c r="B136" s="14" t="n">
        <v>0</v>
      </c>
      <c r="C136" s="14" t="n">
        <v>82</v>
      </c>
      <c r="D136" s="42" t="n">
        <v>0</v>
      </c>
      <c r="E136" s="41" t="n">
        <v>19.59</v>
      </c>
      <c r="F136" s="5" t="s">
        <v>849</v>
      </c>
    </row>
    <row r="137" customFormat="false" ht="15" hidden="false" customHeight="false" outlineLevel="0" collapsed="false">
      <c r="A137" s="14" t="s">
        <v>2018</v>
      </c>
      <c r="B137" s="14" t="n">
        <v>0</v>
      </c>
      <c r="C137" s="14" t="n">
        <v>81</v>
      </c>
      <c r="D137" s="42" t="n">
        <v>0</v>
      </c>
      <c r="E137" s="41" t="n">
        <v>15.41</v>
      </c>
      <c r="F137" s="5" t="s">
        <v>849</v>
      </c>
    </row>
    <row r="138" customFormat="false" ht="15" hidden="false" customHeight="false" outlineLevel="0" collapsed="false">
      <c r="A138" s="14" t="s">
        <v>2019</v>
      </c>
      <c r="B138" s="14" t="n">
        <v>0</v>
      </c>
      <c r="C138" s="14" t="n">
        <v>81</v>
      </c>
      <c r="D138" s="42" t="n">
        <v>0</v>
      </c>
      <c r="E138" s="41" t="n">
        <v>17.22</v>
      </c>
      <c r="F138" s="5" t="s">
        <v>849</v>
      </c>
    </row>
    <row r="139" customFormat="false" ht="15" hidden="false" customHeight="false" outlineLevel="0" collapsed="false">
      <c r="A139" s="14" t="s">
        <v>2020</v>
      </c>
      <c r="B139" s="14" t="n">
        <v>0</v>
      </c>
      <c r="C139" s="14" t="n">
        <v>80</v>
      </c>
      <c r="D139" s="42" t="n">
        <v>0</v>
      </c>
      <c r="E139" s="41" t="n">
        <v>25.06</v>
      </c>
      <c r="F139" s="5" t="s">
        <v>849</v>
      </c>
    </row>
    <row r="140" customFormat="false" ht="15" hidden="false" customHeight="false" outlineLevel="0" collapsed="false">
      <c r="A140" s="14" t="s">
        <v>2021</v>
      </c>
      <c r="B140" s="14" t="n">
        <v>0</v>
      </c>
      <c r="C140" s="14" t="n">
        <v>80</v>
      </c>
      <c r="D140" s="42" t="n">
        <v>0</v>
      </c>
      <c r="E140" s="41" t="n">
        <v>25.07</v>
      </c>
      <c r="F140" s="5" t="s">
        <v>849</v>
      </c>
    </row>
    <row r="141" customFormat="false" ht="15" hidden="false" customHeight="false" outlineLevel="0" collapsed="false">
      <c r="A141" s="14" t="s">
        <v>2022</v>
      </c>
      <c r="B141" s="14" t="n">
        <v>0</v>
      </c>
      <c r="C141" s="14" t="n">
        <v>79</v>
      </c>
      <c r="D141" s="42" t="n">
        <v>0</v>
      </c>
      <c r="E141" s="41" t="n">
        <v>11.28</v>
      </c>
      <c r="F141" s="5" t="s">
        <v>852</v>
      </c>
    </row>
    <row r="142" customFormat="false" ht="15" hidden="false" customHeight="false" outlineLevel="0" collapsed="false">
      <c r="A142" s="14" t="s">
        <v>2023</v>
      </c>
      <c r="B142" s="14" t="n">
        <v>0</v>
      </c>
      <c r="C142" s="14" t="n">
        <v>77</v>
      </c>
      <c r="D142" s="42" t="n">
        <v>0</v>
      </c>
      <c r="E142" s="41" t="n">
        <v>15.18</v>
      </c>
      <c r="F142" s="5" t="s">
        <v>849</v>
      </c>
    </row>
    <row r="143" customFormat="false" ht="15" hidden="false" customHeight="false" outlineLevel="0" collapsed="false">
      <c r="A143" s="14" t="s">
        <v>2024</v>
      </c>
      <c r="B143" s="14" t="n">
        <v>0</v>
      </c>
      <c r="C143" s="14" t="n">
        <v>76</v>
      </c>
      <c r="D143" s="42" t="n">
        <v>0</v>
      </c>
      <c r="E143" s="41" t="n">
        <v>32.34</v>
      </c>
      <c r="F143" s="5" t="s">
        <v>849</v>
      </c>
    </row>
    <row r="144" customFormat="false" ht="15" hidden="false" customHeight="false" outlineLevel="0" collapsed="false">
      <c r="A144" s="14" t="s">
        <v>2025</v>
      </c>
      <c r="B144" s="14" t="n">
        <v>0</v>
      </c>
      <c r="C144" s="14" t="n">
        <v>75</v>
      </c>
      <c r="D144" s="42" t="n">
        <v>0</v>
      </c>
      <c r="E144" s="41" t="n">
        <v>9.69</v>
      </c>
      <c r="F144" s="5" t="s">
        <v>850</v>
      </c>
    </row>
    <row r="145" customFormat="false" ht="15" hidden="false" customHeight="false" outlineLevel="0" collapsed="false">
      <c r="A145" s="14" t="s">
        <v>2026</v>
      </c>
      <c r="B145" s="14" t="n">
        <v>0</v>
      </c>
      <c r="C145" s="14" t="n">
        <v>75</v>
      </c>
      <c r="D145" s="42" t="n">
        <v>0</v>
      </c>
      <c r="E145" s="41" t="n">
        <v>10.59</v>
      </c>
      <c r="F145" s="5" t="s">
        <v>849</v>
      </c>
    </row>
    <row r="146" customFormat="false" ht="15" hidden="false" customHeight="false" outlineLevel="0" collapsed="false">
      <c r="A146" s="14" t="s">
        <v>2027</v>
      </c>
      <c r="B146" s="14" t="n">
        <v>0</v>
      </c>
      <c r="C146" s="14" t="n">
        <v>75</v>
      </c>
      <c r="D146" s="42" t="n">
        <v>0</v>
      </c>
      <c r="E146" s="41" t="n">
        <v>21.92</v>
      </c>
      <c r="F146" s="5" t="s">
        <v>849</v>
      </c>
    </row>
    <row r="147" customFormat="false" ht="15" hidden="false" customHeight="false" outlineLevel="0" collapsed="false">
      <c r="A147" s="14" t="s">
        <v>2028</v>
      </c>
      <c r="B147" s="14" t="n">
        <v>0</v>
      </c>
      <c r="C147" s="14" t="n">
        <v>74</v>
      </c>
      <c r="D147" s="42" t="n">
        <v>0</v>
      </c>
      <c r="E147" s="41" t="n">
        <v>20.31</v>
      </c>
      <c r="F147" s="5" t="s">
        <v>849</v>
      </c>
    </row>
    <row r="148" customFormat="false" ht="15" hidden="false" customHeight="false" outlineLevel="0" collapsed="false">
      <c r="A148" s="14" t="s">
        <v>2029</v>
      </c>
      <c r="B148" s="14" t="n">
        <v>0</v>
      </c>
      <c r="C148" s="14" t="n">
        <v>74</v>
      </c>
      <c r="D148" s="42" t="n">
        <v>0</v>
      </c>
      <c r="E148" s="41" t="n">
        <v>30.2</v>
      </c>
      <c r="F148" s="5" t="s">
        <v>849</v>
      </c>
    </row>
    <row r="149" customFormat="false" ht="15" hidden="false" customHeight="false" outlineLevel="0" collapsed="false">
      <c r="A149" s="14" t="s">
        <v>2030</v>
      </c>
      <c r="B149" s="14" t="n">
        <v>0</v>
      </c>
      <c r="C149" s="14" t="n">
        <v>72</v>
      </c>
      <c r="D149" s="42" t="n">
        <v>0</v>
      </c>
      <c r="E149" s="41" t="n">
        <v>23.46</v>
      </c>
      <c r="F149" s="5" t="s">
        <v>849</v>
      </c>
    </row>
    <row r="150" customFormat="false" ht="15" hidden="false" customHeight="false" outlineLevel="0" collapsed="false">
      <c r="A150" s="14" t="s">
        <v>2031</v>
      </c>
      <c r="B150" s="14" t="n">
        <v>0</v>
      </c>
      <c r="C150" s="14" t="n">
        <v>71</v>
      </c>
      <c r="D150" s="42" t="n">
        <v>0</v>
      </c>
      <c r="E150" s="41" t="n">
        <v>15.23</v>
      </c>
      <c r="F150" s="5" t="s">
        <v>850</v>
      </c>
    </row>
    <row r="151" customFormat="false" ht="15" hidden="false" customHeight="false" outlineLevel="0" collapsed="false">
      <c r="A151" s="14" t="s">
        <v>2032</v>
      </c>
      <c r="B151" s="14" t="n">
        <v>0</v>
      </c>
      <c r="C151" s="14" t="n">
        <v>70</v>
      </c>
      <c r="D151" s="42" t="n">
        <v>0</v>
      </c>
      <c r="E151" s="41" t="n">
        <v>8.09</v>
      </c>
      <c r="F151" s="5" t="s">
        <v>850</v>
      </c>
    </row>
    <row r="152" customFormat="false" ht="15" hidden="false" customHeight="false" outlineLevel="0" collapsed="false">
      <c r="A152" s="14" t="s">
        <v>2033</v>
      </c>
      <c r="B152" s="14" t="n">
        <v>0</v>
      </c>
      <c r="C152" s="14" t="n">
        <v>70</v>
      </c>
      <c r="D152" s="42" t="n">
        <v>0</v>
      </c>
      <c r="E152" s="41" t="n">
        <v>28.69</v>
      </c>
      <c r="F152" s="5" t="s">
        <v>849</v>
      </c>
    </row>
    <row r="153" customFormat="false" ht="15" hidden="false" customHeight="false" outlineLevel="0" collapsed="false">
      <c r="A153" s="14" t="s">
        <v>2034</v>
      </c>
      <c r="B153" s="14" t="n">
        <v>0</v>
      </c>
      <c r="C153" s="14" t="n">
        <v>70</v>
      </c>
      <c r="D153" s="42" t="n">
        <v>0</v>
      </c>
      <c r="E153" s="41" t="n">
        <v>45.97</v>
      </c>
      <c r="F153" s="5" t="s">
        <v>847</v>
      </c>
    </row>
    <row r="154" customFormat="false" ht="15" hidden="false" customHeight="false" outlineLevel="0" collapsed="false">
      <c r="A154" s="14" t="s">
        <v>2035</v>
      </c>
      <c r="B154" s="14" t="n">
        <v>0</v>
      </c>
      <c r="C154" s="14" t="n">
        <v>69</v>
      </c>
      <c r="D154" s="42" t="n">
        <v>0</v>
      </c>
      <c r="E154" s="41" t="n">
        <v>24.19</v>
      </c>
      <c r="F154" s="5" t="s">
        <v>849</v>
      </c>
    </row>
    <row r="155" customFormat="false" ht="15" hidden="false" customHeight="false" outlineLevel="0" collapsed="false">
      <c r="A155" s="14" t="s">
        <v>2036</v>
      </c>
      <c r="B155" s="14" t="n">
        <v>0</v>
      </c>
      <c r="C155" s="14" t="n">
        <v>68</v>
      </c>
      <c r="D155" s="42" t="n">
        <v>0</v>
      </c>
      <c r="E155" s="41" t="n">
        <v>13.43</v>
      </c>
      <c r="F155" s="5" t="s">
        <v>849</v>
      </c>
    </row>
    <row r="156" customFormat="false" ht="15" hidden="false" customHeight="false" outlineLevel="0" collapsed="false">
      <c r="A156" s="14" t="s">
        <v>2037</v>
      </c>
      <c r="B156" s="14" t="n">
        <v>0</v>
      </c>
      <c r="C156" s="14" t="n">
        <v>67</v>
      </c>
      <c r="D156" s="42" t="n">
        <v>0</v>
      </c>
      <c r="E156" s="41" t="n">
        <v>22.72</v>
      </c>
      <c r="F156" s="5" t="s">
        <v>849</v>
      </c>
    </row>
    <row r="157" customFormat="false" ht="15" hidden="false" customHeight="false" outlineLevel="0" collapsed="false">
      <c r="A157" s="14" t="s">
        <v>2038</v>
      </c>
      <c r="B157" s="14" t="n">
        <v>0</v>
      </c>
      <c r="C157" s="14" t="n">
        <v>67</v>
      </c>
      <c r="D157" s="42" t="n">
        <v>0</v>
      </c>
      <c r="E157" s="41" t="n">
        <v>51.91</v>
      </c>
      <c r="F157" s="5" t="s">
        <v>847</v>
      </c>
    </row>
    <row r="158" customFormat="false" ht="15" hidden="false" customHeight="false" outlineLevel="0" collapsed="false">
      <c r="A158" s="14" t="s">
        <v>2039</v>
      </c>
      <c r="B158" s="14" t="n">
        <v>0</v>
      </c>
      <c r="C158" s="14" t="n">
        <v>66</v>
      </c>
      <c r="D158" s="42" t="n">
        <v>0</v>
      </c>
      <c r="E158" s="41" t="n">
        <v>12.67</v>
      </c>
      <c r="F158" s="5" t="s">
        <v>849</v>
      </c>
    </row>
    <row r="159" customFormat="false" ht="15" hidden="false" customHeight="false" outlineLevel="0" collapsed="false">
      <c r="A159" s="14" t="s">
        <v>2040</v>
      </c>
      <c r="B159" s="14" t="n">
        <v>0</v>
      </c>
      <c r="C159" s="14" t="n">
        <v>66</v>
      </c>
      <c r="D159" s="42" t="n">
        <v>0</v>
      </c>
      <c r="E159" s="41" t="n">
        <v>18.3</v>
      </c>
      <c r="F159" s="5" t="s">
        <v>850</v>
      </c>
    </row>
    <row r="160" customFormat="false" ht="15" hidden="false" customHeight="false" outlineLevel="0" collapsed="false">
      <c r="A160" s="14" t="s">
        <v>2041</v>
      </c>
      <c r="B160" s="14" t="n">
        <v>0</v>
      </c>
      <c r="C160" s="14" t="n">
        <v>66</v>
      </c>
      <c r="D160" s="42" t="n">
        <v>0</v>
      </c>
      <c r="E160" s="41" t="n">
        <v>26.48</v>
      </c>
      <c r="F160" s="5" t="s">
        <v>849</v>
      </c>
    </row>
    <row r="161" customFormat="false" ht="15" hidden="false" customHeight="false" outlineLevel="0" collapsed="false">
      <c r="A161" s="14" t="s">
        <v>2042</v>
      </c>
      <c r="B161" s="14" t="n">
        <v>0</v>
      </c>
      <c r="C161" s="14" t="n">
        <v>64</v>
      </c>
      <c r="D161" s="42" t="n">
        <v>0</v>
      </c>
      <c r="E161" s="41" t="n">
        <v>15.33</v>
      </c>
      <c r="F161" s="5" t="s">
        <v>849</v>
      </c>
    </row>
    <row r="162" customFormat="false" ht="15" hidden="false" customHeight="false" outlineLevel="0" collapsed="false">
      <c r="A162" s="14" t="s">
        <v>2043</v>
      </c>
      <c r="B162" s="14" t="n">
        <v>0</v>
      </c>
      <c r="C162" s="14" t="n">
        <v>64</v>
      </c>
      <c r="D162" s="42" t="n">
        <v>0</v>
      </c>
      <c r="E162" s="41" t="n">
        <v>22.72</v>
      </c>
      <c r="F162" s="5" t="s">
        <v>849</v>
      </c>
    </row>
    <row r="163" customFormat="false" ht="15" hidden="false" customHeight="false" outlineLevel="0" collapsed="false">
      <c r="A163" s="14" t="s">
        <v>2044</v>
      </c>
      <c r="B163" s="14" t="n">
        <v>0</v>
      </c>
      <c r="C163" s="14" t="n">
        <v>63</v>
      </c>
      <c r="D163" s="42" t="n">
        <v>0</v>
      </c>
      <c r="E163" s="41" t="n">
        <v>7.7</v>
      </c>
      <c r="F163" s="5" t="s">
        <v>849</v>
      </c>
    </row>
    <row r="164" customFormat="false" ht="15" hidden="false" customHeight="false" outlineLevel="0" collapsed="false">
      <c r="A164" s="14" t="s">
        <v>2045</v>
      </c>
      <c r="B164" s="14" t="n">
        <v>0</v>
      </c>
      <c r="C164" s="14" t="n">
        <v>63</v>
      </c>
      <c r="D164" s="42" t="n">
        <v>0</v>
      </c>
      <c r="E164" s="41" t="n">
        <v>10.81</v>
      </c>
      <c r="F164" s="5" t="s">
        <v>850</v>
      </c>
    </row>
    <row r="165" customFormat="false" ht="15" hidden="false" customHeight="false" outlineLevel="0" collapsed="false">
      <c r="A165" s="14" t="s">
        <v>2046</v>
      </c>
      <c r="B165" s="14" t="n">
        <v>0</v>
      </c>
      <c r="C165" s="14" t="n">
        <v>63</v>
      </c>
      <c r="D165" s="42" t="n">
        <v>0</v>
      </c>
      <c r="E165" s="41" t="n">
        <v>16</v>
      </c>
      <c r="F165" s="5" t="s">
        <v>850</v>
      </c>
    </row>
    <row r="166" customFormat="false" ht="15" hidden="false" customHeight="false" outlineLevel="0" collapsed="false">
      <c r="A166" s="14" t="s">
        <v>2047</v>
      </c>
      <c r="B166" s="14" t="n">
        <v>0</v>
      </c>
      <c r="C166" s="14" t="n">
        <v>63</v>
      </c>
      <c r="D166" s="42" t="n">
        <v>0</v>
      </c>
      <c r="E166" s="41" t="n">
        <v>23.29</v>
      </c>
      <c r="F166" s="5" t="s">
        <v>849</v>
      </c>
    </row>
    <row r="167" customFormat="false" ht="15" hidden="false" customHeight="false" outlineLevel="0" collapsed="false">
      <c r="A167" s="14" t="s">
        <v>2048</v>
      </c>
      <c r="B167" s="14" t="n">
        <v>0</v>
      </c>
      <c r="C167" s="14" t="n">
        <v>61</v>
      </c>
      <c r="D167" s="42" t="n">
        <v>0</v>
      </c>
      <c r="E167" s="41" t="n">
        <v>10.43</v>
      </c>
      <c r="F167" s="5" t="s">
        <v>849</v>
      </c>
    </row>
    <row r="168" customFormat="false" ht="15" hidden="false" customHeight="false" outlineLevel="0" collapsed="false">
      <c r="A168" s="14" t="s">
        <v>2049</v>
      </c>
      <c r="B168" s="14" t="n">
        <v>0</v>
      </c>
      <c r="C168" s="14" t="n">
        <v>61</v>
      </c>
      <c r="D168" s="42" t="n">
        <v>0</v>
      </c>
      <c r="E168" s="41" t="n">
        <v>30.11</v>
      </c>
      <c r="F168" s="5" t="s">
        <v>849</v>
      </c>
    </row>
    <row r="169" customFormat="false" ht="15" hidden="false" customHeight="false" outlineLevel="0" collapsed="false">
      <c r="A169" s="14" t="s">
        <v>2050</v>
      </c>
      <c r="B169" s="14" t="n">
        <v>0</v>
      </c>
      <c r="C169" s="14" t="n">
        <v>60</v>
      </c>
      <c r="D169" s="42" t="n">
        <v>0</v>
      </c>
      <c r="E169" s="41" t="n">
        <v>10.6</v>
      </c>
      <c r="F169" s="5" t="s">
        <v>849</v>
      </c>
    </row>
    <row r="170" customFormat="false" ht="15" hidden="false" customHeight="false" outlineLevel="0" collapsed="false">
      <c r="A170" s="14" t="s">
        <v>2051</v>
      </c>
      <c r="B170" s="14" t="n">
        <v>0</v>
      </c>
      <c r="C170" s="14" t="n">
        <v>60</v>
      </c>
      <c r="D170" s="42" t="n">
        <v>0</v>
      </c>
      <c r="E170" s="41" t="n">
        <v>34.45</v>
      </c>
      <c r="F170" s="5" t="s">
        <v>849</v>
      </c>
    </row>
    <row r="171" customFormat="false" ht="15" hidden="false" customHeight="false" outlineLevel="0" collapsed="false">
      <c r="A171" s="14" t="s">
        <v>2052</v>
      </c>
      <c r="B171" s="14" t="n">
        <v>0</v>
      </c>
      <c r="C171" s="14" t="n">
        <v>59</v>
      </c>
      <c r="D171" s="42" t="n">
        <v>0</v>
      </c>
      <c r="E171" s="41" t="n">
        <v>9</v>
      </c>
      <c r="F171" s="5" t="s">
        <v>849</v>
      </c>
    </row>
    <row r="172" customFormat="false" ht="15" hidden="false" customHeight="false" outlineLevel="0" collapsed="false">
      <c r="A172" s="14" t="s">
        <v>2053</v>
      </c>
      <c r="B172" s="14" t="n">
        <v>0</v>
      </c>
      <c r="C172" s="14" t="n">
        <v>59</v>
      </c>
      <c r="D172" s="42" t="n">
        <v>0</v>
      </c>
      <c r="E172" s="41" t="n">
        <v>11.08</v>
      </c>
      <c r="F172" s="5" t="s">
        <v>849</v>
      </c>
    </row>
    <row r="173" customFormat="false" ht="15" hidden="false" customHeight="false" outlineLevel="0" collapsed="false">
      <c r="A173" s="14" t="s">
        <v>2054</v>
      </c>
      <c r="B173" s="14" t="n">
        <v>0</v>
      </c>
      <c r="C173" s="14" t="n">
        <v>59</v>
      </c>
      <c r="D173" s="42" t="n">
        <v>0</v>
      </c>
      <c r="E173" s="41" t="n">
        <v>18.22</v>
      </c>
      <c r="F173" s="5" t="s">
        <v>852</v>
      </c>
    </row>
    <row r="174" customFormat="false" ht="15" hidden="false" customHeight="false" outlineLevel="0" collapsed="false">
      <c r="A174" s="14" t="s">
        <v>2055</v>
      </c>
      <c r="B174" s="14" t="n">
        <v>0</v>
      </c>
      <c r="C174" s="14" t="n">
        <v>59</v>
      </c>
      <c r="D174" s="42" t="n">
        <v>0</v>
      </c>
      <c r="E174" s="41" t="n">
        <v>20.92</v>
      </c>
      <c r="F174" s="5" t="s">
        <v>849</v>
      </c>
    </row>
    <row r="175" customFormat="false" ht="15" hidden="false" customHeight="false" outlineLevel="0" collapsed="false">
      <c r="A175" s="14" t="s">
        <v>2056</v>
      </c>
      <c r="B175" s="14" t="n">
        <v>0</v>
      </c>
      <c r="C175" s="14" t="n">
        <v>58</v>
      </c>
      <c r="D175" s="42" t="n">
        <v>0</v>
      </c>
      <c r="E175" s="41" t="n">
        <v>20.45</v>
      </c>
      <c r="F175" s="5" t="s">
        <v>850</v>
      </c>
    </row>
    <row r="176" customFormat="false" ht="15" hidden="false" customHeight="false" outlineLevel="0" collapsed="false">
      <c r="A176" s="14" t="s">
        <v>2057</v>
      </c>
      <c r="B176" s="14" t="n">
        <v>0</v>
      </c>
      <c r="C176" s="14" t="n">
        <v>58</v>
      </c>
      <c r="D176" s="42" t="n">
        <v>0</v>
      </c>
      <c r="E176" s="41" t="n">
        <v>39.98</v>
      </c>
      <c r="F176" s="5" t="s">
        <v>849</v>
      </c>
    </row>
    <row r="177" customFormat="false" ht="15" hidden="false" customHeight="false" outlineLevel="0" collapsed="false">
      <c r="A177" s="14" t="s">
        <v>2058</v>
      </c>
      <c r="B177" s="14" t="n">
        <v>0</v>
      </c>
      <c r="C177" s="14" t="n">
        <v>57</v>
      </c>
      <c r="D177" s="42" t="n">
        <v>0</v>
      </c>
      <c r="E177" s="41" t="n">
        <v>9.89</v>
      </c>
      <c r="F177" s="5" t="s">
        <v>849</v>
      </c>
    </row>
    <row r="178" customFormat="false" ht="15" hidden="false" customHeight="false" outlineLevel="0" collapsed="false">
      <c r="A178" s="14" t="s">
        <v>2059</v>
      </c>
      <c r="B178" s="14" t="n">
        <v>0</v>
      </c>
      <c r="C178" s="14" t="n">
        <v>57</v>
      </c>
      <c r="D178" s="42" t="n">
        <v>0</v>
      </c>
      <c r="E178" s="41" t="n">
        <v>14.07</v>
      </c>
      <c r="F178" s="5" t="s">
        <v>849</v>
      </c>
    </row>
    <row r="179" customFormat="false" ht="15" hidden="false" customHeight="false" outlineLevel="0" collapsed="false">
      <c r="A179" s="14" t="s">
        <v>2060</v>
      </c>
      <c r="B179" s="14" t="n">
        <v>0</v>
      </c>
      <c r="C179" s="14" t="n">
        <v>57</v>
      </c>
      <c r="D179" s="42" t="n">
        <v>0</v>
      </c>
      <c r="E179" s="41" t="n">
        <v>14.53</v>
      </c>
      <c r="F179" s="5" t="s">
        <v>850</v>
      </c>
    </row>
    <row r="180" customFormat="false" ht="15" hidden="false" customHeight="false" outlineLevel="0" collapsed="false">
      <c r="A180" s="14" t="s">
        <v>2061</v>
      </c>
      <c r="B180" s="14" t="n">
        <v>0</v>
      </c>
      <c r="C180" s="14" t="n">
        <v>57</v>
      </c>
      <c r="D180" s="42" t="n">
        <v>0</v>
      </c>
      <c r="E180" s="41" t="n">
        <v>38.23</v>
      </c>
      <c r="F180" s="5" t="s">
        <v>849</v>
      </c>
    </row>
    <row r="181" customFormat="false" ht="15" hidden="false" customHeight="false" outlineLevel="0" collapsed="false">
      <c r="A181" s="14" t="s">
        <v>2062</v>
      </c>
      <c r="B181" s="14" t="n">
        <v>0</v>
      </c>
      <c r="C181" s="14" t="n">
        <v>56</v>
      </c>
      <c r="D181" s="42" t="n">
        <v>0</v>
      </c>
      <c r="E181" s="41" t="n">
        <v>26.82</v>
      </c>
      <c r="F181" s="5" t="s">
        <v>849</v>
      </c>
    </row>
    <row r="182" customFormat="false" ht="15" hidden="false" customHeight="false" outlineLevel="0" collapsed="false">
      <c r="A182" s="14" t="s">
        <v>2063</v>
      </c>
      <c r="B182" s="14" t="n">
        <v>0</v>
      </c>
      <c r="C182" s="14" t="n">
        <v>55</v>
      </c>
      <c r="D182" s="42" t="n">
        <v>0</v>
      </c>
      <c r="E182" s="41" t="n">
        <v>16.93</v>
      </c>
      <c r="F182" s="5" t="s">
        <v>850</v>
      </c>
    </row>
    <row r="183" customFormat="false" ht="15" hidden="false" customHeight="false" outlineLevel="0" collapsed="false">
      <c r="A183" s="14" t="s">
        <v>2064</v>
      </c>
      <c r="B183" s="14" t="n">
        <v>0</v>
      </c>
      <c r="C183" s="14" t="n">
        <v>55</v>
      </c>
      <c r="D183" s="42" t="n">
        <v>0</v>
      </c>
      <c r="E183" s="41" t="n">
        <v>16.98</v>
      </c>
      <c r="F183" s="5" t="s">
        <v>849</v>
      </c>
    </row>
    <row r="184" customFormat="false" ht="15" hidden="false" customHeight="false" outlineLevel="0" collapsed="false">
      <c r="A184" s="14" t="s">
        <v>2065</v>
      </c>
      <c r="B184" s="14" t="n">
        <v>0</v>
      </c>
      <c r="C184" s="14" t="n">
        <v>54</v>
      </c>
      <c r="D184" s="42" t="n">
        <v>0</v>
      </c>
      <c r="E184" s="41" t="n">
        <v>16.93</v>
      </c>
      <c r="F184" s="5" t="s">
        <v>849</v>
      </c>
    </row>
    <row r="185" customFormat="false" ht="15" hidden="false" customHeight="false" outlineLevel="0" collapsed="false">
      <c r="A185" s="14" t="s">
        <v>2066</v>
      </c>
      <c r="B185" s="14" t="n">
        <v>0</v>
      </c>
      <c r="C185" s="14" t="n">
        <v>54</v>
      </c>
      <c r="D185" s="42" t="n">
        <v>0</v>
      </c>
      <c r="E185" s="41" t="n">
        <v>21.8</v>
      </c>
      <c r="F185" s="5" t="s">
        <v>849</v>
      </c>
    </row>
    <row r="186" customFormat="false" ht="15" hidden="false" customHeight="false" outlineLevel="0" collapsed="false">
      <c r="A186" s="14" t="s">
        <v>2067</v>
      </c>
      <c r="B186" s="14" t="n">
        <v>0</v>
      </c>
      <c r="C186" s="14" t="n">
        <v>53</v>
      </c>
      <c r="D186" s="42" t="n">
        <v>0</v>
      </c>
      <c r="E186" s="41" t="n">
        <v>15.04</v>
      </c>
      <c r="F186" s="5" t="s">
        <v>849</v>
      </c>
    </row>
    <row r="187" customFormat="false" ht="15" hidden="false" customHeight="false" outlineLevel="0" collapsed="false">
      <c r="A187" s="14" t="s">
        <v>2068</v>
      </c>
      <c r="B187" s="14" t="n">
        <v>0</v>
      </c>
      <c r="C187" s="14" t="n">
        <v>53</v>
      </c>
      <c r="D187" s="42" t="n">
        <v>0</v>
      </c>
      <c r="E187" s="41" t="n">
        <v>30.13</v>
      </c>
      <c r="F187" s="5" t="s">
        <v>849</v>
      </c>
    </row>
    <row r="188" customFormat="false" ht="15" hidden="false" customHeight="false" outlineLevel="0" collapsed="false">
      <c r="A188" s="14" t="s">
        <v>2069</v>
      </c>
      <c r="B188" s="14" t="n">
        <v>0</v>
      </c>
      <c r="C188" s="14" t="n">
        <v>53</v>
      </c>
      <c r="D188" s="42" t="n">
        <v>0</v>
      </c>
      <c r="E188" s="41" t="n">
        <v>34.7</v>
      </c>
      <c r="F188" s="5" t="s">
        <v>847</v>
      </c>
    </row>
    <row r="189" customFormat="false" ht="15" hidden="false" customHeight="false" outlineLevel="0" collapsed="false">
      <c r="A189" s="14" t="s">
        <v>2070</v>
      </c>
      <c r="B189" s="14" t="n">
        <v>0</v>
      </c>
      <c r="C189" s="14" t="n">
        <v>52</v>
      </c>
      <c r="D189" s="42" t="n">
        <v>0</v>
      </c>
      <c r="E189" s="41" t="n">
        <v>33.04</v>
      </c>
      <c r="F189" s="5" t="s">
        <v>849</v>
      </c>
    </row>
    <row r="190" customFormat="false" ht="15" hidden="false" customHeight="false" outlineLevel="0" collapsed="false">
      <c r="A190" s="14" t="s">
        <v>2071</v>
      </c>
      <c r="B190" s="14" t="n">
        <v>0</v>
      </c>
      <c r="C190" s="14" t="n">
        <v>51</v>
      </c>
      <c r="D190" s="42" t="n">
        <v>0</v>
      </c>
      <c r="E190" s="41" t="n">
        <v>14.25</v>
      </c>
      <c r="F190" s="5" t="s">
        <v>850</v>
      </c>
    </row>
    <row r="191" customFormat="false" ht="15" hidden="false" customHeight="false" outlineLevel="0" collapsed="false">
      <c r="A191" s="14" t="s">
        <v>2072</v>
      </c>
      <c r="B191" s="14" t="n">
        <v>0</v>
      </c>
      <c r="C191" s="14" t="n">
        <v>51</v>
      </c>
      <c r="D191" s="42" t="n">
        <v>0</v>
      </c>
      <c r="E191" s="41" t="n">
        <v>23.2</v>
      </c>
      <c r="F191" s="5" t="s">
        <v>849</v>
      </c>
    </row>
    <row r="192" customFormat="false" ht="15" hidden="false" customHeight="false" outlineLevel="0" collapsed="false">
      <c r="A192" s="14" t="s">
        <v>2073</v>
      </c>
      <c r="B192" s="14" t="n">
        <v>0</v>
      </c>
      <c r="C192" s="14" t="n">
        <v>51</v>
      </c>
      <c r="D192" s="42" t="n">
        <v>0</v>
      </c>
      <c r="E192" s="41" t="n">
        <v>25.96</v>
      </c>
      <c r="F192" s="5" t="s">
        <v>849</v>
      </c>
    </row>
    <row r="193" customFormat="false" ht="15" hidden="false" customHeight="false" outlineLevel="0" collapsed="false">
      <c r="A193" s="14" t="s">
        <v>2074</v>
      </c>
      <c r="B193" s="14" t="n">
        <v>0</v>
      </c>
      <c r="C193" s="14" t="n">
        <v>50</v>
      </c>
      <c r="D193" s="42" t="n">
        <v>0</v>
      </c>
      <c r="E193" s="41" t="n">
        <v>14.24</v>
      </c>
      <c r="F193" s="5" t="s">
        <v>849</v>
      </c>
    </row>
    <row r="194" customFormat="false" ht="15" hidden="false" customHeight="false" outlineLevel="0" collapsed="false">
      <c r="A194" s="14" t="s">
        <v>2075</v>
      </c>
      <c r="B194" s="14" t="n">
        <v>0</v>
      </c>
      <c r="C194" s="14" t="n">
        <v>50</v>
      </c>
      <c r="D194" s="42" t="n">
        <v>0</v>
      </c>
      <c r="E194" s="41" t="n">
        <v>15.08</v>
      </c>
      <c r="F194" s="5" t="s">
        <v>849</v>
      </c>
    </row>
    <row r="195" customFormat="false" ht="15" hidden="false" customHeight="false" outlineLevel="0" collapsed="false">
      <c r="A195" s="14" t="s">
        <v>2076</v>
      </c>
      <c r="B195" s="14" t="n">
        <v>0</v>
      </c>
      <c r="C195" s="14" t="n">
        <v>50</v>
      </c>
      <c r="D195" s="42" t="n">
        <v>0</v>
      </c>
      <c r="E195" s="41" t="n">
        <v>17.56</v>
      </c>
      <c r="F195" s="5" t="s">
        <v>849</v>
      </c>
    </row>
    <row r="196" customFormat="false" ht="15" hidden="false" customHeight="false" outlineLevel="0" collapsed="false">
      <c r="A196" s="14" t="s">
        <v>2077</v>
      </c>
      <c r="B196" s="14" t="n">
        <v>0</v>
      </c>
      <c r="C196" s="14" t="n">
        <v>50</v>
      </c>
      <c r="D196" s="42" t="n">
        <v>0</v>
      </c>
      <c r="E196" s="41" t="n">
        <v>34.04</v>
      </c>
      <c r="F196" s="5" t="s">
        <v>852</v>
      </c>
    </row>
    <row r="197" customFormat="false" ht="15" hidden="false" customHeight="false" outlineLevel="0" collapsed="false">
      <c r="A197" s="14" t="s">
        <v>2078</v>
      </c>
      <c r="B197" s="14" t="n">
        <v>0</v>
      </c>
      <c r="C197" s="14" t="n">
        <v>49</v>
      </c>
      <c r="D197" s="42" t="n">
        <v>0</v>
      </c>
      <c r="E197" s="41" t="n">
        <v>19.59</v>
      </c>
      <c r="F197" s="5" t="s">
        <v>850</v>
      </c>
    </row>
    <row r="198" customFormat="false" ht="15" hidden="false" customHeight="false" outlineLevel="0" collapsed="false">
      <c r="A198" s="14" t="s">
        <v>2079</v>
      </c>
      <c r="B198" s="14" t="n">
        <v>0</v>
      </c>
      <c r="C198" s="14" t="n">
        <v>49</v>
      </c>
      <c r="D198" s="42" t="n">
        <v>0</v>
      </c>
      <c r="E198" s="41" t="n">
        <v>20.73</v>
      </c>
      <c r="F198" s="5" t="s">
        <v>849</v>
      </c>
    </row>
    <row r="199" customFormat="false" ht="15" hidden="false" customHeight="false" outlineLevel="0" collapsed="false">
      <c r="A199" s="14" t="s">
        <v>2080</v>
      </c>
      <c r="B199" s="14" t="n">
        <v>0</v>
      </c>
      <c r="C199" s="14" t="n">
        <v>48</v>
      </c>
      <c r="D199" s="42" t="n">
        <v>0</v>
      </c>
      <c r="E199" s="41" t="n">
        <v>17.58</v>
      </c>
      <c r="F199" s="5" t="s">
        <v>849</v>
      </c>
    </row>
    <row r="200" customFormat="false" ht="15" hidden="false" customHeight="false" outlineLevel="0" collapsed="false">
      <c r="A200" s="14" t="s">
        <v>2081</v>
      </c>
      <c r="B200" s="14" t="n">
        <v>0</v>
      </c>
      <c r="C200" s="14" t="n">
        <v>48</v>
      </c>
      <c r="D200" s="42" t="n">
        <v>0</v>
      </c>
      <c r="E200" s="41" t="n">
        <v>25.62</v>
      </c>
      <c r="F200" s="5" t="s">
        <v>849</v>
      </c>
    </row>
    <row r="201" customFormat="false" ht="15" hidden="false" customHeight="false" outlineLevel="0" collapsed="false">
      <c r="A201" s="14" t="s">
        <v>2082</v>
      </c>
      <c r="B201" s="14" t="n">
        <v>0</v>
      </c>
      <c r="C201" s="14" t="n">
        <v>48</v>
      </c>
      <c r="D201" s="42" t="n">
        <v>0</v>
      </c>
      <c r="E201" s="41" t="n">
        <v>48.33</v>
      </c>
      <c r="F201" s="5" t="s">
        <v>847</v>
      </c>
    </row>
    <row r="202" customFormat="false" ht="15" hidden="false" customHeight="false" outlineLevel="0" collapsed="false">
      <c r="A202" s="14" t="s">
        <v>2083</v>
      </c>
      <c r="B202" s="14" t="n">
        <v>0</v>
      </c>
      <c r="C202" s="14" t="n">
        <v>47</v>
      </c>
      <c r="D202" s="42" t="n">
        <v>0</v>
      </c>
      <c r="E202" s="41" t="n">
        <v>11.11</v>
      </c>
      <c r="F202" s="5" t="s">
        <v>849</v>
      </c>
    </row>
    <row r="203" customFormat="false" ht="15" hidden="false" customHeight="false" outlineLevel="0" collapsed="false">
      <c r="A203" s="14" t="s">
        <v>2084</v>
      </c>
      <c r="B203" s="14" t="n">
        <v>0</v>
      </c>
      <c r="C203" s="14" t="n">
        <v>47</v>
      </c>
      <c r="D203" s="42" t="n">
        <v>0</v>
      </c>
      <c r="E203" s="41" t="n">
        <v>11.4</v>
      </c>
      <c r="F203" s="5" t="s">
        <v>849</v>
      </c>
    </row>
    <row r="204" customFormat="false" ht="15" hidden="false" customHeight="false" outlineLevel="0" collapsed="false">
      <c r="A204" s="14" t="s">
        <v>2085</v>
      </c>
      <c r="B204" s="14" t="n">
        <v>0</v>
      </c>
      <c r="C204" s="14" t="n">
        <v>46</v>
      </c>
      <c r="D204" s="42" t="n">
        <v>0</v>
      </c>
      <c r="E204" s="41" t="n">
        <v>14.2</v>
      </c>
      <c r="F204" s="5" t="s">
        <v>849</v>
      </c>
    </row>
    <row r="205" customFormat="false" ht="15" hidden="false" customHeight="false" outlineLevel="0" collapsed="false">
      <c r="A205" s="14" t="s">
        <v>2086</v>
      </c>
      <c r="B205" s="14" t="n">
        <v>0</v>
      </c>
      <c r="C205" s="14" t="n">
        <v>46</v>
      </c>
      <c r="D205" s="42" t="n">
        <v>0</v>
      </c>
      <c r="E205" s="41" t="n">
        <v>25.46</v>
      </c>
      <c r="F205" s="5" t="s">
        <v>849</v>
      </c>
    </row>
    <row r="206" customFormat="false" ht="15" hidden="false" customHeight="false" outlineLevel="0" collapsed="false">
      <c r="A206" s="14" t="s">
        <v>2087</v>
      </c>
      <c r="B206" s="14" t="n">
        <v>0</v>
      </c>
      <c r="C206" s="14" t="n">
        <v>46</v>
      </c>
      <c r="D206" s="42" t="n">
        <v>0</v>
      </c>
      <c r="E206" s="41" t="n">
        <v>39.33</v>
      </c>
      <c r="F206" s="5" t="s">
        <v>847</v>
      </c>
    </row>
    <row r="207" customFormat="false" ht="15" hidden="false" customHeight="false" outlineLevel="0" collapsed="false">
      <c r="A207" s="14" t="s">
        <v>2088</v>
      </c>
      <c r="B207" s="14" t="n">
        <v>0</v>
      </c>
      <c r="C207" s="14" t="n">
        <v>45</v>
      </c>
      <c r="D207" s="42" t="n">
        <v>0</v>
      </c>
      <c r="E207" s="41" t="n">
        <v>9.16</v>
      </c>
      <c r="F207" s="5" t="s">
        <v>849</v>
      </c>
    </row>
    <row r="208" customFormat="false" ht="15" hidden="false" customHeight="false" outlineLevel="0" collapsed="false">
      <c r="A208" s="14" t="s">
        <v>2089</v>
      </c>
      <c r="B208" s="14" t="n">
        <v>0</v>
      </c>
      <c r="C208" s="14" t="n">
        <v>45</v>
      </c>
      <c r="D208" s="42" t="n">
        <v>0</v>
      </c>
      <c r="E208" s="41" t="n">
        <v>9.4</v>
      </c>
      <c r="F208" s="5" t="s">
        <v>849</v>
      </c>
    </row>
    <row r="209" customFormat="false" ht="15" hidden="false" customHeight="false" outlineLevel="0" collapsed="false">
      <c r="A209" s="14" t="s">
        <v>2090</v>
      </c>
      <c r="B209" s="14" t="n">
        <v>0</v>
      </c>
      <c r="C209" s="14" t="n">
        <v>45</v>
      </c>
      <c r="D209" s="42" t="n">
        <v>0</v>
      </c>
      <c r="E209" s="41" t="n">
        <v>10.36</v>
      </c>
      <c r="F209" s="5" t="s">
        <v>849</v>
      </c>
    </row>
    <row r="210" customFormat="false" ht="15" hidden="false" customHeight="false" outlineLevel="0" collapsed="false">
      <c r="A210" s="14" t="s">
        <v>2091</v>
      </c>
      <c r="B210" s="14" t="n">
        <v>0</v>
      </c>
      <c r="C210" s="14" t="n">
        <v>45</v>
      </c>
      <c r="D210" s="42" t="n">
        <v>0</v>
      </c>
      <c r="E210" s="41" t="n">
        <v>11.4</v>
      </c>
      <c r="F210" s="5" t="s">
        <v>849</v>
      </c>
    </row>
    <row r="211" customFormat="false" ht="15" hidden="false" customHeight="false" outlineLevel="0" collapsed="false">
      <c r="A211" s="14" t="s">
        <v>2092</v>
      </c>
      <c r="B211" s="14" t="n">
        <v>0</v>
      </c>
      <c r="C211" s="14" t="n">
        <v>45</v>
      </c>
      <c r="D211" s="42" t="n">
        <v>0</v>
      </c>
      <c r="E211" s="41" t="n">
        <v>20.16</v>
      </c>
      <c r="F211" s="5" t="s">
        <v>849</v>
      </c>
    </row>
    <row r="212" customFormat="false" ht="15" hidden="false" customHeight="false" outlineLevel="0" collapsed="false">
      <c r="A212" s="14" t="s">
        <v>2093</v>
      </c>
      <c r="B212" s="14" t="n">
        <v>0</v>
      </c>
      <c r="C212" s="14" t="n">
        <v>45</v>
      </c>
      <c r="D212" s="42" t="n">
        <v>0</v>
      </c>
      <c r="E212" s="41" t="n">
        <v>20.53</v>
      </c>
      <c r="F212" s="5" t="s">
        <v>849</v>
      </c>
    </row>
    <row r="213" customFormat="false" ht="15" hidden="false" customHeight="false" outlineLevel="0" collapsed="false">
      <c r="A213" s="14" t="s">
        <v>2094</v>
      </c>
      <c r="B213" s="14" t="n">
        <v>0</v>
      </c>
      <c r="C213" s="14" t="n">
        <v>45</v>
      </c>
      <c r="D213" s="42" t="n">
        <v>0</v>
      </c>
      <c r="E213" s="41" t="n">
        <v>25.62</v>
      </c>
      <c r="F213" s="5" t="s">
        <v>849</v>
      </c>
    </row>
    <row r="214" customFormat="false" ht="15" hidden="false" customHeight="false" outlineLevel="0" collapsed="false">
      <c r="A214" s="14" t="s">
        <v>2095</v>
      </c>
      <c r="B214" s="14" t="n">
        <v>0</v>
      </c>
      <c r="C214" s="14" t="n">
        <v>45</v>
      </c>
      <c r="D214" s="42" t="n">
        <v>0</v>
      </c>
      <c r="E214" s="41" t="n">
        <v>40.98</v>
      </c>
      <c r="F214" s="5" t="s">
        <v>847</v>
      </c>
    </row>
    <row r="215" customFormat="false" ht="15" hidden="false" customHeight="false" outlineLevel="0" collapsed="false">
      <c r="A215" s="14" t="s">
        <v>2096</v>
      </c>
      <c r="B215" s="14" t="n">
        <v>0</v>
      </c>
      <c r="C215" s="14" t="n">
        <v>44</v>
      </c>
      <c r="D215" s="42" t="n">
        <v>0</v>
      </c>
      <c r="E215" s="41" t="n">
        <v>8.48</v>
      </c>
      <c r="F215" s="5" t="s">
        <v>849</v>
      </c>
    </row>
    <row r="216" customFormat="false" ht="15" hidden="false" customHeight="false" outlineLevel="0" collapsed="false">
      <c r="A216" s="14" t="s">
        <v>2097</v>
      </c>
      <c r="B216" s="14" t="n">
        <v>0</v>
      </c>
      <c r="C216" s="14" t="n">
        <v>44</v>
      </c>
      <c r="D216" s="42" t="n">
        <v>0</v>
      </c>
      <c r="E216" s="41" t="n">
        <v>9.55</v>
      </c>
      <c r="F216" s="5" t="s">
        <v>849</v>
      </c>
    </row>
    <row r="217" customFormat="false" ht="15" hidden="false" customHeight="false" outlineLevel="0" collapsed="false">
      <c r="A217" s="14" t="s">
        <v>2098</v>
      </c>
      <c r="B217" s="14" t="n">
        <v>0</v>
      </c>
      <c r="C217" s="14" t="n">
        <v>43</v>
      </c>
      <c r="D217" s="42" t="n">
        <v>0</v>
      </c>
      <c r="E217" s="41" t="n">
        <v>8.6</v>
      </c>
      <c r="F217" s="5" t="s">
        <v>849</v>
      </c>
    </row>
    <row r="218" customFormat="false" ht="15" hidden="false" customHeight="false" outlineLevel="0" collapsed="false">
      <c r="A218" s="14" t="s">
        <v>2099</v>
      </c>
      <c r="B218" s="14" t="n">
        <v>0</v>
      </c>
      <c r="C218" s="14" t="n">
        <v>43</v>
      </c>
      <c r="D218" s="42" t="n">
        <v>0</v>
      </c>
      <c r="E218" s="41" t="n">
        <v>9.23</v>
      </c>
      <c r="F218" s="5" t="s">
        <v>849</v>
      </c>
    </row>
    <row r="219" customFormat="false" ht="15" hidden="false" customHeight="false" outlineLevel="0" collapsed="false">
      <c r="A219" s="14" t="s">
        <v>2100</v>
      </c>
      <c r="B219" s="14" t="n">
        <v>0</v>
      </c>
      <c r="C219" s="14" t="n">
        <v>43</v>
      </c>
      <c r="D219" s="42" t="n">
        <v>0</v>
      </c>
      <c r="E219" s="41" t="n">
        <v>20.21</v>
      </c>
      <c r="F219" s="5" t="s">
        <v>849</v>
      </c>
    </row>
    <row r="220" customFormat="false" ht="15" hidden="false" customHeight="false" outlineLevel="0" collapsed="false">
      <c r="A220" s="14" t="s">
        <v>2101</v>
      </c>
      <c r="B220" s="14" t="n">
        <v>0</v>
      </c>
      <c r="C220" s="14" t="n">
        <v>42</v>
      </c>
      <c r="D220" s="42" t="n">
        <v>0</v>
      </c>
      <c r="E220" s="41" t="n">
        <v>11.45</v>
      </c>
      <c r="F220" s="5" t="s">
        <v>849</v>
      </c>
    </row>
    <row r="221" customFormat="false" ht="15" hidden="false" customHeight="false" outlineLevel="0" collapsed="false">
      <c r="A221" s="14" t="s">
        <v>2102</v>
      </c>
      <c r="B221" s="14" t="n">
        <v>0</v>
      </c>
      <c r="C221" s="14" t="n">
        <v>42</v>
      </c>
      <c r="D221" s="42" t="n">
        <v>0</v>
      </c>
      <c r="E221" s="41" t="n">
        <v>19.74</v>
      </c>
      <c r="F221" s="5" t="s">
        <v>849</v>
      </c>
    </row>
    <row r="222" customFormat="false" ht="15" hidden="false" customHeight="false" outlineLevel="0" collapsed="false">
      <c r="A222" s="14" t="s">
        <v>2103</v>
      </c>
      <c r="B222" s="14" t="n">
        <v>0</v>
      </c>
      <c r="C222" s="14" t="n">
        <v>42</v>
      </c>
      <c r="D222" s="42" t="n">
        <v>0</v>
      </c>
      <c r="E222" s="41" t="n">
        <v>41.07</v>
      </c>
      <c r="F222" s="5" t="s">
        <v>849</v>
      </c>
    </row>
    <row r="223" customFormat="false" ht="15" hidden="false" customHeight="false" outlineLevel="0" collapsed="false">
      <c r="A223" s="14" t="s">
        <v>2104</v>
      </c>
      <c r="B223" s="14" t="n">
        <v>0</v>
      </c>
      <c r="C223" s="14" t="n">
        <v>41</v>
      </c>
      <c r="D223" s="42" t="n">
        <v>0</v>
      </c>
      <c r="E223" s="41" t="n">
        <v>10</v>
      </c>
      <c r="F223" s="5" t="s">
        <v>849</v>
      </c>
    </row>
    <row r="224" customFormat="false" ht="15" hidden="false" customHeight="false" outlineLevel="0" collapsed="false">
      <c r="A224" s="14" t="s">
        <v>2105</v>
      </c>
      <c r="B224" s="14" t="n">
        <v>0</v>
      </c>
      <c r="C224" s="14" t="n">
        <v>41</v>
      </c>
      <c r="D224" s="42" t="n">
        <v>0</v>
      </c>
      <c r="E224" s="41" t="n">
        <v>20.76</v>
      </c>
      <c r="F224" s="5" t="s">
        <v>849</v>
      </c>
    </row>
    <row r="225" customFormat="false" ht="15" hidden="false" customHeight="false" outlineLevel="0" collapsed="false">
      <c r="A225" s="14" t="s">
        <v>2106</v>
      </c>
      <c r="B225" s="14" t="n">
        <v>0</v>
      </c>
      <c r="C225" s="14" t="n">
        <v>40</v>
      </c>
      <c r="D225" s="42" t="n">
        <v>0</v>
      </c>
      <c r="E225" s="41" t="n">
        <v>18.18</v>
      </c>
      <c r="F225" s="5" t="s">
        <v>849</v>
      </c>
    </row>
    <row r="226" customFormat="false" ht="15" hidden="false" customHeight="false" outlineLevel="0" collapsed="false">
      <c r="A226" s="14" t="s">
        <v>2107</v>
      </c>
      <c r="B226" s="14" t="n">
        <v>0</v>
      </c>
      <c r="C226" s="14" t="n">
        <v>39</v>
      </c>
      <c r="D226" s="42" t="n">
        <v>0</v>
      </c>
      <c r="E226" s="41" t="n">
        <v>15.82</v>
      </c>
      <c r="F226" s="5" t="s">
        <v>849</v>
      </c>
    </row>
    <row r="227" customFormat="false" ht="15" hidden="false" customHeight="false" outlineLevel="0" collapsed="false">
      <c r="A227" s="14" t="s">
        <v>2108</v>
      </c>
      <c r="B227" s="14" t="n">
        <v>0</v>
      </c>
      <c r="C227" s="14" t="n">
        <v>39</v>
      </c>
      <c r="D227" s="42" t="n">
        <v>0</v>
      </c>
      <c r="E227" s="41" t="n">
        <v>21.31</v>
      </c>
      <c r="F227" s="5" t="s">
        <v>849</v>
      </c>
    </row>
    <row r="228" customFormat="false" ht="15" hidden="false" customHeight="false" outlineLevel="0" collapsed="false">
      <c r="A228" s="14" t="s">
        <v>2109</v>
      </c>
      <c r="B228" s="14" t="n">
        <v>0</v>
      </c>
      <c r="C228" s="14" t="n">
        <v>39</v>
      </c>
      <c r="D228" s="42" t="n">
        <v>0</v>
      </c>
      <c r="E228" s="41" t="n">
        <v>23.18</v>
      </c>
      <c r="F228" s="5" t="s">
        <v>849</v>
      </c>
    </row>
    <row r="229" customFormat="false" ht="15" hidden="false" customHeight="false" outlineLevel="0" collapsed="false">
      <c r="A229" s="14" t="s">
        <v>2110</v>
      </c>
      <c r="B229" s="14" t="n">
        <v>0</v>
      </c>
      <c r="C229" s="14" t="n">
        <v>38</v>
      </c>
      <c r="D229" s="42" t="n">
        <v>0</v>
      </c>
      <c r="E229" s="41" t="n">
        <v>11.05</v>
      </c>
      <c r="F229" s="5" t="s">
        <v>848</v>
      </c>
    </row>
    <row r="230" customFormat="false" ht="15" hidden="false" customHeight="false" outlineLevel="0" collapsed="false">
      <c r="A230" s="14" t="s">
        <v>2111</v>
      </c>
      <c r="B230" s="14" t="n">
        <v>0</v>
      </c>
      <c r="C230" s="14" t="n">
        <v>38</v>
      </c>
      <c r="D230" s="42" t="n">
        <v>0</v>
      </c>
      <c r="E230" s="41" t="n">
        <v>20.87</v>
      </c>
      <c r="F230" s="5" t="s">
        <v>849</v>
      </c>
    </row>
    <row r="231" customFormat="false" ht="15" hidden="false" customHeight="false" outlineLevel="0" collapsed="false">
      <c r="A231" s="14" t="s">
        <v>2112</v>
      </c>
      <c r="B231" s="14" t="n">
        <v>0</v>
      </c>
      <c r="C231" s="14" t="n">
        <v>38</v>
      </c>
      <c r="D231" s="42" t="n">
        <v>0</v>
      </c>
      <c r="E231" s="41" t="n">
        <v>21.58</v>
      </c>
      <c r="F231" s="5" t="s">
        <v>849</v>
      </c>
    </row>
    <row r="232" customFormat="false" ht="15" hidden="false" customHeight="false" outlineLevel="0" collapsed="false">
      <c r="A232" s="14" t="s">
        <v>2113</v>
      </c>
      <c r="B232" s="14" t="n">
        <v>0</v>
      </c>
      <c r="C232" s="14" t="n">
        <v>38</v>
      </c>
      <c r="D232" s="42" t="n">
        <v>0</v>
      </c>
      <c r="E232" s="41" t="n">
        <v>27.37</v>
      </c>
      <c r="F232" s="5" t="s">
        <v>849</v>
      </c>
    </row>
    <row r="233" customFormat="false" ht="15" hidden="false" customHeight="false" outlineLevel="0" collapsed="false">
      <c r="A233" s="14" t="s">
        <v>2114</v>
      </c>
      <c r="B233" s="14" t="n">
        <v>0</v>
      </c>
      <c r="C233" s="14" t="n">
        <v>37</v>
      </c>
      <c r="D233" s="42" t="n">
        <v>0</v>
      </c>
      <c r="E233" s="41" t="n">
        <v>11.92</v>
      </c>
      <c r="F233" s="5" t="s">
        <v>849</v>
      </c>
    </row>
    <row r="234" customFormat="false" ht="15" hidden="false" customHeight="false" outlineLevel="0" collapsed="false">
      <c r="A234" s="14" t="s">
        <v>2115</v>
      </c>
      <c r="B234" s="14" t="n">
        <v>0</v>
      </c>
      <c r="C234" s="14" t="n">
        <v>37</v>
      </c>
      <c r="D234" s="42" t="n">
        <v>0</v>
      </c>
      <c r="E234" s="41" t="n">
        <v>20.54</v>
      </c>
      <c r="F234" s="5" t="s">
        <v>849</v>
      </c>
    </row>
    <row r="235" customFormat="false" ht="15" hidden="false" customHeight="false" outlineLevel="0" collapsed="false">
      <c r="A235" s="14" t="s">
        <v>2116</v>
      </c>
      <c r="B235" s="14" t="n">
        <v>0</v>
      </c>
      <c r="C235" s="14" t="n">
        <v>37</v>
      </c>
      <c r="D235" s="42" t="n">
        <v>0</v>
      </c>
      <c r="E235" s="41" t="n">
        <v>21.3</v>
      </c>
      <c r="F235" s="5" t="s">
        <v>849</v>
      </c>
    </row>
    <row r="236" customFormat="false" ht="15" hidden="false" customHeight="false" outlineLevel="0" collapsed="false">
      <c r="A236" s="14" t="s">
        <v>2117</v>
      </c>
      <c r="B236" s="14" t="n">
        <v>0</v>
      </c>
      <c r="C236" s="14" t="n">
        <v>37</v>
      </c>
      <c r="D236" s="42" t="n">
        <v>0</v>
      </c>
      <c r="E236" s="41" t="n">
        <v>27.76</v>
      </c>
      <c r="F236" s="5" t="s">
        <v>849</v>
      </c>
    </row>
    <row r="237" customFormat="false" ht="15" hidden="false" customHeight="false" outlineLevel="0" collapsed="false">
      <c r="A237" s="14" t="s">
        <v>2118</v>
      </c>
      <c r="B237" s="14" t="n">
        <v>0</v>
      </c>
      <c r="C237" s="14" t="n">
        <v>36</v>
      </c>
      <c r="D237" s="42" t="n">
        <v>0</v>
      </c>
      <c r="E237" s="41" t="n">
        <v>6.58</v>
      </c>
      <c r="F237" s="5" t="s">
        <v>852</v>
      </c>
    </row>
    <row r="238" customFormat="false" ht="15" hidden="false" customHeight="false" outlineLevel="0" collapsed="false">
      <c r="A238" s="14" t="s">
        <v>2119</v>
      </c>
      <c r="B238" s="14" t="n">
        <v>0</v>
      </c>
      <c r="C238" s="14" t="n">
        <v>36</v>
      </c>
      <c r="D238" s="42" t="n">
        <v>0</v>
      </c>
      <c r="E238" s="41" t="n">
        <v>10.17</v>
      </c>
      <c r="F238" s="5" t="s">
        <v>849</v>
      </c>
    </row>
    <row r="239" customFormat="false" ht="15" hidden="false" customHeight="false" outlineLevel="0" collapsed="false">
      <c r="A239" s="14" t="s">
        <v>2120</v>
      </c>
      <c r="B239" s="14" t="n">
        <v>0</v>
      </c>
      <c r="C239" s="14" t="n">
        <v>36</v>
      </c>
      <c r="D239" s="42" t="n">
        <v>0</v>
      </c>
      <c r="E239" s="41" t="n">
        <v>11.19</v>
      </c>
      <c r="F239" s="5" t="s">
        <v>849</v>
      </c>
    </row>
    <row r="240" customFormat="false" ht="15" hidden="false" customHeight="false" outlineLevel="0" collapsed="false">
      <c r="A240" s="14" t="s">
        <v>2121</v>
      </c>
      <c r="B240" s="14" t="n">
        <v>0</v>
      </c>
      <c r="C240" s="14" t="n">
        <v>36</v>
      </c>
      <c r="D240" s="42" t="n">
        <v>0</v>
      </c>
      <c r="E240" s="41" t="n">
        <v>15.44</v>
      </c>
      <c r="F240" s="5" t="s">
        <v>850</v>
      </c>
    </row>
    <row r="241" customFormat="false" ht="15" hidden="false" customHeight="false" outlineLevel="0" collapsed="false">
      <c r="A241" s="14" t="s">
        <v>2122</v>
      </c>
      <c r="B241" s="14" t="n">
        <v>0</v>
      </c>
      <c r="C241" s="14" t="n">
        <v>36</v>
      </c>
      <c r="D241" s="42" t="n">
        <v>0</v>
      </c>
      <c r="E241" s="41" t="n">
        <v>15.97</v>
      </c>
      <c r="F241" s="5" t="s">
        <v>849</v>
      </c>
    </row>
    <row r="242" customFormat="false" ht="15" hidden="false" customHeight="false" outlineLevel="0" collapsed="false">
      <c r="A242" s="14" t="s">
        <v>2123</v>
      </c>
      <c r="B242" s="14" t="n">
        <v>0</v>
      </c>
      <c r="C242" s="14" t="n">
        <v>36</v>
      </c>
      <c r="D242" s="42" t="n">
        <v>0</v>
      </c>
      <c r="E242" s="41" t="n">
        <v>24.58</v>
      </c>
      <c r="F242" s="5" t="s">
        <v>849</v>
      </c>
    </row>
    <row r="243" customFormat="false" ht="15" hidden="false" customHeight="false" outlineLevel="0" collapsed="false">
      <c r="A243" s="14" t="s">
        <v>2124</v>
      </c>
      <c r="B243" s="14" t="n">
        <v>0</v>
      </c>
      <c r="C243" s="14" t="n">
        <v>36</v>
      </c>
      <c r="D243" s="42" t="n">
        <v>0</v>
      </c>
      <c r="E243" s="41" t="n">
        <v>26.72</v>
      </c>
      <c r="F243" s="5" t="s">
        <v>849</v>
      </c>
    </row>
    <row r="244" customFormat="false" ht="15" hidden="false" customHeight="false" outlineLevel="0" collapsed="false">
      <c r="A244" s="14" t="s">
        <v>2125</v>
      </c>
      <c r="B244" s="14" t="n">
        <v>0</v>
      </c>
      <c r="C244" s="14" t="n">
        <v>36</v>
      </c>
      <c r="D244" s="42" t="n">
        <v>0</v>
      </c>
      <c r="E244" s="41" t="n">
        <v>46.22</v>
      </c>
      <c r="F244" s="5" t="s">
        <v>849</v>
      </c>
    </row>
    <row r="245" customFormat="false" ht="15" hidden="false" customHeight="false" outlineLevel="0" collapsed="false">
      <c r="A245" s="14" t="s">
        <v>2126</v>
      </c>
      <c r="B245" s="14" t="n">
        <v>0</v>
      </c>
      <c r="C245" s="14" t="n">
        <v>35</v>
      </c>
      <c r="D245" s="42" t="n">
        <v>0</v>
      </c>
      <c r="E245" s="41" t="n">
        <v>17.6</v>
      </c>
      <c r="F245" s="5" t="s">
        <v>849</v>
      </c>
    </row>
    <row r="246" customFormat="false" ht="15" hidden="false" customHeight="false" outlineLevel="0" collapsed="false">
      <c r="A246" s="14" t="s">
        <v>2127</v>
      </c>
      <c r="B246" s="14" t="n">
        <v>0</v>
      </c>
      <c r="C246" s="14" t="n">
        <v>35</v>
      </c>
      <c r="D246" s="42" t="n">
        <v>0</v>
      </c>
      <c r="E246" s="41" t="n">
        <v>26.91</v>
      </c>
      <c r="F246" s="5" t="s">
        <v>849</v>
      </c>
    </row>
    <row r="247" customFormat="false" ht="15" hidden="false" customHeight="false" outlineLevel="0" collapsed="false">
      <c r="A247" s="14" t="s">
        <v>2128</v>
      </c>
      <c r="B247" s="14" t="n">
        <v>0</v>
      </c>
      <c r="C247" s="14" t="n">
        <v>35</v>
      </c>
      <c r="D247" s="42" t="n">
        <v>0</v>
      </c>
      <c r="E247" s="41" t="n">
        <v>29.51</v>
      </c>
      <c r="F247" s="5" t="s">
        <v>849</v>
      </c>
    </row>
    <row r="248" customFormat="false" ht="15" hidden="false" customHeight="false" outlineLevel="0" collapsed="false">
      <c r="A248" s="14" t="s">
        <v>2129</v>
      </c>
      <c r="B248" s="14" t="n">
        <v>0</v>
      </c>
      <c r="C248" s="14" t="n">
        <v>35</v>
      </c>
      <c r="D248" s="42" t="n">
        <v>0</v>
      </c>
      <c r="E248" s="41" t="n">
        <v>33.43</v>
      </c>
      <c r="F248" s="5" t="s">
        <v>849</v>
      </c>
    </row>
    <row r="249" customFormat="false" ht="15" hidden="false" customHeight="false" outlineLevel="0" collapsed="false">
      <c r="A249" s="14" t="s">
        <v>2130</v>
      </c>
      <c r="B249" s="14" t="n">
        <v>0</v>
      </c>
      <c r="C249" s="14" t="n">
        <v>34</v>
      </c>
      <c r="D249" s="42" t="n">
        <v>0</v>
      </c>
      <c r="E249" s="41" t="n">
        <v>10.68</v>
      </c>
      <c r="F249" s="5" t="s">
        <v>849</v>
      </c>
    </row>
    <row r="250" customFormat="false" ht="15" hidden="false" customHeight="false" outlineLevel="0" collapsed="false">
      <c r="A250" s="14" t="s">
        <v>2131</v>
      </c>
      <c r="B250" s="14" t="n">
        <v>0</v>
      </c>
      <c r="C250" s="14" t="n">
        <v>34</v>
      </c>
      <c r="D250" s="42" t="n">
        <v>0</v>
      </c>
      <c r="E250" s="41" t="n">
        <v>11.18</v>
      </c>
      <c r="F250" s="5" t="s">
        <v>849</v>
      </c>
    </row>
    <row r="251" customFormat="false" ht="15" hidden="false" customHeight="false" outlineLevel="0" collapsed="false">
      <c r="A251" s="14" t="s">
        <v>2132</v>
      </c>
      <c r="B251" s="14" t="n">
        <v>0</v>
      </c>
      <c r="C251" s="14" t="n">
        <v>34</v>
      </c>
      <c r="D251" s="42" t="n">
        <v>0</v>
      </c>
      <c r="E251" s="41" t="n">
        <v>18.74</v>
      </c>
      <c r="F251" s="5" t="s">
        <v>850</v>
      </c>
    </row>
    <row r="252" customFormat="false" ht="15" hidden="false" customHeight="false" outlineLevel="0" collapsed="false">
      <c r="A252" s="14" t="s">
        <v>2133</v>
      </c>
      <c r="B252" s="14" t="n">
        <v>0</v>
      </c>
      <c r="C252" s="14" t="n">
        <v>34</v>
      </c>
      <c r="D252" s="42" t="n">
        <v>0</v>
      </c>
      <c r="E252" s="41" t="n">
        <v>18.74</v>
      </c>
      <c r="F252" s="5" t="s">
        <v>849</v>
      </c>
    </row>
    <row r="253" customFormat="false" ht="15" hidden="false" customHeight="false" outlineLevel="0" collapsed="false">
      <c r="A253" s="14" t="s">
        <v>2134</v>
      </c>
      <c r="B253" s="14" t="n">
        <v>0</v>
      </c>
      <c r="C253" s="14" t="n">
        <v>34</v>
      </c>
      <c r="D253" s="42" t="n">
        <v>0</v>
      </c>
      <c r="E253" s="41" t="n">
        <v>19.62</v>
      </c>
      <c r="F253" s="5" t="s">
        <v>849</v>
      </c>
    </row>
    <row r="254" customFormat="false" ht="15" hidden="false" customHeight="false" outlineLevel="0" collapsed="false">
      <c r="A254" s="14" t="s">
        <v>2135</v>
      </c>
      <c r="B254" s="14" t="n">
        <v>0</v>
      </c>
      <c r="C254" s="14" t="n">
        <v>34</v>
      </c>
      <c r="D254" s="42" t="n">
        <v>0</v>
      </c>
      <c r="E254" s="41" t="n">
        <v>20</v>
      </c>
      <c r="F254" s="5" t="s">
        <v>849</v>
      </c>
    </row>
    <row r="255" customFormat="false" ht="15" hidden="false" customHeight="false" outlineLevel="0" collapsed="false">
      <c r="A255" s="14" t="s">
        <v>2136</v>
      </c>
      <c r="B255" s="14" t="n">
        <v>0</v>
      </c>
      <c r="C255" s="14" t="n">
        <v>34</v>
      </c>
      <c r="D255" s="42" t="n">
        <v>0</v>
      </c>
      <c r="E255" s="41" t="n">
        <v>29.24</v>
      </c>
      <c r="F255" s="5" t="s">
        <v>849</v>
      </c>
    </row>
    <row r="256" customFormat="false" ht="15" hidden="false" customHeight="false" outlineLevel="0" collapsed="false">
      <c r="A256" s="14" t="s">
        <v>2137</v>
      </c>
      <c r="B256" s="14" t="n">
        <v>0</v>
      </c>
      <c r="C256" s="14" t="n">
        <v>34</v>
      </c>
      <c r="D256" s="42" t="n">
        <v>0</v>
      </c>
      <c r="E256" s="41" t="n">
        <v>39.91</v>
      </c>
      <c r="F256" s="5" t="s">
        <v>847</v>
      </c>
    </row>
    <row r="257" customFormat="false" ht="15" hidden="false" customHeight="false" outlineLevel="0" collapsed="false">
      <c r="A257" s="14" t="s">
        <v>2138</v>
      </c>
      <c r="B257" s="14" t="n">
        <v>0</v>
      </c>
      <c r="C257" s="14" t="n">
        <v>34</v>
      </c>
      <c r="D257" s="42" t="n">
        <v>0</v>
      </c>
      <c r="E257" s="41" t="n">
        <v>52.62</v>
      </c>
      <c r="F257" s="5" t="s">
        <v>847</v>
      </c>
    </row>
    <row r="258" customFormat="false" ht="15" hidden="false" customHeight="false" outlineLevel="0" collapsed="false">
      <c r="A258" s="14" t="s">
        <v>2139</v>
      </c>
      <c r="B258" s="14" t="n">
        <v>0</v>
      </c>
      <c r="C258" s="14" t="n">
        <v>33</v>
      </c>
      <c r="D258" s="42" t="n">
        <v>0</v>
      </c>
      <c r="E258" s="41" t="n">
        <v>11.39</v>
      </c>
      <c r="F258" s="5" t="s">
        <v>852</v>
      </c>
    </row>
    <row r="259" customFormat="false" ht="15" hidden="false" customHeight="false" outlineLevel="0" collapsed="false">
      <c r="A259" s="14" t="s">
        <v>2140</v>
      </c>
      <c r="B259" s="14" t="n">
        <v>0</v>
      </c>
      <c r="C259" s="14" t="n">
        <v>33</v>
      </c>
      <c r="D259" s="42" t="n">
        <v>0</v>
      </c>
      <c r="E259" s="41" t="n">
        <v>12.52</v>
      </c>
      <c r="F259" s="5" t="s">
        <v>849</v>
      </c>
    </row>
    <row r="260" customFormat="false" ht="15" hidden="false" customHeight="false" outlineLevel="0" collapsed="false">
      <c r="A260" s="14" t="s">
        <v>2141</v>
      </c>
      <c r="B260" s="14" t="n">
        <v>0</v>
      </c>
      <c r="C260" s="14" t="n">
        <v>33</v>
      </c>
      <c r="D260" s="42" t="n">
        <v>0</v>
      </c>
      <c r="E260" s="41" t="n">
        <v>13.82</v>
      </c>
      <c r="F260" s="5" t="s">
        <v>849</v>
      </c>
    </row>
    <row r="261" customFormat="false" ht="15" hidden="false" customHeight="false" outlineLevel="0" collapsed="false">
      <c r="A261" s="14" t="s">
        <v>2142</v>
      </c>
      <c r="B261" s="14" t="n">
        <v>0</v>
      </c>
      <c r="C261" s="14" t="n">
        <v>33</v>
      </c>
      <c r="D261" s="42" t="n">
        <v>0</v>
      </c>
      <c r="E261" s="41" t="n">
        <v>20.67</v>
      </c>
      <c r="F261" s="5" t="s">
        <v>849</v>
      </c>
    </row>
    <row r="262" customFormat="false" ht="15" hidden="false" customHeight="false" outlineLevel="0" collapsed="false">
      <c r="A262" s="14" t="s">
        <v>2143</v>
      </c>
      <c r="B262" s="14" t="n">
        <v>0</v>
      </c>
      <c r="C262" s="14" t="n">
        <v>33</v>
      </c>
      <c r="D262" s="42" t="n">
        <v>0</v>
      </c>
      <c r="E262" s="41" t="n">
        <v>25.97</v>
      </c>
      <c r="F262" s="5" t="s">
        <v>849</v>
      </c>
    </row>
    <row r="263" customFormat="false" ht="15" hidden="false" customHeight="false" outlineLevel="0" collapsed="false">
      <c r="A263" s="14" t="s">
        <v>2144</v>
      </c>
      <c r="B263" s="14" t="n">
        <v>0</v>
      </c>
      <c r="C263" s="14" t="n">
        <v>32</v>
      </c>
      <c r="D263" s="42" t="n">
        <v>0</v>
      </c>
      <c r="E263" s="41" t="n">
        <v>6.09</v>
      </c>
      <c r="F263" s="5" t="s">
        <v>847</v>
      </c>
    </row>
    <row r="264" customFormat="false" ht="15" hidden="false" customHeight="false" outlineLevel="0" collapsed="false">
      <c r="A264" s="14" t="s">
        <v>2145</v>
      </c>
      <c r="B264" s="14" t="n">
        <v>0</v>
      </c>
      <c r="C264" s="14" t="n">
        <v>32</v>
      </c>
      <c r="D264" s="42" t="n">
        <v>0</v>
      </c>
      <c r="E264" s="41" t="n">
        <v>7.97</v>
      </c>
      <c r="F264" s="5" t="s">
        <v>849</v>
      </c>
    </row>
    <row r="265" customFormat="false" ht="15" hidden="false" customHeight="false" outlineLevel="0" collapsed="false">
      <c r="A265" s="14" t="s">
        <v>2146</v>
      </c>
      <c r="B265" s="14" t="n">
        <v>0</v>
      </c>
      <c r="C265" s="14" t="n">
        <v>32</v>
      </c>
      <c r="D265" s="42" t="n">
        <v>0</v>
      </c>
      <c r="E265" s="41" t="n">
        <v>16.25</v>
      </c>
      <c r="F265" s="5" t="s">
        <v>849</v>
      </c>
    </row>
    <row r="266" customFormat="false" ht="15" hidden="false" customHeight="false" outlineLevel="0" collapsed="false">
      <c r="A266" s="14" t="s">
        <v>2147</v>
      </c>
      <c r="B266" s="14" t="n">
        <v>0</v>
      </c>
      <c r="C266" s="14" t="n">
        <v>32</v>
      </c>
      <c r="D266" s="42" t="n">
        <v>0</v>
      </c>
      <c r="E266" s="41" t="n">
        <v>20.75</v>
      </c>
      <c r="F266" s="5" t="s">
        <v>849</v>
      </c>
    </row>
    <row r="267" customFormat="false" ht="15" hidden="false" customHeight="false" outlineLevel="0" collapsed="false">
      <c r="A267" s="14" t="s">
        <v>2148</v>
      </c>
      <c r="B267" s="14" t="n">
        <v>0</v>
      </c>
      <c r="C267" s="14" t="n">
        <v>32</v>
      </c>
      <c r="D267" s="42" t="n">
        <v>0</v>
      </c>
      <c r="E267" s="41" t="n">
        <v>34.22</v>
      </c>
      <c r="F267" s="5" t="s">
        <v>849</v>
      </c>
    </row>
    <row r="268" customFormat="false" ht="15" hidden="false" customHeight="false" outlineLevel="0" collapsed="false">
      <c r="A268" s="14" t="s">
        <v>2149</v>
      </c>
      <c r="B268" s="14" t="n">
        <v>0</v>
      </c>
      <c r="C268" s="14" t="n">
        <v>32</v>
      </c>
      <c r="D268" s="42" t="n">
        <v>0</v>
      </c>
      <c r="E268" s="41" t="n">
        <v>58.25</v>
      </c>
      <c r="F268" s="5" t="s">
        <v>847</v>
      </c>
    </row>
    <row r="269" customFormat="false" ht="15" hidden="false" customHeight="false" outlineLevel="0" collapsed="false">
      <c r="A269" s="14" t="s">
        <v>2150</v>
      </c>
      <c r="B269" s="14" t="n">
        <v>0</v>
      </c>
      <c r="C269" s="14" t="n">
        <v>31</v>
      </c>
      <c r="D269" s="42" t="n">
        <v>0</v>
      </c>
      <c r="E269" s="41" t="n">
        <v>7.74</v>
      </c>
      <c r="F269" s="5" t="s">
        <v>851</v>
      </c>
    </row>
    <row r="270" customFormat="false" ht="15" hidden="false" customHeight="false" outlineLevel="0" collapsed="false">
      <c r="A270" s="14" t="s">
        <v>2151</v>
      </c>
      <c r="B270" s="14" t="n">
        <v>0</v>
      </c>
      <c r="C270" s="14" t="n">
        <v>31</v>
      </c>
      <c r="D270" s="42" t="n">
        <v>0</v>
      </c>
      <c r="E270" s="41" t="n">
        <v>10</v>
      </c>
      <c r="F270" s="5" t="s">
        <v>850</v>
      </c>
    </row>
    <row r="271" customFormat="false" ht="15" hidden="false" customHeight="false" outlineLevel="0" collapsed="false">
      <c r="A271" s="14" t="s">
        <v>2152</v>
      </c>
      <c r="B271" s="14" t="n">
        <v>0</v>
      </c>
      <c r="C271" s="14" t="n">
        <v>31</v>
      </c>
      <c r="D271" s="42" t="n">
        <v>0</v>
      </c>
      <c r="E271" s="41" t="n">
        <v>10.61</v>
      </c>
      <c r="F271" s="5" t="s">
        <v>849</v>
      </c>
    </row>
    <row r="272" customFormat="false" ht="15" hidden="false" customHeight="false" outlineLevel="0" collapsed="false">
      <c r="A272" s="14" t="s">
        <v>2153</v>
      </c>
      <c r="B272" s="14" t="n">
        <v>0</v>
      </c>
      <c r="C272" s="14" t="n">
        <v>31</v>
      </c>
      <c r="D272" s="42" t="n">
        <v>0</v>
      </c>
      <c r="E272" s="41" t="n">
        <v>17.77</v>
      </c>
      <c r="F272" s="5" t="s">
        <v>849</v>
      </c>
    </row>
    <row r="273" customFormat="false" ht="15" hidden="false" customHeight="false" outlineLevel="0" collapsed="false">
      <c r="A273" s="14" t="s">
        <v>2154</v>
      </c>
      <c r="B273" s="14" t="n">
        <v>0</v>
      </c>
      <c r="C273" s="14" t="n">
        <v>31</v>
      </c>
      <c r="D273" s="42" t="n">
        <v>0</v>
      </c>
      <c r="E273" s="41" t="n">
        <v>19</v>
      </c>
      <c r="F273" s="5" t="s">
        <v>849</v>
      </c>
    </row>
    <row r="274" customFormat="false" ht="15" hidden="false" customHeight="false" outlineLevel="0" collapsed="false">
      <c r="A274" s="14" t="s">
        <v>2155</v>
      </c>
      <c r="B274" s="14" t="n">
        <v>0</v>
      </c>
      <c r="C274" s="14" t="n">
        <v>31</v>
      </c>
      <c r="D274" s="42" t="n">
        <v>0</v>
      </c>
      <c r="E274" s="41" t="n">
        <v>19.77</v>
      </c>
      <c r="F274" s="5" t="s">
        <v>849</v>
      </c>
    </row>
    <row r="275" customFormat="false" ht="15" hidden="false" customHeight="false" outlineLevel="0" collapsed="false">
      <c r="A275" s="14" t="s">
        <v>2156</v>
      </c>
      <c r="B275" s="14" t="n">
        <v>0</v>
      </c>
      <c r="C275" s="14" t="n">
        <v>31</v>
      </c>
      <c r="D275" s="42" t="n">
        <v>0</v>
      </c>
      <c r="E275" s="41" t="n">
        <v>39.45</v>
      </c>
      <c r="F275" s="5" t="s">
        <v>850</v>
      </c>
    </row>
    <row r="276" customFormat="false" ht="15" hidden="false" customHeight="false" outlineLevel="0" collapsed="false">
      <c r="A276" s="14" t="s">
        <v>2157</v>
      </c>
      <c r="B276" s="14" t="n">
        <v>0</v>
      </c>
      <c r="C276" s="14" t="n">
        <v>31</v>
      </c>
      <c r="D276" s="42" t="n">
        <v>0</v>
      </c>
      <c r="E276" s="41" t="n">
        <v>40.13</v>
      </c>
      <c r="F276" s="5" t="s">
        <v>847</v>
      </c>
    </row>
    <row r="277" customFormat="false" ht="15" hidden="false" customHeight="false" outlineLevel="0" collapsed="false">
      <c r="A277" s="14" t="s">
        <v>2158</v>
      </c>
      <c r="B277" s="14" t="n">
        <v>0</v>
      </c>
      <c r="C277" s="14" t="n">
        <v>30</v>
      </c>
      <c r="D277" s="42" t="n">
        <v>0</v>
      </c>
      <c r="E277" s="41" t="n">
        <v>8.77</v>
      </c>
      <c r="F277" s="5" t="s">
        <v>849</v>
      </c>
    </row>
    <row r="278" customFormat="false" ht="15" hidden="false" customHeight="false" outlineLevel="0" collapsed="false">
      <c r="A278" s="14" t="s">
        <v>2159</v>
      </c>
      <c r="B278" s="14" t="n">
        <v>0</v>
      </c>
      <c r="C278" s="14" t="n">
        <v>30</v>
      </c>
      <c r="D278" s="42" t="n">
        <v>0</v>
      </c>
      <c r="E278" s="41" t="n">
        <v>9.8</v>
      </c>
      <c r="F278" s="5" t="s">
        <v>850</v>
      </c>
    </row>
    <row r="279" customFormat="false" ht="15" hidden="false" customHeight="false" outlineLevel="0" collapsed="false">
      <c r="A279" s="14" t="s">
        <v>2160</v>
      </c>
      <c r="B279" s="14" t="n">
        <v>0</v>
      </c>
      <c r="C279" s="14" t="n">
        <v>30</v>
      </c>
      <c r="D279" s="42" t="n">
        <v>0</v>
      </c>
      <c r="E279" s="41" t="n">
        <v>12.53</v>
      </c>
      <c r="F279" s="5" t="s">
        <v>849</v>
      </c>
    </row>
    <row r="280" customFormat="false" ht="15" hidden="false" customHeight="false" outlineLevel="0" collapsed="false">
      <c r="A280" s="14" t="s">
        <v>2161</v>
      </c>
      <c r="B280" s="14" t="n">
        <v>0</v>
      </c>
      <c r="C280" s="14" t="n">
        <v>30</v>
      </c>
      <c r="D280" s="42" t="n">
        <v>0</v>
      </c>
      <c r="E280" s="41" t="n">
        <v>24.5</v>
      </c>
      <c r="F280" s="5" t="s">
        <v>850</v>
      </c>
    </row>
    <row r="281" customFormat="false" ht="15" hidden="false" customHeight="false" outlineLevel="0" collapsed="false">
      <c r="A281" s="14" t="s">
        <v>2162</v>
      </c>
      <c r="B281" s="14" t="n">
        <v>0</v>
      </c>
      <c r="C281" s="14" t="n">
        <v>30</v>
      </c>
      <c r="D281" s="42" t="n">
        <v>0</v>
      </c>
      <c r="E281" s="41" t="n">
        <v>31.47</v>
      </c>
      <c r="F281" s="5" t="s">
        <v>849</v>
      </c>
    </row>
    <row r="282" customFormat="false" ht="15" hidden="false" customHeight="false" outlineLevel="0" collapsed="false">
      <c r="A282" s="14" t="s">
        <v>2163</v>
      </c>
      <c r="B282" s="14" t="n">
        <v>0</v>
      </c>
      <c r="C282" s="14" t="n">
        <v>29</v>
      </c>
      <c r="D282" s="42" t="n">
        <v>0</v>
      </c>
      <c r="E282" s="41" t="n">
        <v>8.72</v>
      </c>
      <c r="F282" s="5" t="s">
        <v>849</v>
      </c>
    </row>
    <row r="283" customFormat="false" ht="15" hidden="false" customHeight="false" outlineLevel="0" collapsed="false">
      <c r="A283" s="14" t="s">
        <v>2164</v>
      </c>
      <c r="B283" s="14" t="n">
        <v>0</v>
      </c>
      <c r="C283" s="14" t="n">
        <v>29</v>
      </c>
      <c r="D283" s="42" t="n">
        <v>0</v>
      </c>
      <c r="E283" s="41" t="n">
        <v>9.38</v>
      </c>
      <c r="F283" s="5" t="s">
        <v>852</v>
      </c>
    </row>
    <row r="284" customFormat="false" ht="15" hidden="false" customHeight="false" outlineLevel="0" collapsed="false">
      <c r="A284" s="14" t="s">
        <v>2165</v>
      </c>
      <c r="B284" s="14" t="n">
        <v>0</v>
      </c>
      <c r="C284" s="14" t="n">
        <v>29</v>
      </c>
      <c r="D284" s="42" t="n">
        <v>0</v>
      </c>
      <c r="E284" s="41" t="n">
        <v>11.1</v>
      </c>
      <c r="F284" s="5" t="s">
        <v>847</v>
      </c>
    </row>
    <row r="285" customFormat="false" ht="15" hidden="false" customHeight="false" outlineLevel="0" collapsed="false">
      <c r="A285" s="14" t="s">
        <v>2166</v>
      </c>
      <c r="B285" s="14" t="n">
        <v>0</v>
      </c>
      <c r="C285" s="14" t="n">
        <v>29</v>
      </c>
      <c r="D285" s="42" t="n">
        <v>0</v>
      </c>
      <c r="E285" s="41" t="n">
        <v>11.21</v>
      </c>
      <c r="F285" s="5" t="s">
        <v>849</v>
      </c>
    </row>
    <row r="286" customFormat="false" ht="15" hidden="false" customHeight="false" outlineLevel="0" collapsed="false">
      <c r="A286" s="14" t="s">
        <v>2167</v>
      </c>
      <c r="B286" s="14" t="n">
        <v>0</v>
      </c>
      <c r="C286" s="14" t="n">
        <v>29</v>
      </c>
      <c r="D286" s="42" t="n">
        <v>0</v>
      </c>
      <c r="E286" s="41" t="n">
        <v>11.52</v>
      </c>
      <c r="F286" s="5" t="s">
        <v>849</v>
      </c>
    </row>
    <row r="287" customFormat="false" ht="15" hidden="false" customHeight="false" outlineLevel="0" collapsed="false">
      <c r="A287" s="14" t="s">
        <v>2168</v>
      </c>
      <c r="B287" s="14" t="n">
        <v>0</v>
      </c>
      <c r="C287" s="14" t="n">
        <v>29</v>
      </c>
      <c r="D287" s="42" t="n">
        <v>0</v>
      </c>
      <c r="E287" s="41" t="n">
        <v>11.52</v>
      </c>
      <c r="F287" s="5" t="s">
        <v>849</v>
      </c>
    </row>
    <row r="288" customFormat="false" ht="15" hidden="false" customHeight="false" outlineLevel="0" collapsed="false">
      <c r="A288" s="14" t="s">
        <v>2169</v>
      </c>
      <c r="B288" s="14" t="n">
        <v>0</v>
      </c>
      <c r="C288" s="14" t="n">
        <v>29</v>
      </c>
      <c r="D288" s="42" t="n">
        <v>0</v>
      </c>
      <c r="E288" s="41" t="n">
        <v>13.41</v>
      </c>
      <c r="F288" s="5" t="s">
        <v>849</v>
      </c>
    </row>
    <row r="289" customFormat="false" ht="15" hidden="false" customHeight="false" outlineLevel="0" collapsed="false">
      <c r="A289" s="14" t="s">
        <v>2170</v>
      </c>
      <c r="B289" s="14" t="n">
        <v>0</v>
      </c>
      <c r="C289" s="14" t="n">
        <v>29</v>
      </c>
      <c r="D289" s="42" t="n">
        <v>0</v>
      </c>
      <c r="E289" s="41" t="n">
        <v>13.86</v>
      </c>
      <c r="F289" s="5" t="s">
        <v>849</v>
      </c>
    </row>
    <row r="290" customFormat="false" ht="15" hidden="false" customHeight="false" outlineLevel="0" collapsed="false">
      <c r="A290" s="14" t="s">
        <v>2171</v>
      </c>
      <c r="B290" s="14" t="n">
        <v>0</v>
      </c>
      <c r="C290" s="14" t="n">
        <v>29</v>
      </c>
      <c r="D290" s="42" t="n">
        <v>0</v>
      </c>
      <c r="E290" s="41" t="n">
        <v>15.72</v>
      </c>
      <c r="F290" s="5" t="s">
        <v>849</v>
      </c>
    </row>
    <row r="291" customFormat="false" ht="15" hidden="false" customHeight="false" outlineLevel="0" collapsed="false">
      <c r="A291" s="14" t="s">
        <v>2172</v>
      </c>
      <c r="B291" s="14" t="n">
        <v>0</v>
      </c>
      <c r="C291" s="14" t="n">
        <v>29</v>
      </c>
      <c r="D291" s="42" t="n">
        <v>0</v>
      </c>
      <c r="E291" s="41" t="n">
        <v>17.62</v>
      </c>
      <c r="F291" s="5" t="s">
        <v>850</v>
      </c>
    </row>
    <row r="292" customFormat="false" ht="15" hidden="false" customHeight="false" outlineLevel="0" collapsed="false">
      <c r="A292" s="14" t="s">
        <v>2173</v>
      </c>
      <c r="B292" s="14" t="n">
        <v>0</v>
      </c>
      <c r="C292" s="14" t="n">
        <v>29</v>
      </c>
      <c r="D292" s="42" t="n">
        <v>0</v>
      </c>
      <c r="E292" s="41" t="n">
        <v>19.34</v>
      </c>
      <c r="F292" s="5" t="s">
        <v>849</v>
      </c>
    </row>
    <row r="293" customFormat="false" ht="15" hidden="false" customHeight="false" outlineLevel="0" collapsed="false">
      <c r="A293" s="14" t="s">
        <v>2174</v>
      </c>
      <c r="B293" s="14" t="n">
        <v>0</v>
      </c>
      <c r="C293" s="14" t="n">
        <v>29</v>
      </c>
      <c r="D293" s="42" t="n">
        <v>0</v>
      </c>
      <c r="E293" s="41" t="n">
        <v>20.24</v>
      </c>
      <c r="F293" s="5" t="s">
        <v>849</v>
      </c>
    </row>
    <row r="294" customFormat="false" ht="15" hidden="false" customHeight="false" outlineLevel="0" collapsed="false">
      <c r="A294" s="14" t="s">
        <v>2175</v>
      </c>
      <c r="B294" s="14" t="n">
        <v>0</v>
      </c>
      <c r="C294" s="14" t="n">
        <v>29</v>
      </c>
      <c r="D294" s="42" t="n">
        <v>0</v>
      </c>
      <c r="E294" s="41" t="n">
        <v>21.38</v>
      </c>
      <c r="F294" s="5" t="s">
        <v>849</v>
      </c>
    </row>
    <row r="295" customFormat="false" ht="15" hidden="false" customHeight="false" outlineLevel="0" collapsed="false">
      <c r="A295" s="14" t="s">
        <v>2176</v>
      </c>
      <c r="B295" s="14" t="n">
        <v>0</v>
      </c>
      <c r="C295" s="14" t="n">
        <v>29</v>
      </c>
      <c r="D295" s="42" t="n">
        <v>0</v>
      </c>
      <c r="E295" s="41" t="n">
        <v>23.76</v>
      </c>
      <c r="F295" s="5" t="s">
        <v>849</v>
      </c>
    </row>
    <row r="296" customFormat="false" ht="15" hidden="false" customHeight="false" outlineLevel="0" collapsed="false">
      <c r="A296" s="14" t="s">
        <v>2177</v>
      </c>
      <c r="B296" s="14" t="n">
        <v>0</v>
      </c>
      <c r="C296" s="14" t="n">
        <v>29</v>
      </c>
      <c r="D296" s="42" t="n">
        <v>0</v>
      </c>
      <c r="E296" s="41" t="n">
        <v>24</v>
      </c>
      <c r="F296" s="5" t="s">
        <v>849</v>
      </c>
    </row>
    <row r="297" customFormat="false" ht="15" hidden="false" customHeight="false" outlineLevel="0" collapsed="false">
      <c r="A297" s="14" t="s">
        <v>2178</v>
      </c>
      <c r="B297" s="14" t="n">
        <v>0</v>
      </c>
      <c r="C297" s="14" t="n">
        <v>29</v>
      </c>
      <c r="D297" s="42" t="n">
        <v>0</v>
      </c>
      <c r="E297" s="41" t="n">
        <v>25.52</v>
      </c>
      <c r="F297" s="5" t="s">
        <v>849</v>
      </c>
    </row>
    <row r="298" customFormat="false" ht="15" hidden="false" customHeight="false" outlineLevel="0" collapsed="false">
      <c r="A298" s="14" t="s">
        <v>2179</v>
      </c>
      <c r="B298" s="14" t="n">
        <v>0</v>
      </c>
      <c r="C298" s="14" t="n">
        <v>29</v>
      </c>
      <c r="D298" s="42" t="n">
        <v>0</v>
      </c>
      <c r="E298" s="41" t="n">
        <v>29.07</v>
      </c>
      <c r="F298" s="5" t="s">
        <v>849</v>
      </c>
    </row>
    <row r="299" customFormat="false" ht="15" hidden="false" customHeight="false" outlineLevel="0" collapsed="false">
      <c r="A299" s="14" t="s">
        <v>2180</v>
      </c>
      <c r="B299" s="14" t="n">
        <v>0</v>
      </c>
      <c r="C299" s="14" t="n">
        <v>29</v>
      </c>
      <c r="D299" s="42" t="n">
        <v>0</v>
      </c>
      <c r="E299" s="41" t="n">
        <v>31.34</v>
      </c>
      <c r="F299" s="5" t="s">
        <v>849</v>
      </c>
    </row>
    <row r="300" customFormat="false" ht="15" hidden="false" customHeight="false" outlineLevel="0" collapsed="false">
      <c r="A300" s="14" t="s">
        <v>2181</v>
      </c>
      <c r="B300" s="14" t="n">
        <v>0</v>
      </c>
      <c r="C300" s="14" t="n">
        <v>29</v>
      </c>
      <c r="D300" s="42" t="n">
        <v>0</v>
      </c>
      <c r="E300" s="41" t="n">
        <v>38.97</v>
      </c>
      <c r="F300" s="5" t="s">
        <v>850</v>
      </c>
    </row>
    <row r="301" customFormat="false" ht="15" hidden="false" customHeight="false" outlineLevel="0" collapsed="false">
      <c r="A301" s="14" t="s">
        <v>2182</v>
      </c>
      <c r="B301" s="14" t="n">
        <v>0</v>
      </c>
      <c r="C301" s="14" t="n">
        <v>28</v>
      </c>
      <c r="D301" s="42" t="n">
        <v>0</v>
      </c>
      <c r="E301" s="41" t="n">
        <v>9.57</v>
      </c>
      <c r="F301" s="5" t="s">
        <v>849</v>
      </c>
    </row>
    <row r="302" customFormat="false" ht="15" hidden="false" customHeight="false" outlineLevel="0" collapsed="false">
      <c r="A302" s="14" t="s">
        <v>2183</v>
      </c>
      <c r="B302" s="14" t="n">
        <v>0</v>
      </c>
      <c r="C302" s="14" t="n">
        <v>28</v>
      </c>
      <c r="D302" s="42" t="n">
        <v>0</v>
      </c>
      <c r="E302" s="41" t="n">
        <v>14.57</v>
      </c>
      <c r="F302" s="5" t="s">
        <v>849</v>
      </c>
    </row>
    <row r="303" customFormat="false" ht="15" hidden="false" customHeight="false" outlineLevel="0" collapsed="false">
      <c r="A303" s="14" t="s">
        <v>2184</v>
      </c>
      <c r="B303" s="14" t="n">
        <v>0</v>
      </c>
      <c r="C303" s="14" t="n">
        <v>28</v>
      </c>
      <c r="D303" s="42" t="n">
        <v>0</v>
      </c>
      <c r="E303" s="41" t="n">
        <v>15.07</v>
      </c>
      <c r="F303" s="5" t="s">
        <v>850</v>
      </c>
    </row>
    <row r="304" customFormat="false" ht="15" hidden="false" customHeight="false" outlineLevel="0" collapsed="false">
      <c r="A304" s="14" t="s">
        <v>2185</v>
      </c>
      <c r="B304" s="14" t="n">
        <v>0</v>
      </c>
      <c r="C304" s="14" t="n">
        <v>28</v>
      </c>
      <c r="D304" s="42" t="n">
        <v>0</v>
      </c>
      <c r="E304" s="41" t="n">
        <v>17.71</v>
      </c>
      <c r="F304" s="5" t="s">
        <v>849</v>
      </c>
    </row>
    <row r="305" customFormat="false" ht="15" hidden="false" customHeight="false" outlineLevel="0" collapsed="false">
      <c r="A305" s="14" t="s">
        <v>2186</v>
      </c>
      <c r="B305" s="14" t="n">
        <v>0</v>
      </c>
      <c r="C305" s="14" t="n">
        <v>28</v>
      </c>
      <c r="D305" s="42" t="n">
        <v>0</v>
      </c>
      <c r="E305" s="41" t="n">
        <v>18.64</v>
      </c>
      <c r="F305" s="5" t="s">
        <v>849</v>
      </c>
    </row>
    <row r="306" customFormat="false" ht="15" hidden="false" customHeight="false" outlineLevel="0" collapsed="false">
      <c r="A306" s="14" t="s">
        <v>2187</v>
      </c>
      <c r="B306" s="14" t="n">
        <v>0</v>
      </c>
      <c r="C306" s="14" t="n">
        <v>28</v>
      </c>
      <c r="D306" s="42" t="n">
        <v>0</v>
      </c>
      <c r="E306" s="41" t="n">
        <v>27.29</v>
      </c>
      <c r="F306" s="5" t="s">
        <v>849</v>
      </c>
    </row>
    <row r="307" customFormat="false" ht="15" hidden="false" customHeight="false" outlineLevel="0" collapsed="false">
      <c r="A307" s="14" t="s">
        <v>2188</v>
      </c>
      <c r="B307" s="14" t="n">
        <v>0</v>
      </c>
      <c r="C307" s="14" t="n">
        <v>28</v>
      </c>
      <c r="D307" s="42" t="n">
        <v>0</v>
      </c>
      <c r="E307" s="41" t="n">
        <v>27.5</v>
      </c>
      <c r="F307" s="5" t="s">
        <v>849</v>
      </c>
    </row>
    <row r="308" customFormat="false" ht="15" hidden="false" customHeight="false" outlineLevel="0" collapsed="false">
      <c r="A308" s="14" t="s">
        <v>2189</v>
      </c>
      <c r="B308" s="14" t="n">
        <v>0</v>
      </c>
      <c r="C308" s="14" t="n">
        <v>28</v>
      </c>
      <c r="D308" s="42" t="n">
        <v>0</v>
      </c>
      <c r="E308" s="41" t="n">
        <v>42.21</v>
      </c>
      <c r="F308" s="5" t="s">
        <v>847</v>
      </c>
    </row>
    <row r="309" customFormat="false" ht="15" hidden="false" customHeight="false" outlineLevel="0" collapsed="false">
      <c r="A309" s="14" t="s">
        <v>2190</v>
      </c>
      <c r="B309" s="14" t="n">
        <v>0</v>
      </c>
      <c r="C309" s="14" t="n">
        <v>28</v>
      </c>
      <c r="D309" s="42" t="n">
        <v>0</v>
      </c>
      <c r="E309" s="41" t="n">
        <v>45.39</v>
      </c>
      <c r="F309" s="5" t="s">
        <v>849</v>
      </c>
    </row>
    <row r="310" customFormat="false" ht="15" hidden="false" customHeight="false" outlineLevel="0" collapsed="false">
      <c r="A310" s="14" t="s">
        <v>2191</v>
      </c>
      <c r="B310" s="14" t="n">
        <v>0</v>
      </c>
      <c r="C310" s="14" t="n">
        <v>27</v>
      </c>
      <c r="D310" s="42" t="n">
        <v>0</v>
      </c>
      <c r="E310" s="41" t="n">
        <v>10.67</v>
      </c>
      <c r="F310" s="5" t="s">
        <v>849</v>
      </c>
    </row>
    <row r="311" customFormat="false" ht="15" hidden="false" customHeight="false" outlineLevel="0" collapsed="false">
      <c r="A311" s="14" t="s">
        <v>2192</v>
      </c>
      <c r="B311" s="14" t="n">
        <v>0</v>
      </c>
      <c r="C311" s="14" t="n">
        <v>27</v>
      </c>
      <c r="D311" s="42" t="n">
        <v>0</v>
      </c>
      <c r="E311" s="41" t="n">
        <v>10.67</v>
      </c>
      <c r="F311" s="5" t="s">
        <v>849</v>
      </c>
    </row>
    <row r="312" customFormat="false" ht="15" hidden="false" customHeight="false" outlineLevel="0" collapsed="false">
      <c r="A312" s="14" t="s">
        <v>2193</v>
      </c>
      <c r="B312" s="14" t="n">
        <v>0</v>
      </c>
      <c r="C312" s="14" t="n">
        <v>27</v>
      </c>
      <c r="D312" s="42" t="n">
        <v>0</v>
      </c>
      <c r="E312" s="41" t="n">
        <v>12.11</v>
      </c>
      <c r="F312" s="5" t="s">
        <v>850</v>
      </c>
    </row>
    <row r="313" customFormat="false" ht="15" hidden="false" customHeight="false" outlineLevel="0" collapsed="false">
      <c r="A313" s="14" t="s">
        <v>2194</v>
      </c>
      <c r="B313" s="14" t="n">
        <v>0</v>
      </c>
      <c r="C313" s="14" t="n">
        <v>27</v>
      </c>
      <c r="D313" s="42" t="n">
        <v>0</v>
      </c>
      <c r="E313" s="41" t="n">
        <v>15.93</v>
      </c>
      <c r="F313" s="5" t="s">
        <v>849</v>
      </c>
    </row>
    <row r="314" customFormat="false" ht="15" hidden="false" customHeight="false" outlineLevel="0" collapsed="false">
      <c r="A314" s="14" t="s">
        <v>2195</v>
      </c>
      <c r="B314" s="14" t="n">
        <v>0</v>
      </c>
      <c r="C314" s="14" t="n">
        <v>27</v>
      </c>
      <c r="D314" s="42" t="n">
        <v>0</v>
      </c>
      <c r="E314" s="41" t="n">
        <v>16.15</v>
      </c>
      <c r="F314" s="5" t="s">
        <v>849</v>
      </c>
    </row>
    <row r="315" customFormat="false" ht="15" hidden="false" customHeight="false" outlineLevel="0" collapsed="false">
      <c r="A315" s="14" t="s">
        <v>2196</v>
      </c>
      <c r="B315" s="14" t="n">
        <v>0</v>
      </c>
      <c r="C315" s="14" t="n">
        <v>27</v>
      </c>
      <c r="D315" s="42" t="n">
        <v>0</v>
      </c>
      <c r="E315" s="41" t="n">
        <v>16.26</v>
      </c>
      <c r="F315" s="5" t="s">
        <v>849</v>
      </c>
    </row>
    <row r="316" customFormat="false" ht="15" hidden="false" customHeight="false" outlineLevel="0" collapsed="false">
      <c r="A316" s="14" t="s">
        <v>2197</v>
      </c>
      <c r="B316" s="14" t="n">
        <v>0</v>
      </c>
      <c r="C316" s="14" t="n">
        <v>27</v>
      </c>
      <c r="D316" s="42" t="n">
        <v>0</v>
      </c>
      <c r="E316" s="41" t="n">
        <v>16.81</v>
      </c>
      <c r="F316" s="5" t="s">
        <v>849</v>
      </c>
    </row>
    <row r="317" customFormat="false" ht="15" hidden="false" customHeight="false" outlineLevel="0" collapsed="false">
      <c r="A317" s="14" t="s">
        <v>2198</v>
      </c>
      <c r="B317" s="14" t="n">
        <v>0</v>
      </c>
      <c r="C317" s="14" t="n">
        <v>27</v>
      </c>
      <c r="D317" s="42" t="n">
        <v>0</v>
      </c>
      <c r="E317" s="41" t="n">
        <v>23.33</v>
      </c>
      <c r="F317" s="5" t="s">
        <v>850</v>
      </c>
    </row>
    <row r="318" customFormat="false" ht="15" hidden="false" customHeight="false" outlineLevel="0" collapsed="false">
      <c r="A318" s="14" t="s">
        <v>2199</v>
      </c>
      <c r="B318" s="14" t="n">
        <v>0</v>
      </c>
      <c r="C318" s="14" t="n">
        <v>27</v>
      </c>
      <c r="D318" s="42" t="n">
        <v>0</v>
      </c>
      <c r="E318" s="41" t="n">
        <v>25.63</v>
      </c>
      <c r="F318" s="5" t="s">
        <v>849</v>
      </c>
    </row>
    <row r="319" customFormat="false" ht="15" hidden="false" customHeight="false" outlineLevel="0" collapsed="false">
      <c r="A319" s="14" t="s">
        <v>2200</v>
      </c>
      <c r="B319" s="14" t="n">
        <v>0</v>
      </c>
      <c r="C319" s="14" t="n">
        <v>27</v>
      </c>
      <c r="D319" s="42" t="n">
        <v>0</v>
      </c>
      <c r="E319" s="41" t="n">
        <v>26.44</v>
      </c>
      <c r="F319" s="5" t="s">
        <v>849</v>
      </c>
    </row>
    <row r="320" customFormat="false" ht="15" hidden="false" customHeight="false" outlineLevel="0" collapsed="false">
      <c r="A320" s="14" t="s">
        <v>2201</v>
      </c>
      <c r="B320" s="14" t="n">
        <v>0</v>
      </c>
      <c r="C320" s="14" t="n">
        <v>27</v>
      </c>
      <c r="D320" s="42" t="n">
        <v>0</v>
      </c>
      <c r="E320" s="41" t="n">
        <v>27.33</v>
      </c>
      <c r="F320" s="5" t="s">
        <v>849</v>
      </c>
    </row>
    <row r="321" customFormat="false" ht="15" hidden="false" customHeight="false" outlineLevel="0" collapsed="false">
      <c r="A321" s="14" t="s">
        <v>2202</v>
      </c>
      <c r="B321" s="14" t="n">
        <v>0</v>
      </c>
      <c r="C321" s="14" t="n">
        <v>27</v>
      </c>
      <c r="D321" s="42" t="n">
        <v>0</v>
      </c>
      <c r="E321" s="41" t="n">
        <v>31.07</v>
      </c>
      <c r="F321" s="5" t="s">
        <v>849</v>
      </c>
    </row>
    <row r="322" customFormat="false" ht="15" hidden="false" customHeight="false" outlineLevel="0" collapsed="false">
      <c r="A322" s="14" t="s">
        <v>2203</v>
      </c>
      <c r="B322" s="14" t="n">
        <v>0</v>
      </c>
      <c r="C322" s="14" t="n">
        <v>27</v>
      </c>
      <c r="D322" s="42" t="n">
        <v>0</v>
      </c>
      <c r="E322" s="41" t="n">
        <v>36.74</v>
      </c>
      <c r="F322" s="5" t="s">
        <v>849</v>
      </c>
    </row>
    <row r="323" customFormat="false" ht="15" hidden="false" customHeight="false" outlineLevel="0" collapsed="false">
      <c r="A323" s="14" t="s">
        <v>2204</v>
      </c>
      <c r="B323" s="14" t="n">
        <v>0</v>
      </c>
      <c r="C323" s="14" t="n">
        <v>27</v>
      </c>
      <c r="D323" s="42" t="n">
        <v>0</v>
      </c>
      <c r="E323" s="41" t="n">
        <v>45.15</v>
      </c>
      <c r="F323" s="5" t="s">
        <v>849</v>
      </c>
    </row>
    <row r="324" customFormat="false" ht="15" hidden="false" customHeight="false" outlineLevel="0" collapsed="false">
      <c r="A324" s="14" t="s">
        <v>2205</v>
      </c>
      <c r="B324" s="14" t="n">
        <v>0</v>
      </c>
      <c r="C324" s="14" t="n">
        <v>26</v>
      </c>
      <c r="D324" s="42" t="n">
        <v>0</v>
      </c>
      <c r="E324" s="41" t="n">
        <v>7.23</v>
      </c>
      <c r="F324" s="5" t="s">
        <v>849</v>
      </c>
    </row>
    <row r="325" customFormat="false" ht="15" hidden="false" customHeight="false" outlineLevel="0" collapsed="false">
      <c r="A325" s="14" t="s">
        <v>2206</v>
      </c>
      <c r="B325" s="14" t="n">
        <v>0</v>
      </c>
      <c r="C325" s="14" t="n">
        <v>26</v>
      </c>
      <c r="D325" s="42" t="n">
        <v>0</v>
      </c>
      <c r="E325" s="41" t="n">
        <v>9.46</v>
      </c>
      <c r="F325" s="5" t="s">
        <v>849</v>
      </c>
    </row>
    <row r="326" customFormat="false" ht="15" hidden="false" customHeight="false" outlineLevel="0" collapsed="false">
      <c r="A326" s="14" t="s">
        <v>2207</v>
      </c>
      <c r="B326" s="14" t="n">
        <v>0</v>
      </c>
      <c r="C326" s="14" t="n">
        <v>26</v>
      </c>
      <c r="D326" s="42" t="n">
        <v>0</v>
      </c>
      <c r="E326" s="41" t="n">
        <v>9.69</v>
      </c>
      <c r="F326" s="5" t="s">
        <v>849</v>
      </c>
    </row>
    <row r="327" customFormat="false" ht="15" hidden="false" customHeight="false" outlineLevel="0" collapsed="false">
      <c r="A327" s="14" t="s">
        <v>2208</v>
      </c>
      <c r="B327" s="14" t="n">
        <v>0</v>
      </c>
      <c r="C327" s="14" t="n">
        <v>26</v>
      </c>
      <c r="D327" s="42" t="n">
        <v>0</v>
      </c>
      <c r="E327" s="41" t="n">
        <v>10.08</v>
      </c>
      <c r="F327" s="5" t="s">
        <v>849</v>
      </c>
    </row>
    <row r="328" customFormat="false" ht="15" hidden="false" customHeight="false" outlineLevel="0" collapsed="false">
      <c r="A328" s="14" t="s">
        <v>2209</v>
      </c>
      <c r="B328" s="14" t="n">
        <v>0</v>
      </c>
      <c r="C328" s="14" t="n">
        <v>26</v>
      </c>
      <c r="D328" s="42" t="n">
        <v>0</v>
      </c>
      <c r="E328" s="41" t="n">
        <v>15.04</v>
      </c>
      <c r="F328" s="5" t="s">
        <v>849</v>
      </c>
    </row>
    <row r="329" customFormat="false" ht="15" hidden="false" customHeight="false" outlineLevel="0" collapsed="false">
      <c r="A329" s="14" t="s">
        <v>2210</v>
      </c>
      <c r="B329" s="14" t="n">
        <v>0</v>
      </c>
      <c r="C329" s="14" t="n">
        <v>26</v>
      </c>
      <c r="D329" s="42" t="n">
        <v>0</v>
      </c>
      <c r="E329" s="41" t="n">
        <v>15.96</v>
      </c>
      <c r="F329" s="5" t="s">
        <v>849</v>
      </c>
    </row>
    <row r="330" customFormat="false" ht="15" hidden="false" customHeight="false" outlineLevel="0" collapsed="false">
      <c r="A330" s="14" t="s">
        <v>2211</v>
      </c>
      <c r="B330" s="14" t="n">
        <v>0</v>
      </c>
      <c r="C330" s="14" t="n">
        <v>26</v>
      </c>
      <c r="D330" s="42" t="n">
        <v>0</v>
      </c>
      <c r="E330" s="41" t="n">
        <v>19.73</v>
      </c>
      <c r="F330" s="5" t="s">
        <v>849</v>
      </c>
    </row>
    <row r="331" customFormat="false" ht="15" hidden="false" customHeight="false" outlineLevel="0" collapsed="false">
      <c r="A331" s="14" t="s">
        <v>2212</v>
      </c>
      <c r="B331" s="14" t="n">
        <v>0</v>
      </c>
      <c r="C331" s="14" t="n">
        <v>26</v>
      </c>
      <c r="D331" s="42" t="n">
        <v>0</v>
      </c>
      <c r="E331" s="41" t="n">
        <v>22.15</v>
      </c>
      <c r="F331" s="5" t="s">
        <v>849</v>
      </c>
    </row>
    <row r="332" customFormat="false" ht="15" hidden="false" customHeight="false" outlineLevel="0" collapsed="false">
      <c r="A332" s="14" t="s">
        <v>2213</v>
      </c>
      <c r="B332" s="14" t="n">
        <v>0</v>
      </c>
      <c r="C332" s="14" t="n">
        <v>26</v>
      </c>
      <c r="D332" s="42" t="n">
        <v>0</v>
      </c>
      <c r="E332" s="41" t="n">
        <v>23.85</v>
      </c>
      <c r="F332" s="5" t="s">
        <v>850</v>
      </c>
    </row>
    <row r="333" customFormat="false" ht="15" hidden="false" customHeight="false" outlineLevel="0" collapsed="false">
      <c r="A333" s="14" t="s">
        <v>2214</v>
      </c>
      <c r="B333" s="14" t="n">
        <v>0</v>
      </c>
      <c r="C333" s="14" t="n">
        <v>26</v>
      </c>
      <c r="D333" s="42" t="n">
        <v>0</v>
      </c>
      <c r="E333" s="41" t="n">
        <v>28.23</v>
      </c>
      <c r="F333" s="5" t="s">
        <v>849</v>
      </c>
    </row>
    <row r="334" customFormat="false" ht="15" hidden="false" customHeight="false" outlineLevel="0" collapsed="false">
      <c r="A334" s="14" t="s">
        <v>2215</v>
      </c>
      <c r="B334" s="14" t="n">
        <v>0</v>
      </c>
      <c r="C334" s="14" t="n">
        <v>26</v>
      </c>
      <c r="D334" s="42" t="n">
        <v>0</v>
      </c>
      <c r="E334" s="41" t="n">
        <v>29.15</v>
      </c>
      <c r="F334" s="5" t="s">
        <v>849</v>
      </c>
    </row>
    <row r="335" customFormat="false" ht="15" hidden="false" customHeight="false" outlineLevel="0" collapsed="false">
      <c r="A335" s="14" t="s">
        <v>2216</v>
      </c>
      <c r="B335" s="14" t="n">
        <v>0</v>
      </c>
      <c r="C335" s="14" t="n">
        <v>26</v>
      </c>
      <c r="D335" s="42" t="n">
        <v>0</v>
      </c>
      <c r="E335" s="41" t="n">
        <v>30.62</v>
      </c>
      <c r="F335" s="5" t="s">
        <v>849</v>
      </c>
    </row>
    <row r="336" customFormat="false" ht="15" hidden="false" customHeight="false" outlineLevel="0" collapsed="false">
      <c r="A336" s="14" t="s">
        <v>2217</v>
      </c>
      <c r="B336" s="14" t="n">
        <v>0</v>
      </c>
      <c r="C336" s="14" t="n">
        <v>26</v>
      </c>
      <c r="D336" s="42" t="n">
        <v>0</v>
      </c>
      <c r="E336" s="41" t="n">
        <v>32.81</v>
      </c>
      <c r="F336" s="5" t="s">
        <v>849</v>
      </c>
    </row>
    <row r="337" customFormat="false" ht="15" hidden="false" customHeight="false" outlineLevel="0" collapsed="false">
      <c r="A337" s="14" t="s">
        <v>2218</v>
      </c>
      <c r="B337" s="14" t="n">
        <v>0</v>
      </c>
      <c r="C337" s="14" t="n">
        <v>25</v>
      </c>
      <c r="D337" s="42" t="n">
        <v>0</v>
      </c>
      <c r="E337" s="41" t="n">
        <v>7.48</v>
      </c>
      <c r="F337" s="5" t="s">
        <v>849</v>
      </c>
    </row>
    <row r="338" customFormat="false" ht="15" hidden="false" customHeight="false" outlineLevel="0" collapsed="false">
      <c r="A338" s="14" t="s">
        <v>2219</v>
      </c>
      <c r="B338" s="14" t="n">
        <v>0</v>
      </c>
      <c r="C338" s="14" t="n">
        <v>25</v>
      </c>
      <c r="D338" s="42" t="n">
        <v>0</v>
      </c>
      <c r="E338" s="41" t="n">
        <v>9.48</v>
      </c>
      <c r="F338" s="5" t="s">
        <v>849</v>
      </c>
    </row>
    <row r="339" customFormat="false" ht="15" hidden="false" customHeight="false" outlineLevel="0" collapsed="false">
      <c r="A339" s="14" t="s">
        <v>2220</v>
      </c>
      <c r="B339" s="14" t="n">
        <v>0</v>
      </c>
      <c r="C339" s="14" t="n">
        <v>25</v>
      </c>
      <c r="D339" s="42" t="n">
        <v>0</v>
      </c>
      <c r="E339" s="41" t="n">
        <v>13.36</v>
      </c>
      <c r="F339" s="5" t="s">
        <v>849</v>
      </c>
    </row>
    <row r="340" customFormat="false" ht="15" hidden="false" customHeight="false" outlineLevel="0" collapsed="false">
      <c r="A340" s="14" t="s">
        <v>2221</v>
      </c>
      <c r="B340" s="14" t="n">
        <v>0</v>
      </c>
      <c r="C340" s="14" t="n">
        <v>25</v>
      </c>
      <c r="D340" s="42" t="n">
        <v>0</v>
      </c>
      <c r="E340" s="41" t="n">
        <v>20.64</v>
      </c>
      <c r="F340" s="5" t="s">
        <v>849</v>
      </c>
    </row>
    <row r="341" customFormat="false" ht="15" hidden="false" customHeight="false" outlineLevel="0" collapsed="false">
      <c r="A341" s="14" t="s">
        <v>2222</v>
      </c>
      <c r="B341" s="14" t="n">
        <v>0</v>
      </c>
      <c r="C341" s="14" t="n">
        <v>25</v>
      </c>
      <c r="D341" s="42" t="n">
        <v>0</v>
      </c>
      <c r="E341" s="41" t="n">
        <v>21.52</v>
      </c>
      <c r="F341" s="5" t="s">
        <v>849</v>
      </c>
    </row>
    <row r="342" customFormat="false" ht="15" hidden="false" customHeight="false" outlineLevel="0" collapsed="false">
      <c r="A342" s="14" t="s">
        <v>2223</v>
      </c>
      <c r="B342" s="14" t="n">
        <v>0</v>
      </c>
      <c r="C342" s="14" t="n">
        <v>25</v>
      </c>
      <c r="D342" s="42" t="n">
        <v>0</v>
      </c>
      <c r="E342" s="41" t="n">
        <v>26.04</v>
      </c>
      <c r="F342" s="5" t="s">
        <v>849</v>
      </c>
    </row>
    <row r="343" customFormat="false" ht="15" hidden="false" customHeight="false" outlineLevel="0" collapsed="false">
      <c r="A343" s="14" t="s">
        <v>2224</v>
      </c>
      <c r="B343" s="14" t="n">
        <v>0</v>
      </c>
      <c r="C343" s="14" t="n">
        <v>25</v>
      </c>
      <c r="D343" s="42" t="n">
        <v>0</v>
      </c>
      <c r="E343" s="41" t="n">
        <v>30.72</v>
      </c>
      <c r="F343" s="5" t="s">
        <v>849</v>
      </c>
    </row>
    <row r="344" customFormat="false" ht="15" hidden="false" customHeight="false" outlineLevel="0" collapsed="false">
      <c r="A344" s="14" t="s">
        <v>2225</v>
      </c>
      <c r="B344" s="14" t="n">
        <v>0</v>
      </c>
      <c r="C344" s="14" t="n">
        <v>25</v>
      </c>
      <c r="D344" s="42" t="n">
        <v>0</v>
      </c>
      <c r="E344" s="41" t="n">
        <v>33.72</v>
      </c>
      <c r="F344" s="5" t="s">
        <v>849</v>
      </c>
    </row>
    <row r="345" customFormat="false" ht="15" hidden="false" customHeight="false" outlineLevel="0" collapsed="false">
      <c r="A345" s="14" t="s">
        <v>2226</v>
      </c>
      <c r="B345" s="14" t="n">
        <v>0</v>
      </c>
      <c r="C345" s="14" t="n">
        <v>25</v>
      </c>
      <c r="D345" s="42" t="n">
        <v>0</v>
      </c>
      <c r="E345" s="41" t="n">
        <v>45.04</v>
      </c>
      <c r="F345" s="5" t="s">
        <v>847</v>
      </c>
    </row>
    <row r="346" customFormat="false" ht="15" hidden="false" customHeight="false" outlineLevel="0" collapsed="false">
      <c r="A346" s="14" t="s">
        <v>2227</v>
      </c>
      <c r="B346" s="14" t="n">
        <v>0</v>
      </c>
      <c r="C346" s="14" t="n">
        <v>24</v>
      </c>
      <c r="D346" s="42" t="n">
        <v>0</v>
      </c>
      <c r="E346" s="41" t="n">
        <v>11.79</v>
      </c>
      <c r="F346" s="5" t="s">
        <v>849</v>
      </c>
    </row>
    <row r="347" customFormat="false" ht="15" hidden="false" customHeight="false" outlineLevel="0" collapsed="false">
      <c r="A347" s="14" t="s">
        <v>2228</v>
      </c>
      <c r="B347" s="14" t="n">
        <v>0</v>
      </c>
      <c r="C347" s="14" t="n">
        <v>24</v>
      </c>
      <c r="D347" s="42" t="n">
        <v>0</v>
      </c>
      <c r="E347" s="41" t="n">
        <v>12.33</v>
      </c>
      <c r="F347" s="5" t="s">
        <v>849</v>
      </c>
    </row>
    <row r="348" customFormat="false" ht="15" hidden="false" customHeight="false" outlineLevel="0" collapsed="false">
      <c r="A348" s="14" t="s">
        <v>2229</v>
      </c>
      <c r="B348" s="14" t="n">
        <v>0</v>
      </c>
      <c r="C348" s="14" t="n">
        <v>24</v>
      </c>
      <c r="D348" s="42" t="n">
        <v>0</v>
      </c>
      <c r="E348" s="41" t="n">
        <v>15.75</v>
      </c>
      <c r="F348" s="5" t="s">
        <v>849</v>
      </c>
    </row>
    <row r="349" customFormat="false" ht="15" hidden="false" customHeight="false" outlineLevel="0" collapsed="false">
      <c r="A349" s="14" t="s">
        <v>2230</v>
      </c>
      <c r="B349" s="14" t="n">
        <v>0</v>
      </c>
      <c r="C349" s="14" t="n">
        <v>24</v>
      </c>
      <c r="D349" s="42" t="n">
        <v>0</v>
      </c>
      <c r="E349" s="41" t="n">
        <v>16.46</v>
      </c>
      <c r="F349" s="5" t="s">
        <v>846</v>
      </c>
    </row>
    <row r="350" customFormat="false" ht="15" hidden="false" customHeight="false" outlineLevel="0" collapsed="false">
      <c r="A350" s="14" t="s">
        <v>2231</v>
      </c>
      <c r="B350" s="14" t="n">
        <v>0</v>
      </c>
      <c r="C350" s="14" t="n">
        <v>24</v>
      </c>
      <c r="D350" s="42" t="n">
        <v>0</v>
      </c>
      <c r="E350" s="41" t="n">
        <v>16.58</v>
      </c>
      <c r="F350" s="5" t="s">
        <v>849</v>
      </c>
    </row>
    <row r="351" customFormat="false" ht="15" hidden="false" customHeight="false" outlineLevel="0" collapsed="false">
      <c r="A351" s="14" t="s">
        <v>2232</v>
      </c>
      <c r="B351" s="14" t="n">
        <v>0</v>
      </c>
      <c r="C351" s="14" t="n">
        <v>24</v>
      </c>
      <c r="D351" s="42" t="n">
        <v>0</v>
      </c>
      <c r="E351" s="41" t="n">
        <v>17.67</v>
      </c>
      <c r="F351" s="5" t="s">
        <v>849</v>
      </c>
    </row>
    <row r="352" customFormat="false" ht="15" hidden="false" customHeight="false" outlineLevel="0" collapsed="false">
      <c r="A352" s="14" t="s">
        <v>2233</v>
      </c>
      <c r="B352" s="14" t="n">
        <v>0</v>
      </c>
      <c r="C352" s="14" t="n">
        <v>24</v>
      </c>
      <c r="D352" s="42" t="n">
        <v>0</v>
      </c>
      <c r="E352" s="41" t="n">
        <v>18.25</v>
      </c>
      <c r="F352" s="5" t="s">
        <v>849</v>
      </c>
    </row>
    <row r="353" customFormat="false" ht="15" hidden="false" customHeight="false" outlineLevel="0" collapsed="false">
      <c r="A353" s="14" t="s">
        <v>2234</v>
      </c>
      <c r="B353" s="14" t="n">
        <v>0</v>
      </c>
      <c r="C353" s="14" t="n">
        <v>24</v>
      </c>
      <c r="D353" s="42" t="n">
        <v>0</v>
      </c>
      <c r="E353" s="41" t="n">
        <v>20.79</v>
      </c>
      <c r="F353" s="5" t="s">
        <v>849</v>
      </c>
    </row>
    <row r="354" customFormat="false" ht="15" hidden="false" customHeight="false" outlineLevel="0" collapsed="false">
      <c r="A354" s="14" t="s">
        <v>2235</v>
      </c>
      <c r="B354" s="14" t="n">
        <v>0</v>
      </c>
      <c r="C354" s="14" t="n">
        <v>24</v>
      </c>
      <c r="D354" s="42" t="n">
        <v>0</v>
      </c>
      <c r="E354" s="41" t="n">
        <v>22.58</v>
      </c>
      <c r="F354" s="5" t="s">
        <v>849</v>
      </c>
    </row>
    <row r="355" customFormat="false" ht="15" hidden="false" customHeight="false" outlineLevel="0" collapsed="false">
      <c r="A355" s="14" t="s">
        <v>2236</v>
      </c>
      <c r="B355" s="14" t="n">
        <v>0</v>
      </c>
      <c r="C355" s="14" t="n">
        <v>24</v>
      </c>
      <c r="D355" s="42" t="n">
        <v>0</v>
      </c>
      <c r="E355" s="41" t="n">
        <v>23.04</v>
      </c>
      <c r="F355" s="5" t="s">
        <v>849</v>
      </c>
    </row>
    <row r="356" customFormat="false" ht="15" hidden="false" customHeight="false" outlineLevel="0" collapsed="false">
      <c r="A356" s="14" t="s">
        <v>2237</v>
      </c>
      <c r="B356" s="14" t="n">
        <v>0</v>
      </c>
      <c r="C356" s="14" t="n">
        <v>24</v>
      </c>
      <c r="D356" s="42" t="n">
        <v>0</v>
      </c>
      <c r="E356" s="41" t="n">
        <v>23.83</v>
      </c>
      <c r="F356" s="5" t="s">
        <v>849</v>
      </c>
    </row>
    <row r="357" customFormat="false" ht="15" hidden="false" customHeight="false" outlineLevel="0" collapsed="false">
      <c r="A357" s="14" t="s">
        <v>2238</v>
      </c>
      <c r="B357" s="14" t="n">
        <v>0</v>
      </c>
      <c r="C357" s="14" t="n">
        <v>24</v>
      </c>
      <c r="D357" s="42" t="n">
        <v>0</v>
      </c>
      <c r="E357" s="41" t="n">
        <v>24.04</v>
      </c>
      <c r="F357" s="5" t="s">
        <v>849</v>
      </c>
    </row>
    <row r="358" customFormat="false" ht="15" hidden="false" customHeight="false" outlineLevel="0" collapsed="false">
      <c r="A358" s="14" t="s">
        <v>2239</v>
      </c>
      <c r="B358" s="14" t="n">
        <v>0</v>
      </c>
      <c r="C358" s="14" t="n">
        <v>24</v>
      </c>
      <c r="D358" s="42" t="n">
        <v>0</v>
      </c>
      <c r="E358" s="41" t="n">
        <v>28.12</v>
      </c>
      <c r="F358" s="5" t="s">
        <v>849</v>
      </c>
    </row>
    <row r="359" customFormat="false" ht="15" hidden="false" customHeight="false" outlineLevel="0" collapsed="false">
      <c r="A359" s="14" t="s">
        <v>2240</v>
      </c>
      <c r="B359" s="14" t="n">
        <v>0</v>
      </c>
      <c r="C359" s="14" t="n">
        <v>24</v>
      </c>
      <c r="D359" s="42" t="n">
        <v>0</v>
      </c>
      <c r="E359" s="41" t="n">
        <v>35.71</v>
      </c>
      <c r="F359" s="5" t="s">
        <v>847</v>
      </c>
    </row>
    <row r="360" customFormat="false" ht="15" hidden="false" customHeight="false" outlineLevel="0" collapsed="false">
      <c r="A360" s="14" t="s">
        <v>2241</v>
      </c>
      <c r="B360" s="14" t="n">
        <v>0</v>
      </c>
      <c r="C360" s="14" t="n">
        <v>24</v>
      </c>
      <c r="D360" s="42" t="n">
        <v>0</v>
      </c>
      <c r="E360" s="41" t="n">
        <v>39.38</v>
      </c>
      <c r="F360" s="5" t="s">
        <v>849</v>
      </c>
    </row>
    <row r="361" customFormat="false" ht="15" hidden="false" customHeight="false" outlineLevel="0" collapsed="false">
      <c r="A361" s="14" t="s">
        <v>2242</v>
      </c>
      <c r="B361" s="14" t="n">
        <v>0</v>
      </c>
      <c r="C361" s="14" t="n">
        <v>23</v>
      </c>
      <c r="D361" s="42" t="n">
        <v>0</v>
      </c>
      <c r="E361" s="41" t="n">
        <v>7.87</v>
      </c>
      <c r="F361" s="5" t="s">
        <v>849</v>
      </c>
    </row>
    <row r="362" customFormat="false" ht="15" hidden="false" customHeight="false" outlineLevel="0" collapsed="false">
      <c r="A362" s="14" t="s">
        <v>2243</v>
      </c>
      <c r="B362" s="14" t="n">
        <v>0</v>
      </c>
      <c r="C362" s="14" t="n">
        <v>23</v>
      </c>
      <c r="D362" s="42" t="n">
        <v>0</v>
      </c>
      <c r="E362" s="41" t="n">
        <v>10.61</v>
      </c>
      <c r="F362" s="5" t="s">
        <v>849</v>
      </c>
    </row>
    <row r="363" customFormat="false" ht="15" hidden="false" customHeight="false" outlineLevel="0" collapsed="false">
      <c r="A363" s="14" t="s">
        <v>2244</v>
      </c>
      <c r="B363" s="14" t="n">
        <v>0</v>
      </c>
      <c r="C363" s="14" t="n">
        <v>23</v>
      </c>
      <c r="D363" s="42" t="n">
        <v>0</v>
      </c>
      <c r="E363" s="41" t="n">
        <v>10.61</v>
      </c>
      <c r="F363" s="5" t="s">
        <v>849</v>
      </c>
    </row>
    <row r="364" customFormat="false" ht="15" hidden="false" customHeight="false" outlineLevel="0" collapsed="false">
      <c r="A364" s="14" t="s">
        <v>2245</v>
      </c>
      <c r="B364" s="14" t="n">
        <v>0</v>
      </c>
      <c r="C364" s="14" t="n">
        <v>23</v>
      </c>
      <c r="D364" s="42" t="n">
        <v>0</v>
      </c>
      <c r="E364" s="41" t="n">
        <v>11.91</v>
      </c>
      <c r="F364" s="5" t="s">
        <v>849</v>
      </c>
    </row>
    <row r="365" customFormat="false" ht="15" hidden="false" customHeight="false" outlineLevel="0" collapsed="false">
      <c r="A365" s="14" t="s">
        <v>2246</v>
      </c>
      <c r="B365" s="14" t="n">
        <v>0</v>
      </c>
      <c r="C365" s="14" t="n">
        <v>23</v>
      </c>
      <c r="D365" s="42" t="n">
        <v>0</v>
      </c>
      <c r="E365" s="41" t="n">
        <v>12.87</v>
      </c>
      <c r="F365" s="5" t="s">
        <v>849</v>
      </c>
    </row>
    <row r="366" customFormat="false" ht="15" hidden="false" customHeight="false" outlineLevel="0" collapsed="false">
      <c r="A366" s="14" t="s">
        <v>2247</v>
      </c>
      <c r="B366" s="14" t="n">
        <v>0</v>
      </c>
      <c r="C366" s="14" t="n">
        <v>23</v>
      </c>
      <c r="D366" s="42" t="n">
        <v>0</v>
      </c>
      <c r="E366" s="41" t="n">
        <v>14.61</v>
      </c>
      <c r="F366" s="5" t="s">
        <v>849</v>
      </c>
    </row>
    <row r="367" customFormat="false" ht="15" hidden="false" customHeight="false" outlineLevel="0" collapsed="false">
      <c r="A367" s="14" t="s">
        <v>2248</v>
      </c>
      <c r="B367" s="14" t="n">
        <v>0</v>
      </c>
      <c r="C367" s="14" t="n">
        <v>23</v>
      </c>
      <c r="D367" s="42" t="n">
        <v>0</v>
      </c>
      <c r="E367" s="41" t="n">
        <v>16.17</v>
      </c>
      <c r="F367" s="5" t="s">
        <v>849</v>
      </c>
    </row>
    <row r="368" customFormat="false" ht="15" hidden="false" customHeight="false" outlineLevel="0" collapsed="false">
      <c r="A368" s="14" t="s">
        <v>2249</v>
      </c>
      <c r="B368" s="14" t="n">
        <v>0</v>
      </c>
      <c r="C368" s="14" t="n">
        <v>23</v>
      </c>
      <c r="D368" s="42" t="n">
        <v>0</v>
      </c>
      <c r="E368" s="41" t="n">
        <v>17.91</v>
      </c>
      <c r="F368" s="5" t="s">
        <v>850</v>
      </c>
    </row>
    <row r="369" customFormat="false" ht="15" hidden="false" customHeight="false" outlineLevel="0" collapsed="false">
      <c r="A369" s="14" t="s">
        <v>2250</v>
      </c>
      <c r="B369" s="14" t="n">
        <v>0</v>
      </c>
      <c r="C369" s="14" t="n">
        <v>23</v>
      </c>
      <c r="D369" s="42" t="n">
        <v>0</v>
      </c>
      <c r="E369" s="41" t="n">
        <v>18</v>
      </c>
      <c r="F369" s="5" t="s">
        <v>849</v>
      </c>
    </row>
    <row r="370" customFormat="false" ht="15" hidden="false" customHeight="false" outlineLevel="0" collapsed="false">
      <c r="A370" s="14" t="s">
        <v>2251</v>
      </c>
      <c r="B370" s="14" t="n">
        <v>0</v>
      </c>
      <c r="C370" s="14" t="n">
        <v>23</v>
      </c>
      <c r="D370" s="42" t="n">
        <v>0</v>
      </c>
      <c r="E370" s="41" t="n">
        <v>19.78</v>
      </c>
      <c r="F370" s="5" t="s">
        <v>849</v>
      </c>
    </row>
    <row r="371" customFormat="false" ht="15" hidden="false" customHeight="false" outlineLevel="0" collapsed="false">
      <c r="A371" s="14" t="s">
        <v>2252</v>
      </c>
      <c r="B371" s="14" t="n">
        <v>0</v>
      </c>
      <c r="C371" s="14" t="n">
        <v>23</v>
      </c>
      <c r="D371" s="42" t="n">
        <v>0</v>
      </c>
      <c r="E371" s="41" t="n">
        <v>21.48</v>
      </c>
      <c r="F371" s="5" t="s">
        <v>849</v>
      </c>
    </row>
    <row r="372" customFormat="false" ht="15" hidden="false" customHeight="false" outlineLevel="0" collapsed="false">
      <c r="A372" s="14" t="s">
        <v>2253</v>
      </c>
      <c r="B372" s="14" t="n">
        <v>0</v>
      </c>
      <c r="C372" s="14" t="n">
        <v>23</v>
      </c>
      <c r="D372" s="42" t="n">
        <v>0</v>
      </c>
      <c r="E372" s="41" t="n">
        <v>23.3</v>
      </c>
      <c r="F372" s="5" t="s">
        <v>849</v>
      </c>
    </row>
    <row r="373" customFormat="false" ht="15" hidden="false" customHeight="false" outlineLevel="0" collapsed="false">
      <c r="A373" s="14" t="s">
        <v>2254</v>
      </c>
      <c r="B373" s="14" t="n">
        <v>0</v>
      </c>
      <c r="C373" s="14" t="n">
        <v>23</v>
      </c>
      <c r="D373" s="42" t="n">
        <v>0</v>
      </c>
      <c r="E373" s="41" t="n">
        <v>23.3</v>
      </c>
      <c r="F373" s="5" t="s">
        <v>849</v>
      </c>
    </row>
    <row r="374" customFormat="false" ht="15" hidden="false" customHeight="false" outlineLevel="0" collapsed="false">
      <c r="A374" s="14" t="s">
        <v>2255</v>
      </c>
      <c r="B374" s="14" t="n">
        <v>0</v>
      </c>
      <c r="C374" s="14" t="n">
        <v>23</v>
      </c>
      <c r="D374" s="42" t="n">
        <v>0</v>
      </c>
      <c r="E374" s="41" t="n">
        <v>24</v>
      </c>
      <c r="F374" s="5" t="s">
        <v>849</v>
      </c>
    </row>
    <row r="375" customFormat="false" ht="15" hidden="false" customHeight="false" outlineLevel="0" collapsed="false">
      <c r="A375" s="14" t="s">
        <v>2256</v>
      </c>
      <c r="B375" s="14" t="n">
        <v>0</v>
      </c>
      <c r="C375" s="14" t="n">
        <v>23</v>
      </c>
      <c r="D375" s="42" t="n">
        <v>0</v>
      </c>
      <c r="E375" s="41" t="n">
        <v>24.17</v>
      </c>
      <c r="F375" s="5" t="s">
        <v>849</v>
      </c>
    </row>
    <row r="376" customFormat="false" ht="15" hidden="false" customHeight="false" outlineLevel="0" collapsed="false">
      <c r="A376" s="14" t="s">
        <v>2257</v>
      </c>
      <c r="B376" s="14" t="n">
        <v>0</v>
      </c>
      <c r="C376" s="14" t="n">
        <v>23</v>
      </c>
      <c r="D376" s="42" t="n">
        <v>0</v>
      </c>
      <c r="E376" s="41" t="n">
        <v>33.91</v>
      </c>
      <c r="F376" s="5" t="s">
        <v>849</v>
      </c>
    </row>
    <row r="377" customFormat="false" ht="15" hidden="false" customHeight="false" outlineLevel="0" collapsed="false">
      <c r="A377" s="14" t="s">
        <v>2258</v>
      </c>
      <c r="B377" s="14" t="n">
        <v>0</v>
      </c>
      <c r="C377" s="14" t="n">
        <v>23</v>
      </c>
      <c r="D377" s="42" t="n">
        <v>0</v>
      </c>
      <c r="E377" s="41" t="n">
        <v>40.91</v>
      </c>
      <c r="F377" s="5" t="s">
        <v>849</v>
      </c>
    </row>
    <row r="378" customFormat="false" ht="15" hidden="false" customHeight="false" outlineLevel="0" collapsed="false">
      <c r="A378" s="14" t="s">
        <v>2259</v>
      </c>
      <c r="B378" s="14" t="n">
        <v>0</v>
      </c>
      <c r="C378" s="14" t="n">
        <v>22</v>
      </c>
      <c r="D378" s="42" t="n">
        <v>0</v>
      </c>
      <c r="E378" s="41" t="n">
        <v>9.05</v>
      </c>
      <c r="F378" s="5" t="s">
        <v>844</v>
      </c>
    </row>
    <row r="379" customFormat="false" ht="15" hidden="false" customHeight="false" outlineLevel="0" collapsed="false">
      <c r="A379" s="14" t="s">
        <v>2260</v>
      </c>
      <c r="B379" s="14" t="n">
        <v>0</v>
      </c>
      <c r="C379" s="14" t="n">
        <v>22</v>
      </c>
      <c r="D379" s="42" t="n">
        <v>0</v>
      </c>
      <c r="E379" s="41" t="n">
        <v>11.68</v>
      </c>
      <c r="F379" s="5" t="s">
        <v>849</v>
      </c>
    </row>
    <row r="380" customFormat="false" ht="15" hidden="false" customHeight="false" outlineLevel="0" collapsed="false">
      <c r="A380" s="14" t="s">
        <v>2261</v>
      </c>
      <c r="B380" s="14" t="n">
        <v>0</v>
      </c>
      <c r="C380" s="14" t="n">
        <v>22</v>
      </c>
      <c r="D380" s="42" t="n">
        <v>0</v>
      </c>
      <c r="E380" s="41" t="n">
        <v>12.18</v>
      </c>
      <c r="F380" s="5" t="s">
        <v>849</v>
      </c>
    </row>
    <row r="381" customFormat="false" ht="15" hidden="false" customHeight="false" outlineLevel="0" collapsed="false">
      <c r="A381" s="14" t="s">
        <v>2262</v>
      </c>
      <c r="B381" s="14" t="n">
        <v>0</v>
      </c>
      <c r="C381" s="14" t="n">
        <v>22</v>
      </c>
      <c r="D381" s="42" t="n">
        <v>0</v>
      </c>
      <c r="E381" s="41" t="n">
        <v>12.41</v>
      </c>
      <c r="F381" s="5" t="s">
        <v>849</v>
      </c>
    </row>
    <row r="382" customFormat="false" ht="15" hidden="false" customHeight="false" outlineLevel="0" collapsed="false">
      <c r="A382" s="14" t="s">
        <v>2263</v>
      </c>
      <c r="B382" s="14" t="n">
        <v>0</v>
      </c>
      <c r="C382" s="14" t="n">
        <v>22</v>
      </c>
      <c r="D382" s="42" t="n">
        <v>0</v>
      </c>
      <c r="E382" s="41" t="n">
        <v>12.77</v>
      </c>
      <c r="F382" s="5" t="s">
        <v>849</v>
      </c>
    </row>
    <row r="383" customFormat="false" ht="15" hidden="false" customHeight="false" outlineLevel="0" collapsed="false">
      <c r="A383" s="14" t="s">
        <v>2264</v>
      </c>
      <c r="B383" s="14" t="n">
        <v>0</v>
      </c>
      <c r="C383" s="14" t="n">
        <v>22</v>
      </c>
      <c r="D383" s="42" t="n">
        <v>0</v>
      </c>
      <c r="E383" s="41" t="n">
        <v>13.14</v>
      </c>
      <c r="F383" s="5" t="s">
        <v>849</v>
      </c>
    </row>
    <row r="384" customFormat="false" ht="15" hidden="false" customHeight="false" outlineLevel="0" collapsed="false">
      <c r="A384" s="14" t="s">
        <v>2265</v>
      </c>
      <c r="B384" s="14" t="n">
        <v>0</v>
      </c>
      <c r="C384" s="14" t="n">
        <v>22</v>
      </c>
      <c r="D384" s="42" t="n">
        <v>0</v>
      </c>
      <c r="E384" s="41" t="n">
        <v>14.5</v>
      </c>
      <c r="F384" s="5" t="s">
        <v>849</v>
      </c>
    </row>
    <row r="385" customFormat="false" ht="15" hidden="false" customHeight="false" outlineLevel="0" collapsed="false">
      <c r="A385" s="14" t="s">
        <v>2266</v>
      </c>
      <c r="B385" s="14" t="n">
        <v>0</v>
      </c>
      <c r="C385" s="14" t="n">
        <v>22</v>
      </c>
      <c r="D385" s="42" t="n">
        <v>0</v>
      </c>
      <c r="E385" s="41" t="n">
        <v>18.5</v>
      </c>
      <c r="F385" s="5" t="s">
        <v>849</v>
      </c>
    </row>
    <row r="386" customFormat="false" ht="15" hidden="false" customHeight="false" outlineLevel="0" collapsed="false">
      <c r="A386" s="14" t="s">
        <v>2267</v>
      </c>
      <c r="B386" s="14" t="n">
        <v>0</v>
      </c>
      <c r="C386" s="14" t="n">
        <v>22</v>
      </c>
      <c r="D386" s="42" t="n">
        <v>0</v>
      </c>
      <c r="E386" s="41" t="n">
        <v>23.18</v>
      </c>
      <c r="F386" s="5" t="s">
        <v>849</v>
      </c>
    </row>
    <row r="387" customFormat="false" ht="15" hidden="false" customHeight="false" outlineLevel="0" collapsed="false">
      <c r="A387" s="14" t="s">
        <v>2268</v>
      </c>
      <c r="B387" s="14" t="n">
        <v>0</v>
      </c>
      <c r="C387" s="14" t="n">
        <v>22</v>
      </c>
      <c r="D387" s="42" t="n">
        <v>0</v>
      </c>
      <c r="E387" s="41" t="n">
        <v>24.41</v>
      </c>
      <c r="F387" s="5" t="s">
        <v>850</v>
      </c>
    </row>
    <row r="388" customFormat="false" ht="15" hidden="false" customHeight="false" outlineLevel="0" collapsed="false">
      <c r="A388" s="14" t="s">
        <v>2269</v>
      </c>
      <c r="B388" s="14" t="n">
        <v>0</v>
      </c>
      <c r="C388" s="14" t="n">
        <v>22</v>
      </c>
      <c r="D388" s="42" t="n">
        <v>0</v>
      </c>
      <c r="E388" s="41" t="n">
        <v>24.45</v>
      </c>
      <c r="F388" s="5" t="s">
        <v>849</v>
      </c>
    </row>
    <row r="389" customFormat="false" ht="15" hidden="false" customHeight="false" outlineLevel="0" collapsed="false">
      <c r="A389" s="14" t="s">
        <v>2270</v>
      </c>
      <c r="B389" s="14" t="n">
        <v>0</v>
      </c>
      <c r="C389" s="14" t="n">
        <v>22</v>
      </c>
      <c r="D389" s="42" t="n">
        <v>0</v>
      </c>
      <c r="E389" s="41" t="n">
        <v>27.27</v>
      </c>
      <c r="F389" s="5" t="s">
        <v>849</v>
      </c>
    </row>
    <row r="390" customFormat="false" ht="15" hidden="false" customHeight="false" outlineLevel="0" collapsed="false">
      <c r="A390" s="14" t="s">
        <v>2271</v>
      </c>
      <c r="B390" s="14" t="n">
        <v>0</v>
      </c>
      <c r="C390" s="14" t="n">
        <v>22</v>
      </c>
      <c r="D390" s="42" t="n">
        <v>0</v>
      </c>
      <c r="E390" s="41" t="n">
        <v>28.5</v>
      </c>
      <c r="F390" s="5" t="s">
        <v>850</v>
      </c>
    </row>
    <row r="391" customFormat="false" ht="15" hidden="false" customHeight="false" outlineLevel="0" collapsed="false">
      <c r="A391" s="14" t="s">
        <v>2272</v>
      </c>
      <c r="B391" s="14" t="n">
        <v>0</v>
      </c>
      <c r="C391" s="14" t="n">
        <v>22</v>
      </c>
      <c r="D391" s="42" t="n">
        <v>0</v>
      </c>
      <c r="E391" s="41" t="n">
        <v>36.68</v>
      </c>
      <c r="F391" s="5" t="s">
        <v>849</v>
      </c>
    </row>
    <row r="392" customFormat="false" ht="15" hidden="false" customHeight="false" outlineLevel="0" collapsed="false">
      <c r="A392" s="14" t="s">
        <v>2273</v>
      </c>
      <c r="B392" s="14" t="n">
        <v>0</v>
      </c>
      <c r="C392" s="14" t="n">
        <v>22</v>
      </c>
      <c r="D392" s="42" t="n">
        <v>0</v>
      </c>
      <c r="E392" s="41" t="n">
        <v>46</v>
      </c>
      <c r="F392" s="5" t="s">
        <v>849</v>
      </c>
    </row>
    <row r="393" customFormat="false" ht="15" hidden="false" customHeight="false" outlineLevel="0" collapsed="false">
      <c r="A393" s="14" t="s">
        <v>2274</v>
      </c>
      <c r="B393" s="14" t="n">
        <v>0</v>
      </c>
      <c r="C393" s="14" t="n">
        <v>21</v>
      </c>
      <c r="D393" s="42" t="n">
        <v>0</v>
      </c>
      <c r="E393" s="41" t="n">
        <v>6.81</v>
      </c>
      <c r="F393" s="5" t="s">
        <v>850</v>
      </c>
    </row>
    <row r="394" customFormat="false" ht="15" hidden="false" customHeight="false" outlineLevel="0" collapsed="false">
      <c r="A394" s="14" t="s">
        <v>2275</v>
      </c>
      <c r="B394" s="14" t="n">
        <v>0</v>
      </c>
      <c r="C394" s="14" t="n">
        <v>21</v>
      </c>
      <c r="D394" s="42" t="n">
        <v>0</v>
      </c>
      <c r="E394" s="41" t="n">
        <v>9.86</v>
      </c>
      <c r="F394" s="5" t="s">
        <v>849</v>
      </c>
    </row>
    <row r="395" customFormat="false" ht="15" hidden="false" customHeight="false" outlineLevel="0" collapsed="false">
      <c r="A395" s="14" t="s">
        <v>2276</v>
      </c>
      <c r="B395" s="14" t="n">
        <v>0</v>
      </c>
      <c r="C395" s="14" t="n">
        <v>21</v>
      </c>
      <c r="D395" s="42" t="n">
        <v>0</v>
      </c>
      <c r="E395" s="41" t="n">
        <v>10.1</v>
      </c>
      <c r="F395" s="5" t="s">
        <v>849</v>
      </c>
    </row>
    <row r="396" customFormat="false" ht="15" hidden="false" customHeight="false" outlineLevel="0" collapsed="false">
      <c r="A396" s="14" t="s">
        <v>2277</v>
      </c>
      <c r="B396" s="14" t="n">
        <v>0</v>
      </c>
      <c r="C396" s="14" t="n">
        <v>21</v>
      </c>
      <c r="D396" s="42" t="n">
        <v>0</v>
      </c>
      <c r="E396" s="41" t="n">
        <v>11.33</v>
      </c>
      <c r="F396" s="5" t="s">
        <v>849</v>
      </c>
    </row>
    <row r="397" customFormat="false" ht="15" hidden="false" customHeight="false" outlineLevel="0" collapsed="false">
      <c r="A397" s="14" t="s">
        <v>2278</v>
      </c>
      <c r="B397" s="14" t="n">
        <v>0</v>
      </c>
      <c r="C397" s="14" t="n">
        <v>21</v>
      </c>
      <c r="D397" s="42" t="n">
        <v>0</v>
      </c>
      <c r="E397" s="41" t="n">
        <v>16.29</v>
      </c>
      <c r="F397" s="5" t="s">
        <v>849</v>
      </c>
    </row>
    <row r="398" customFormat="false" ht="15" hidden="false" customHeight="false" outlineLevel="0" collapsed="false">
      <c r="A398" s="14" t="s">
        <v>2279</v>
      </c>
      <c r="B398" s="14" t="n">
        <v>0</v>
      </c>
      <c r="C398" s="14" t="n">
        <v>21</v>
      </c>
      <c r="D398" s="42" t="n">
        <v>0</v>
      </c>
      <c r="E398" s="41" t="n">
        <v>16.67</v>
      </c>
      <c r="F398" s="5" t="s">
        <v>850</v>
      </c>
    </row>
    <row r="399" customFormat="false" ht="15" hidden="false" customHeight="false" outlineLevel="0" collapsed="false">
      <c r="A399" s="14" t="s">
        <v>2280</v>
      </c>
      <c r="B399" s="14" t="n">
        <v>0</v>
      </c>
      <c r="C399" s="14" t="n">
        <v>21</v>
      </c>
      <c r="D399" s="42" t="n">
        <v>0</v>
      </c>
      <c r="E399" s="41" t="n">
        <v>17.9</v>
      </c>
      <c r="F399" s="5" t="s">
        <v>849</v>
      </c>
    </row>
    <row r="400" customFormat="false" ht="15" hidden="false" customHeight="false" outlineLevel="0" collapsed="false">
      <c r="A400" s="14" t="s">
        <v>2281</v>
      </c>
      <c r="B400" s="14" t="n">
        <v>0</v>
      </c>
      <c r="C400" s="14" t="n">
        <v>21</v>
      </c>
      <c r="D400" s="42" t="n">
        <v>0</v>
      </c>
      <c r="E400" s="41" t="n">
        <v>18.14</v>
      </c>
      <c r="F400" s="5" t="s">
        <v>849</v>
      </c>
    </row>
    <row r="401" customFormat="false" ht="15" hidden="false" customHeight="false" outlineLevel="0" collapsed="false">
      <c r="A401" s="14" t="s">
        <v>2282</v>
      </c>
      <c r="B401" s="14" t="n">
        <v>0</v>
      </c>
      <c r="C401" s="14" t="n">
        <v>21</v>
      </c>
      <c r="D401" s="42" t="n">
        <v>0</v>
      </c>
      <c r="E401" s="41" t="n">
        <v>19.86</v>
      </c>
      <c r="F401" s="5" t="s">
        <v>849</v>
      </c>
    </row>
    <row r="402" customFormat="false" ht="15" hidden="false" customHeight="false" outlineLevel="0" collapsed="false">
      <c r="A402" s="14" t="s">
        <v>2283</v>
      </c>
      <c r="B402" s="14" t="n">
        <v>0</v>
      </c>
      <c r="C402" s="14" t="n">
        <v>21</v>
      </c>
      <c r="D402" s="42" t="n">
        <v>0</v>
      </c>
      <c r="E402" s="41" t="n">
        <v>20.43</v>
      </c>
      <c r="F402" s="5" t="s">
        <v>850</v>
      </c>
    </row>
    <row r="403" customFormat="false" ht="15" hidden="false" customHeight="false" outlineLevel="0" collapsed="false">
      <c r="A403" s="14" t="s">
        <v>2284</v>
      </c>
      <c r="B403" s="14" t="n">
        <v>0</v>
      </c>
      <c r="C403" s="14" t="n">
        <v>21</v>
      </c>
      <c r="D403" s="42" t="n">
        <v>0</v>
      </c>
      <c r="E403" s="41" t="n">
        <v>21.33</v>
      </c>
      <c r="F403" s="5" t="s">
        <v>849</v>
      </c>
    </row>
    <row r="404" customFormat="false" ht="15" hidden="false" customHeight="false" outlineLevel="0" collapsed="false">
      <c r="A404" s="14" t="s">
        <v>2285</v>
      </c>
      <c r="B404" s="14" t="n">
        <v>0</v>
      </c>
      <c r="C404" s="14" t="n">
        <v>21</v>
      </c>
      <c r="D404" s="42" t="n">
        <v>0</v>
      </c>
      <c r="E404" s="41" t="n">
        <v>23</v>
      </c>
      <c r="F404" s="5" t="s">
        <v>849</v>
      </c>
    </row>
    <row r="405" customFormat="false" ht="15" hidden="false" customHeight="false" outlineLevel="0" collapsed="false">
      <c r="A405" s="14" t="s">
        <v>2286</v>
      </c>
      <c r="B405" s="14" t="n">
        <v>0</v>
      </c>
      <c r="C405" s="14" t="n">
        <v>21</v>
      </c>
      <c r="D405" s="42" t="n">
        <v>0</v>
      </c>
      <c r="E405" s="41" t="n">
        <v>25.48</v>
      </c>
      <c r="F405" s="5" t="s">
        <v>849</v>
      </c>
    </row>
    <row r="406" customFormat="false" ht="15" hidden="false" customHeight="false" outlineLevel="0" collapsed="false">
      <c r="A406" s="14" t="s">
        <v>2287</v>
      </c>
      <c r="B406" s="14" t="n">
        <v>0</v>
      </c>
      <c r="C406" s="14" t="n">
        <v>21</v>
      </c>
      <c r="D406" s="42" t="n">
        <v>0</v>
      </c>
      <c r="E406" s="41" t="n">
        <v>30.14</v>
      </c>
      <c r="F406" s="5" t="s">
        <v>849</v>
      </c>
    </row>
    <row r="407" customFormat="false" ht="15" hidden="false" customHeight="false" outlineLevel="0" collapsed="false">
      <c r="A407" s="14" t="s">
        <v>2288</v>
      </c>
      <c r="B407" s="14" t="n">
        <v>0</v>
      </c>
      <c r="C407" s="14" t="n">
        <v>21</v>
      </c>
      <c r="D407" s="42" t="n">
        <v>0</v>
      </c>
      <c r="E407" s="41" t="n">
        <v>39.81</v>
      </c>
      <c r="F407" s="5" t="s">
        <v>847</v>
      </c>
    </row>
    <row r="408" customFormat="false" ht="15" hidden="false" customHeight="false" outlineLevel="0" collapsed="false">
      <c r="A408" s="14" t="s">
        <v>2289</v>
      </c>
      <c r="B408" s="14" t="n">
        <v>0</v>
      </c>
      <c r="C408" s="14" t="n">
        <v>20</v>
      </c>
      <c r="D408" s="42" t="n">
        <v>0</v>
      </c>
      <c r="E408" s="41" t="n">
        <v>7.65</v>
      </c>
      <c r="F408" s="5" t="s">
        <v>852</v>
      </c>
    </row>
    <row r="409" customFormat="false" ht="15" hidden="false" customHeight="false" outlineLevel="0" collapsed="false">
      <c r="A409" s="14" t="s">
        <v>2290</v>
      </c>
      <c r="B409" s="14" t="n">
        <v>0</v>
      </c>
      <c r="C409" s="14" t="n">
        <v>20</v>
      </c>
      <c r="D409" s="42" t="n">
        <v>0</v>
      </c>
      <c r="E409" s="41" t="n">
        <v>9</v>
      </c>
      <c r="F409" s="5" t="s">
        <v>849</v>
      </c>
    </row>
    <row r="410" customFormat="false" ht="15" hidden="false" customHeight="false" outlineLevel="0" collapsed="false">
      <c r="A410" s="14" t="s">
        <v>2291</v>
      </c>
      <c r="B410" s="14" t="n">
        <v>0</v>
      </c>
      <c r="C410" s="14" t="n">
        <v>20</v>
      </c>
      <c r="D410" s="42" t="n">
        <v>0</v>
      </c>
      <c r="E410" s="41" t="n">
        <v>10.25</v>
      </c>
      <c r="F410" s="5" t="s">
        <v>849</v>
      </c>
    </row>
    <row r="411" customFormat="false" ht="15" hidden="false" customHeight="false" outlineLevel="0" collapsed="false">
      <c r="A411" s="14" t="s">
        <v>2292</v>
      </c>
      <c r="B411" s="14" t="n">
        <v>0</v>
      </c>
      <c r="C411" s="14" t="n">
        <v>20</v>
      </c>
      <c r="D411" s="42" t="n">
        <v>0</v>
      </c>
      <c r="E411" s="41" t="n">
        <v>10.6</v>
      </c>
      <c r="F411" s="5" t="s">
        <v>850</v>
      </c>
    </row>
    <row r="412" customFormat="false" ht="15" hidden="false" customHeight="false" outlineLevel="0" collapsed="false">
      <c r="A412" s="14" t="s">
        <v>2293</v>
      </c>
      <c r="B412" s="14" t="n">
        <v>0</v>
      </c>
      <c r="C412" s="14" t="n">
        <v>20</v>
      </c>
      <c r="D412" s="42" t="n">
        <v>0</v>
      </c>
      <c r="E412" s="41" t="n">
        <v>10.75</v>
      </c>
      <c r="F412" s="5" t="s">
        <v>849</v>
      </c>
    </row>
    <row r="413" customFormat="false" ht="15" hidden="false" customHeight="false" outlineLevel="0" collapsed="false">
      <c r="A413" s="14" t="s">
        <v>2294</v>
      </c>
      <c r="B413" s="14" t="n">
        <v>0</v>
      </c>
      <c r="C413" s="14" t="n">
        <v>20</v>
      </c>
      <c r="D413" s="42" t="n">
        <v>0</v>
      </c>
      <c r="E413" s="41" t="n">
        <v>10.85</v>
      </c>
      <c r="F413" s="5" t="s">
        <v>849</v>
      </c>
    </row>
    <row r="414" customFormat="false" ht="15" hidden="false" customHeight="false" outlineLevel="0" collapsed="false">
      <c r="A414" s="14" t="s">
        <v>2295</v>
      </c>
      <c r="B414" s="14" t="n">
        <v>0</v>
      </c>
      <c r="C414" s="14" t="n">
        <v>20</v>
      </c>
      <c r="D414" s="42" t="n">
        <v>0</v>
      </c>
      <c r="E414" s="41" t="n">
        <v>13.5</v>
      </c>
      <c r="F414" s="5" t="s">
        <v>849</v>
      </c>
    </row>
    <row r="415" customFormat="false" ht="15" hidden="false" customHeight="false" outlineLevel="0" collapsed="false">
      <c r="A415" s="14" t="s">
        <v>2296</v>
      </c>
      <c r="B415" s="14" t="n">
        <v>0</v>
      </c>
      <c r="C415" s="14" t="n">
        <v>20</v>
      </c>
      <c r="D415" s="42" t="n">
        <v>0</v>
      </c>
      <c r="E415" s="41" t="n">
        <v>14.85</v>
      </c>
      <c r="F415" s="5" t="s">
        <v>849</v>
      </c>
    </row>
    <row r="416" customFormat="false" ht="15" hidden="false" customHeight="false" outlineLevel="0" collapsed="false">
      <c r="A416" s="14" t="s">
        <v>2297</v>
      </c>
      <c r="B416" s="14" t="n">
        <v>0</v>
      </c>
      <c r="C416" s="14" t="n">
        <v>20</v>
      </c>
      <c r="D416" s="42" t="n">
        <v>0</v>
      </c>
      <c r="E416" s="41" t="n">
        <v>18.4</v>
      </c>
      <c r="F416" s="5" t="s">
        <v>849</v>
      </c>
    </row>
    <row r="417" customFormat="false" ht="15" hidden="false" customHeight="false" outlineLevel="0" collapsed="false">
      <c r="A417" s="14" t="s">
        <v>2298</v>
      </c>
      <c r="B417" s="14" t="n">
        <v>0</v>
      </c>
      <c r="C417" s="14" t="n">
        <v>20</v>
      </c>
      <c r="D417" s="42" t="n">
        <v>0</v>
      </c>
      <c r="E417" s="41" t="n">
        <v>18.6</v>
      </c>
      <c r="F417" s="5" t="s">
        <v>849</v>
      </c>
    </row>
    <row r="418" customFormat="false" ht="15" hidden="false" customHeight="false" outlineLevel="0" collapsed="false">
      <c r="A418" s="14" t="s">
        <v>2299</v>
      </c>
      <c r="B418" s="14" t="n">
        <v>0</v>
      </c>
      <c r="C418" s="14" t="n">
        <v>20</v>
      </c>
      <c r="D418" s="42" t="n">
        <v>0</v>
      </c>
      <c r="E418" s="41" t="n">
        <v>18.85</v>
      </c>
      <c r="F418" s="5" t="s">
        <v>849</v>
      </c>
    </row>
    <row r="419" customFormat="false" ht="15" hidden="false" customHeight="false" outlineLevel="0" collapsed="false">
      <c r="A419" s="14" t="s">
        <v>2300</v>
      </c>
      <c r="B419" s="14" t="n">
        <v>0</v>
      </c>
      <c r="C419" s="14" t="n">
        <v>20</v>
      </c>
      <c r="D419" s="42" t="n">
        <v>0</v>
      </c>
      <c r="E419" s="41" t="n">
        <v>19.65</v>
      </c>
      <c r="F419" s="5" t="s">
        <v>849</v>
      </c>
    </row>
    <row r="420" customFormat="false" ht="15" hidden="false" customHeight="false" outlineLevel="0" collapsed="false">
      <c r="A420" s="14" t="s">
        <v>2301</v>
      </c>
      <c r="B420" s="14" t="n">
        <v>0</v>
      </c>
      <c r="C420" s="14" t="n">
        <v>20</v>
      </c>
      <c r="D420" s="42" t="n">
        <v>0</v>
      </c>
      <c r="E420" s="41" t="n">
        <v>20.65</v>
      </c>
      <c r="F420" s="5" t="s">
        <v>849</v>
      </c>
    </row>
    <row r="421" customFormat="false" ht="15" hidden="false" customHeight="false" outlineLevel="0" collapsed="false">
      <c r="A421" s="14" t="s">
        <v>2302</v>
      </c>
      <c r="B421" s="14" t="n">
        <v>0</v>
      </c>
      <c r="C421" s="14" t="n">
        <v>20</v>
      </c>
      <c r="D421" s="42" t="n">
        <v>0</v>
      </c>
      <c r="E421" s="41" t="n">
        <v>22.05</v>
      </c>
      <c r="F421" s="5" t="s">
        <v>849</v>
      </c>
    </row>
    <row r="422" customFormat="false" ht="15" hidden="false" customHeight="false" outlineLevel="0" collapsed="false">
      <c r="A422" s="14" t="s">
        <v>2303</v>
      </c>
      <c r="B422" s="14" t="n">
        <v>0</v>
      </c>
      <c r="C422" s="14" t="n">
        <v>20</v>
      </c>
      <c r="D422" s="42" t="n">
        <v>0</v>
      </c>
      <c r="E422" s="41" t="n">
        <v>22.2</v>
      </c>
      <c r="F422" s="5" t="s">
        <v>849</v>
      </c>
    </row>
    <row r="423" customFormat="false" ht="15" hidden="false" customHeight="false" outlineLevel="0" collapsed="false">
      <c r="A423" s="14" t="s">
        <v>2304</v>
      </c>
      <c r="B423" s="14" t="n">
        <v>0</v>
      </c>
      <c r="C423" s="14" t="n">
        <v>20</v>
      </c>
      <c r="D423" s="42" t="n">
        <v>0</v>
      </c>
      <c r="E423" s="41" t="n">
        <v>24.7</v>
      </c>
      <c r="F423" s="5" t="s">
        <v>849</v>
      </c>
    </row>
    <row r="424" customFormat="false" ht="15" hidden="false" customHeight="false" outlineLevel="0" collapsed="false">
      <c r="A424" s="14" t="s">
        <v>2305</v>
      </c>
      <c r="B424" s="14" t="n">
        <v>0</v>
      </c>
      <c r="C424" s="14" t="n">
        <v>20</v>
      </c>
      <c r="D424" s="42" t="n">
        <v>0</v>
      </c>
      <c r="E424" s="41" t="n">
        <v>25.4</v>
      </c>
      <c r="F424" s="5" t="s">
        <v>849</v>
      </c>
    </row>
    <row r="425" customFormat="false" ht="15" hidden="false" customHeight="false" outlineLevel="0" collapsed="false">
      <c r="A425" s="14" t="s">
        <v>2306</v>
      </c>
      <c r="B425" s="14" t="n">
        <v>0</v>
      </c>
      <c r="C425" s="14" t="n">
        <v>20</v>
      </c>
      <c r="D425" s="42" t="n">
        <v>0</v>
      </c>
      <c r="E425" s="41" t="n">
        <v>25.5</v>
      </c>
      <c r="F425" s="5" t="s">
        <v>849</v>
      </c>
    </row>
    <row r="426" customFormat="false" ht="15" hidden="false" customHeight="false" outlineLevel="0" collapsed="false">
      <c r="A426" s="14" t="s">
        <v>2307</v>
      </c>
      <c r="B426" s="14" t="n">
        <v>0</v>
      </c>
      <c r="C426" s="14" t="n">
        <v>20</v>
      </c>
      <c r="D426" s="42" t="n">
        <v>0</v>
      </c>
      <c r="E426" s="41" t="n">
        <v>25.6</v>
      </c>
      <c r="F426" s="5" t="s">
        <v>849</v>
      </c>
    </row>
    <row r="427" customFormat="false" ht="15" hidden="false" customHeight="false" outlineLevel="0" collapsed="false">
      <c r="A427" s="14" t="s">
        <v>2308</v>
      </c>
      <c r="B427" s="14" t="n">
        <v>0</v>
      </c>
      <c r="C427" s="14" t="n">
        <v>20</v>
      </c>
      <c r="D427" s="42" t="n">
        <v>0</v>
      </c>
      <c r="E427" s="41" t="n">
        <v>31.05</v>
      </c>
      <c r="F427" s="5" t="s">
        <v>849</v>
      </c>
    </row>
    <row r="428" customFormat="false" ht="15" hidden="false" customHeight="false" outlineLevel="0" collapsed="false">
      <c r="A428" s="14" t="s">
        <v>2309</v>
      </c>
      <c r="B428" s="14" t="n">
        <v>0</v>
      </c>
      <c r="C428" s="14" t="n">
        <v>20</v>
      </c>
      <c r="D428" s="42" t="n">
        <v>0</v>
      </c>
      <c r="E428" s="41" t="n">
        <v>31.35</v>
      </c>
      <c r="F428" s="5" t="s">
        <v>849</v>
      </c>
    </row>
    <row r="429" customFormat="false" ht="15" hidden="false" customHeight="false" outlineLevel="0" collapsed="false">
      <c r="A429" s="14" t="s">
        <v>2310</v>
      </c>
      <c r="B429" s="14" t="n">
        <v>0</v>
      </c>
      <c r="C429" s="14" t="n">
        <v>20</v>
      </c>
      <c r="D429" s="42" t="n">
        <v>0</v>
      </c>
      <c r="E429" s="41" t="n">
        <v>33.35</v>
      </c>
      <c r="F429" s="5" t="s">
        <v>849</v>
      </c>
    </row>
    <row r="430" customFormat="false" ht="15" hidden="false" customHeight="false" outlineLevel="0" collapsed="false">
      <c r="A430" s="14" t="s">
        <v>2311</v>
      </c>
      <c r="B430" s="14" t="n">
        <v>0</v>
      </c>
      <c r="C430" s="14" t="n">
        <v>20</v>
      </c>
      <c r="D430" s="42" t="n">
        <v>0</v>
      </c>
      <c r="E430" s="41" t="n">
        <v>36</v>
      </c>
      <c r="F430" s="5" t="s">
        <v>849</v>
      </c>
    </row>
    <row r="431" customFormat="false" ht="15" hidden="false" customHeight="false" outlineLevel="0" collapsed="false">
      <c r="A431" s="14" t="s">
        <v>2312</v>
      </c>
      <c r="B431" s="14" t="n">
        <v>0</v>
      </c>
      <c r="C431" s="14" t="n">
        <v>20</v>
      </c>
      <c r="D431" s="42" t="n">
        <v>0</v>
      </c>
      <c r="E431" s="41" t="n">
        <v>36.5</v>
      </c>
      <c r="F431" s="5" t="s">
        <v>849</v>
      </c>
    </row>
    <row r="432" customFormat="false" ht="15" hidden="false" customHeight="false" outlineLevel="0" collapsed="false">
      <c r="A432" s="14" t="s">
        <v>2313</v>
      </c>
      <c r="B432" s="14" t="n">
        <v>0</v>
      </c>
      <c r="C432" s="14" t="n">
        <v>20</v>
      </c>
      <c r="D432" s="42" t="n">
        <v>0</v>
      </c>
      <c r="E432" s="41" t="n">
        <v>43.3</v>
      </c>
      <c r="F432" s="5" t="s">
        <v>849</v>
      </c>
    </row>
    <row r="433" customFormat="false" ht="15" hidden="false" customHeight="false" outlineLevel="0" collapsed="false">
      <c r="A433" s="14" t="s">
        <v>2314</v>
      </c>
      <c r="B433" s="14" t="n">
        <v>0</v>
      </c>
      <c r="C433" s="14" t="n">
        <v>20</v>
      </c>
      <c r="D433" s="42" t="n">
        <v>0</v>
      </c>
      <c r="E433" s="41" t="n">
        <v>44.55</v>
      </c>
      <c r="F433" s="5" t="s">
        <v>847</v>
      </c>
    </row>
    <row r="434" customFormat="false" ht="15" hidden="false" customHeight="false" outlineLevel="0" collapsed="false">
      <c r="A434" s="14" t="s">
        <v>2315</v>
      </c>
      <c r="B434" s="14" t="n">
        <v>0</v>
      </c>
      <c r="C434" s="14" t="n">
        <v>20</v>
      </c>
      <c r="D434" s="42" t="n">
        <v>0</v>
      </c>
      <c r="E434" s="41" t="n">
        <v>56.8</v>
      </c>
      <c r="F434" s="5" t="s">
        <v>851</v>
      </c>
    </row>
    <row r="435" customFormat="false" ht="15" hidden="false" customHeight="false" outlineLevel="0" collapsed="false">
      <c r="A435" s="14" t="s">
        <v>2316</v>
      </c>
      <c r="B435" s="14" t="n">
        <v>0</v>
      </c>
      <c r="C435" s="14" t="n">
        <v>19</v>
      </c>
      <c r="D435" s="42" t="n">
        <v>0</v>
      </c>
      <c r="E435" s="41" t="n">
        <v>9.05</v>
      </c>
      <c r="F435" s="5" t="s">
        <v>849</v>
      </c>
    </row>
    <row r="436" customFormat="false" ht="15" hidden="false" customHeight="false" outlineLevel="0" collapsed="false">
      <c r="A436" s="14" t="s">
        <v>2317</v>
      </c>
      <c r="B436" s="14" t="n">
        <v>0</v>
      </c>
      <c r="C436" s="14" t="n">
        <v>19</v>
      </c>
      <c r="D436" s="42" t="n">
        <v>0</v>
      </c>
      <c r="E436" s="41" t="n">
        <v>11.05</v>
      </c>
      <c r="F436" s="5" t="s">
        <v>849</v>
      </c>
    </row>
    <row r="437" customFormat="false" ht="15" hidden="false" customHeight="false" outlineLevel="0" collapsed="false">
      <c r="A437" s="14" t="s">
        <v>2318</v>
      </c>
      <c r="B437" s="14" t="n">
        <v>0</v>
      </c>
      <c r="C437" s="14" t="n">
        <v>19</v>
      </c>
      <c r="D437" s="42" t="n">
        <v>0</v>
      </c>
      <c r="E437" s="41" t="n">
        <v>12.42</v>
      </c>
      <c r="F437" s="5" t="s">
        <v>849</v>
      </c>
    </row>
    <row r="438" customFormat="false" ht="15" hidden="false" customHeight="false" outlineLevel="0" collapsed="false">
      <c r="A438" s="14" t="s">
        <v>2319</v>
      </c>
      <c r="B438" s="14" t="n">
        <v>0</v>
      </c>
      <c r="C438" s="14" t="n">
        <v>19</v>
      </c>
      <c r="D438" s="42" t="n">
        <v>0</v>
      </c>
      <c r="E438" s="41" t="n">
        <v>13.79</v>
      </c>
      <c r="F438" s="5" t="s">
        <v>850</v>
      </c>
    </row>
    <row r="439" customFormat="false" ht="15" hidden="false" customHeight="false" outlineLevel="0" collapsed="false">
      <c r="A439" s="14" t="s">
        <v>2320</v>
      </c>
      <c r="B439" s="14" t="n">
        <v>0</v>
      </c>
      <c r="C439" s="14" t="n">
        <v>19</v>
      </c>
      <c r="D439" s="42" t="n">
        <v>0</v>
      </c>
      <c r="E439" s="41" t="n">
        <v>14.21</v>
      </c>
      <c r="F439" s="5" t="s">
        <v>849</v>
      </c>
    </row>
    <row r="440" customFormat="false" ht="15" hidden="false" customHeight="false" outlineLevel="0" collapsed="false">
      <c r="A440" s="14" t="s">
        <v>2321</v>
      </c>
      <c r="B440" s="14" t="n">
        <v>0</v>
      </c>
      <c r="C440" s="14" t="n">
        <v>19</v>
      </c>
      <c r="D440" s="42" t="n">
        <v>0</v>
      </c>
      <c r="E440" s="41" t="n">
        <v>14.42</v>
      </c>
      <c r="F440" s="5" t="s">
        <v>851</v>
      </c>
    </row>
    <row r="441" customFormat="false" ht="15" hidden="false" customHeight="false" outlineLevel="0" collapsed="false">
      <c r="A441" s="14" t="s">
        <v>2322</v>
      </c>
      <c r="B441" s="14" t="n">
        <v>0</v>
      </c>
      <c r="C441" s="14" t="n">
        <v>19</v>
      </c>
      <c r="D441" s="42" t="n">
        <v>0</v>
      </c>
      <c r="E441" s="41" t="n">
        <v>14.63</v>
      </c>
      <c r="F441" s="5" t="s">
        <v>849</v>
      </c>
    </row>
    <row r="442" customFormat="false" ht="15" hidden="false" customHeight="false" outlineLevel="0" collapsed="false">
      <c r="A442" s="14" t="s">
        <v>2323</v>
      </c>
      <c r="B442" s="14" t="n">
        <v>0</v>
      </c>
      <c r="C442" s="14" t="n">
        <v>19</v>
      </c>
      <c r="D442" s="42" t="n">
        <v>0</v>
      </c>
      <c r="E442" s="41" t="n">
        <v>14.84</v>
      </c>
      <c r="F442" s="5" t="s">
        <v>849</v>
      </c>
    </row>
    <row r="443" customFormat="false" ht="15" hidden="false" customHeight="false" outlineLevel="0" collapsed="false">
      <c r="A443" s="14" t="s">
        <v>2324</v>
      </c>
      <c r="B443" s="14" t="n">
        <v>0</v>
      </c>
      <c r="C443" s="14" t="n">
        <v>19</v>
      </c>
      <c r="D443" s="42" t="n">
        <v>0</v>
      </c>
      <c r="E443" s="41" t="n">
        <v>17.84</v>
      </c>
      <c r="F443" s="5" t="s">
        <v>849</v>
      </c>
    </row>
    <row r="444" customFormat="false" ht="15" hidden="false" customHeight="false" outlineLevel="0" collapsed="false">
      <c r="A444" s="14" t="s">
        <v>2325</v>
      </c>
      <c r="B444" s="14" t="n">
        <v>0</v>
      </c>
      <c r="C444" s="14" t="n">
        <v>19</v>
      </c>
      <c r="D444" s="42" t="n">
        <v>0</v>
      </c>
      <c r="E444" s="41" t="n">
        <v>17.95</v>
      </c>
      <c r="F444" s="5" t="s">
        <v>849</v>
      </c>
    </row>
    <row r="445" customFormat="false" ht="15" hidden="false" customHeight="false" outlineLevel="0" collapsed="false">
      <c r="A445" s="14" t="s">
        <v>2326</v>
      </c>
      <c r="B445" s="14" t="n">
        <v>0</v>
      </c>
      <c r="C445" s="14" t="n">
        <v>19</v>
      </c>
      <c r="D445" s="42" t="n">
        <v>0</v>
      </c>
      <c r="E445" s="41" t="n">
        <v>18.89</v>
      </c>
      <c r="F445" s="5" t="s">
        <v>849</v>
      </c>
    </row>
    <row r="446" customFormat="false" ht="15" hidden="false" customHeight="false" outlineLevel="0" collapsed="false">
      <c r="A446" s="14" t="s">
        <v>2327</v>
      </c>
      <c r="B446" s="14" t="n">
        <v>0</v>
      </c>
      <c r="C446" s="14" t="n">
        <v>19</v>
      </c>
      <c r="D446" s="42" t="n">
        <v>0</v>
      </c>
      <c r="E446" s="41" t="n">
        <v>19.63</v>
      </c>
      <c r="F446" s="5" t="s">
        <v>849</v>
      </c>
    </row>
    <row r="447" customFormat="false" ht="15" hidden="false" customHeight="false" outlineLevel="0" collapsed="false">
      <c r="A447" s="14" t="s">
        <v>2328</v>
      </c>
      <c r="B447" s="14" t="n">
        <v>0</v>
      </c>
      <c r="C447" s="14" t="n">
        <v>19</v>
      </c>
      <c r="D447" s="42" t="n">
        <v>0</v>
      </c>
      <c r="E447" s="41" t="n">
        <v>20.42</v>
      </c>
      <c r="F447" s="5" t="s">
        <v>849</v>
      </c>
    </row>
    <row r="448" customFormat="false" ht="15" hidden="false" customHeight="false" outlineLevel="0" collapsed="false">
      <c r="A448" s="14" t="s">
        <v>2329</v>
      </c>
      <c r="B448" s="14" t="n">
        <v>0</v>
      </c>
      <c r="C448" s="14" t="n">
        <v>19</v>
      </c>
      <c r="D448" s="42" t="n">
        <v>0</v>
      </c>
      <c r="E448" s="41" t="n">
        <v>20.68</v>
      </c>
      <c r="F448" s="5" t="s">
        <v>850</v>
      </c>
    </row>
    <row r="449" customFormat="false" ht="15" hidden="false" customHeight="false" outlineLevel="0" collapsed="false">
      <c r="A449" s="14" t="s">
        <v>2330</v>
      </c>
      <c r="B449" s="14" t="n">
        <v>0</v>
      </c>
      <c r="C449" s="14" t="n">
        <v>19</v>
      </c>
      <c r="D449" s="42" t="n">
        <v>0</v>
      </c>
      <c r="E449" s="41" t="n">
        <v>20.95</v>
      </c>
      <c r="F449" s="5" t="s">
        <v>849</v>
      </c>
    </row>
    <row r="450" customFormat="false" ht="15" hidden="false" customHeight="false" outlineLevel="0" collapsed="false">
      <c r="A450" s="14" t="s">
        <v>2331</v>
      </c>
      <c r="B450" s="14" t="n">
        <v>0</v>
      </c>
      <c r="C450" s="14" t="n">
        <v>19</v>
      </c>
      <c r="D450" s="42" t="n">
        <v>0</v>
      </c>
      <c r="E450" s="41" t="n">
        <v>21.26</v>
      </c>
      <c r="F450" s="5" t="s">
        <v>849</v>
      </c>
    </row>
    <row r="451" customFormat="false" ht="15" hidden="false" customHeight="false" outlineLevel="0" collapsed="false">
      <c r="A451" s="14" t="s">
        <v>2332</v>
      </c>
      <c r="B451" s="14" t="n">
        <v>0</v>
      </c>
      <c r="C451" s="14" t="n">
        <v>19</v>
      </c>
      <c r="D451" s="42" t="n">
        <v>0</v>
      </c>
      <c r="E451" s="41" t="n">
        <v>22.58</v>
      </c>
      <c r="F451" s="5" t="s">
        <v>849</v>
      </c>
    </row>
    <row r="452" customFormat="false" ht="15" hidden="false" customHeight="false" outlineLevel="0" collapsed="false">
      <c r="A452" s="14" t="s">
        <v>2333</v>
      </c>
      <c r="B452" s="14" t="n">
        <v>0</v>
      </c>
      <c r="C452" s="14" t="n">
        <v>19</v>
      </c>
      <c r="D452" s="42" t="n">
        <v>0</v>
      </c>
      <c r="E452" s="41" t="n">
        <v>23.37</v>
      </c>
      <c r="F452" s="5" t="s">
        <v>844</v>
      </c>
    </row>
    <row r="453" customFormat="false" ht="15" hidden="false" customHeight="false" outlineLevel="0" collapsed="false">
      <c r="A453" s="14" t="s">
        <v>2334</v>
      </c>
      <c r="B453" s="14" t="n">
        <v>0</v>
      </c>
      <c r="C453" s="14" t="n">
        <v>19</v>
      </c>
      <c r="D453" s="42" t="n">
        <v>0</v>
      </c>
      <c r="E453" s="41" t="n">
        <v>24.95</v>
      </c>
      <c r="F453" s="5" t="s">
        <v>849</v>
      </c>
    </row>
    <row r="454" customFormat="false" ht="15" hidden="false" customHeight="false" outlineLevel="0" collapsed="false">
      <c r="A454" s="14" t="s">
        <v>2335</v>
      </c>
      <c r="B454" s="14" t="n">
        <v>0</v>
      </c>
      <c r="C454" s="14" t="n">
        <v>19</v>
      </c>
      <c r="D454" s="42" t="n">
        <v>0</v>
      </c>
      <c r="E454" s="41" t="n">
        <v>26.63</v>
      </c>
      <c r="F454" s="5" t="s">
        <v>849</v>
      </c>
    </row>
    <row r="455" customFormat="false" ht="15" hidden="false" customHeight="false" outlineLevel="0" collapsed="false">
      <c r="A455" s="14" t="s">
        <v>2336</v>
      </c>
      <c r="B455" s="14" t="n">
        <v>0</v>
      </c>
      <c r="C455" s="14" t="n">
        <v>19</v>
      </c>
      <c r="D455" s="42" t="n">
        <v>0</v>
      </c>
      <c r="E455" s="41" t="n">
        <v>28.32</v>
      </c>
      <c r="F455" s="5" t="s">
        <v>849</v>
      </c>
    </row>
    <row r="456" customFormat="false" ht="15" hidden="false" customHeight="false" outlineLevel="0" collapsed="false">
      <c r="A456" s="14" t="s">
        <v>2337</v>
      </c>
      <c r="B456" s="14" t="n">
        <v>0</v>
      </c>
      <c r="C456" s="14" t="n">
        <v>19</v>
      </c>
      <c r="D456" s="42" t="n">
        <v>0</v>
      </c>
      <c r="E456" s="41" t="n">
        <v>28.53</v>
      </c>
      <c r="F456" s="5" t="s">
        <v>849</v>
      </c>
    </row>
    <row r="457" customFormat="false" ht="15" hidden="false" customHeight="false" outlineLevel="0" collapsed="false">
      <c r="A457" s="14" t="s">
        <v>2338</v>
      </c>
      <c r="B457" s="14" t="n">
        <v>0</v>
      </c>
      <c r="C457" s="14" t="n">
        <v>19</v>
      </c>
      <c r="D457" s="42" t="n">
        <v>0</v>
      </c>
      <c r="E457" s="41" t="n">
        <v>30.84</v>
      </c>
      <c r="F457" s="5" t="s">
        <v>849</v>
      </c>
    </row>
    <row r="458" customFormat="false" ht="15" hidden="false" customHeight="false" outlineLevel="0" collapsed="false">
      <c r="A458" s="14" t="s">
        <v>2339</v>
      </c>
      <c r="B458" s="14" t="n">
        <v>0</v>
      </c>
      <c r="C458" s="14" t="n">
        <v>19</v>
      </c>
      <c r="D458" s="42" t="n">
        <v>0</v>
      </c>
      <c r="E458" s="41" t="n">
        <v>39.11</v>
      </c>
      <c r="F458" s="5" t="s">
        <v>849</v>
      </c>
    </row>
    <row r="459" customFormat="false" ht="15" hidden="false" customHeight="false" outlineLevel="0" collapsed="false">
      <c r="A459" s="14" t="s">
        <v>2340</v>
      </c>
      <c r="B459" s="14" t="n">
        <v>0</v>
      </c>
      <c r="C459" s="14" t="n">
        <v>18</v>
      </c>
      <c r="D459" s="42" t="n">
        <v>0</v>
      </c>
      <c r="E459" s="41" t="n">
        <v>7.72</v>
      </c>
      <c r="F459" s="5" t="s">
        <v>852</v>
      </c>
    </row>
    <row r="460" customFormat="false" ht="15" hidden="false" customHeight="false" outlineLevel="0" collapsed="false">
      <c r="A460" s="14" t="s">
        <v>2341</v>
      </c>
      <c r="B460" s="14" t="n">
        <v>0</v>
      </c>
      <c r="C460" s="14" t="n">
        <v>18</v>
      </c>
      <c r="D460" s="42" t="n">
        <v>0</v>
      </c>
      <c r="E460" s="41" t="n">
        <v>10.67</v>
      </c>
      <c r="F460" s="5" t="s">
        <v>849</v>
      </c>
    </row>
    <row r="461" customFormat="false" ht="15" hidden="false" customHeight="false" outlineLevel="0" collapsed="false">
      <c r="A461" s="14" t="s">
        <v>2342</v>
      </c>
      <c r="B461" s="14" t="n">
        <v>0</v>
      </c>
      <c r="C461" s="14" t="n">
        <v>18</v>
      </c>
      <c r="D461" s="42" t="n">
        <v>0</v>
      </c>
      <c r="E461" s="41" t="n">
        <v>11.56</v>
      </c>
      <c r="F461" s="5" t="s">
        <v>849</v>
      </c>
    </row>
    <row r="462" customFormat="false" ht="15" hidden="false" customHeight="false" outlineLevel="0" collapsed="false">
      <c r="A462" s="14" t="s">
        <v>2343</v>
      </c>
      <c r="B462" s="14" t="n">
        <v>0</v>
      </c>
      <c r="C462" s="14" t="n">
        <v>18</v>
      </c>
      <c r="D462" s="42" t="n">
        <v>0</v>
      </c>
      <c r="E462" s="41" t="n">
        <v>11.56</v>
      </c>
      <c r="F462" s="5" t="s">
        <v>849</v>
      </c>
    </row>
    <row r="463" customFormat="false" ht="15" hidden="false" customHeight="false" outlineLevel="0" collapsed="false">
      <c r="A463" s="14" t="s">
        <v>2344</v>
      </c>
      <c r="B463" s="14" t="n">
        <v>0</v>
      </c>
      <c r="C463" s="14" t="n">
        <v>18</v>
      </c>
      <c r="D463" s="42" t="n">
        <v>0</v>
      </c>
      <c r="E463" s="41" t="n">
        <v>11.72</v>
      </c>
      <c r="F463" s="5" t="s">
        <v>849</v>
      </c>
    </row>
    <row r="464" customFormat="false" ht="15" hidden="false" customHeight="false" outlineLevel="0" collapsed="false">
      <c r="A464" s="14" t="s">
        <v>2345</v>
      </c>
      <c r="B464" s="14" t="n">
        <v>0</v>
      </c>
      <c r="C464" s="14" t="n">
        <v>18</v>
      </c>
      <c r="D464" s="42" t="n">
        <v>0</v>
      </c>
      <c r="E464" s="41" t="n">
        <v>12</v>
      </c>
      <c r="F464" s="5" t="s">
        <v>849</v>
      </c>
    </row>
    <row r="465" customFormat="false" ht="15" hidden="false" customHeight="false" outlineLevel="0" collapsed="false">
      <c r="A465" s="14" t="s">
        <v>2346</v>
      </c>
      <c r="B465" s="14" t="n">
        <v>0</v>
      </c>
      <c r="C465" s="14" t="n">
        <v>18</v>
      </c>
      <c r="D465" s="42" t="n">
        <v>0</v>
      </c>
      <c r="E465" s="41" t="n">
        <v>13.22</v>
      </c>
      <c r="F465" s="5" t="s">
        <v>849</v>
      </c>
    </row>
    <row r="466" customFormat="false" ht="15" hidden="false" customHeight="false" outlineLevel="0" collapsed="false">
      <c r="A466" s="14" t="s">
        <v>2347</v>
      </c>
      <c r="B466" s="14" t="n">
        <v>0</v>
      </c>
      <c r="C466" s="14" t="n">
        <v>18</v>
      </c>
      <c r="D466" s="42" t="n">
        <v>0</v>
      </c>
      <c r="E466" s="41" t="n">
        <v>15.67</v>
      </c>
      <c r="F466" s="5" t="s">
        <v>849</v>
      </c>
    </row>
    <row r="467" customFormat="false" ht="15" hidden="false" customHeight="false" outlineLevel="0" collapsed="false">
      <c r="A467" s="14" t="s">
        <v>2348</v>
      </c>
      <c r="B467" s="14" t="n">
        <v>0</v>
      </c>
      <c r="C467" s="14" t="n">
        <v>18</v>
      </c>
      <c r="D467" s="42" t="n">
        <v>0</v>
      </c>
      <c r="E467" s="41" t="n">
        <v>16.39</v>
      </c>
      <c r="F467" s="5" t="s">
        <v>849</v>
      </c>
    </row>
    <row r="468" customFormat="false" ht="15" hidden="false" customHeight="false" outlineLevel="0" collapsed="false">
      <c r="A468" s="14" t="s">
        <v>2349</v>
      </c>
      <c r="B468" s="14" t="n">
        <v>0</v>
      </c>
      <c r="C468" s="14" t="n">
        <v>18</v>
      </c>
      <c r="D468" s="42" t="n">
        <v>0</v>
      </c>
      <c r="E468" s="41" t="n">
        <v>17</v>
      </c>
      <c r="F468" s="5" t="s">
        <v>849</v>
      </c>
    </row>
    <row r="469" customFormat="false" ht="15" hidden="false" customHeight="false" outlineLevel="0" collapsed="false">
      <c r="A469" s="14" t="s">
        <v>2350</v>
      </c>
      <c r="B469" s="14" t="n">
        <v>0</v>
      </c>
      <c r="C469" s="14" t="n">
        <v>18</v>
      </c>
      <c r="D469" s="42" t="n">
        <v>0</v>
      </c>
      <c r="E469" s="41" t="n">
        <v>18.67</v>
      </c>
      <c r="F469" s="5" t="s">
        <v>849</v>
      </c>
    </row>
    <row r="470" customFormat="false" ht="15" hidden="false" customHeight="false" outlineLevel="0" collapsed="false">
      <c r="A470" s="14" t="s">
        <v>2351</v>
      </c>
      <c r="B470" s="14" t="n">
        <v>0</v>
      </c>
      <c r="C470" s="14" t="n">
        <v>18</v>
      </c>
      <c r="D470" s="42" t="n">
        <v>0</v>
      </c>
      <c r="E470" s="41" t="n">
        <v>19.33</v>
      </c>
      <c r="F470" s="5" t="s">
        <v>849</v>
      </c>
    </row>
    <row r="471" customFormat="false" ht="15" hidden="false" customHeight="false" outlineLevel="0" collapsed="false">
      <c r="A471" s="14" t="s">
        <v>2352</v>
      </c>
      <c r="B471" s="14" t="n">
        <v>0</v>
      </c>
      <c r="C471" s="14" t="n">
        <v>18</v>
      </c>
      <c r="D471" s="42" t="n">
        <v>0</v>
      </c>
      <c r="E471" s="41" t="n">
        <v>19.5</v>
      </c>
      <c r="F471" s="5" t="s">
        <v>849</v>
      </c>
    </row>
    <row r="472" customFormat="false" ht="15" hidden="false" customHeight="false" outlineLevel="0" collapsed="false">
      <c r="A472" s="14" t="s">
        <v>2353</v>
      </c>
      <c r="B472" s="14" t="n">
        <v>0</v>
      </c>
      <c r="C472" s="14" t="n">
        <v>18</v>
      </c>
      <c r="D472" s="42" t="n">
        <v>0</v>
      </c>
      <c r="E472" s="41" t="n">
        <v>22.44</v>
      </c>
      <c r="F472" s="5" t="s">
        <v>849</v>
      </c>
    </row>
    <row r="473" customFormat="false" ht="15" hidden="false" customHeight="false" outlineLevel="0" collapsed="false">
      <c r="A473" s="14" t="s">
        <v>2354</v>
      </c>
      <c r="B473" s="14" t="n">
        <v>0</v>
      </c>
      <c r="C473" s="14" t="n">
        <v>18</v>
      </c>
      <c r="D473" s="42" t="n">
        <v>0</v>
      </c>
      <c r="E473" s="41" t="n">
        <v>25.5</v>
      </c>
      <c r="F473" s="5" t="s">
        <v>849</v>
      </c>
    </row>
    <row r="474" customFormat="false" ht="15" hidden="false" customHeight="false" outlineLevel="0" collapsed="false">
      <c r="A474" s="14" t="s">
        <v>2355</v>
      </c>
      <c r="B474" s="14" t="n">
        <v>0</v>
      </c>
      <c r="C474" s="14" t="n">
        <v>18</v>
      </c>
      <c r="D474" s="42" t="n">
        <v>0</v>
      </c>
      <c r="E474" s="41" t="n">
        <v>29.56</v>
      </c>
      <c r="F474" s="5" t="s">
        <v>849</v>
      </c>
    </row>
    <row r="475" customFormat="false" ht="15" hidden="false" customHeight="false" outlineLevel="0" collapsed="false">
      <c r="A475" s="14" t="s">
        <v>2356</v>
      </c>
      <c r="B475" s="14" t="n">
        <v>0</v>
      </c>
      <c r="C475" s="14" t="n">
        <v>18</v>
      </c>
      <c r="D475" s="42" t="n">
        <v>0</v>
      </c>
      <c r="E475" s="41" t="n">
        <v>39.89</v>
      </c>
      <c r="F475" s="5" t="s">
        <v>849</v>
      </c>
    </row>
    <row r="476" customFormat="false" ht="15" hidden="false" customHeight="false" outlineLevel="0" collapsed="false">
      <c r="A476" s="14" t="s">
        <v>2357</v>
      </c>
      <c r="B476" s="14" t="n">
        <v>0</v>
      </c>
      <c r="C476" s="14" t="n">
        <v>17</v>
      </c>
      <c r="D476" s="42" t="n">
        <v>0</v>
      </c>
      <c r="E476" s="41" t="n">
        <v>7.47</v>
      </c>
      <c r="F476" s="5" t="s">
        <v>849</v>
      </c>
    </row>
    <row r="477" customFormat="false" ht="15" hidden="false" customHeight="false" outlineLevel="0" collapsed="false">
      <c r="A477" s="14" t="s">
        <v>2358</v>
      </c>
      <c r="B477" s="14" t="n">
        <v>0</v>
      </c>
      <c r="C477" s="14" t="n">
        <v>17</v>
      </c>
      <c r="D477" s="42" t="n">
        <v>0</v>
      </c>
      <c r="E477" s="41" t="n">
        <v>8</v>
      </c>
      <c r="F477" s="5" t="s">
        <v>850</v>
      </c>
    </row>
    <row r="478" customFormat="false" ht="15" hidden="false" customHeight="false" outlineLevel="0" collapsed="false">
      <c r="A478" s="14" t="s">
        <v>2359</v>
      </c>
      <c r="B478" s="14" t="n">
        <v>0</v>
      </c>
      <c r="C478" s="14" t="n">
        <v>17</v>
      </c>
      <c r="D478" s="42" t="n">
        <v>0</v>
      </c>
      <c r="E478" s="41" t="n">
        <v>8.24</v>
      </c>
      <c r="F478" s="5" t="s">
        <v>849</v>
      </c>
    </row>
    <row r="479" customFormat="false" ht="15" hidden="false" customHeight="false" outlineLevel="0" collapsed="false">
      <c r="A479" s="14" t="s">
        <v>2360</v>
      </c>
      <c r="B479" s="14" t="n">
        <v>0</v>
      </c>
      <c r="C479" s="14" t="n">
        <v>17</v>
      </c>
      <c r="D479" s="42" t="n">
        <v>0</v>
      </c>
      <c r="E479" s="41" t="n">
        <v>8.47</v>
      </c>
      <c r="F479" s="5" t="s">
        <v>849</v>
      </c>
    </row>
    <row r="480" customFormat="false" ht="15" hidden="false" customHeight="false" outlineLevel="0" collapsed="false">
      <c r="A480" s="14" t="s">
        <v>2361</v>
      </c>
      <c r="B480" s="14" t="n">
        <v>0</v>
      </c>
      <c r="C480" s="14" t="n">
        <v>17</v>
      </c>
      <c r="D480" s="42" t="n">
        <v>0</v>
      </c>
      <c r="E480" s="41" t="n">
        <v>8.65</v>
      </c>
      <c r="F480" s="5" t="s">
        <v>849</v>
      </c>
    </row>
    <row r="481" customFormat="false" ht="15" hidden="false" customHeight="false" outlineLevel="0" collapsed="false">
      <c r="A481" s="14" t="s">
        <v>2362</v>
      </c>
      <c r="B481" s="14" t="n">
        <v>0</v>
      </c>
      <c r="C481" s="14" t="n">
        <v>17</v>
      </c>
      <c r="D481" s="42" t="n">
        <v>0</v>
      </c>
      <c r="E481" s="41" t="n">
        <v>8.76</v>
      </c>
      <c r="F481" s="5" t="s">
        <v>849</v>
      </c>
    </row>
    <row r="482" customFormat="false" ht="15" hidden="false" customHeight="false" outlineLevel="0" collapsed="false">
      <c r="A482" s="14" t="s">
        <v>2363</v>
      </c>
      <c r="B482" s="14" t="n">
        <v>0</v>
      </c>
      <c r="C482" s="14" t="n">
        <v>17</v>
      </c>
      <c r="D482" s="42" t="n">
        <v>0</v>
      </c>
      <c r="E482" s="41" t="n">
        <v>8.82</v>
      </c>
      <c r="F482" s="5" t="s">
        <v>849</v>
      </c>
    </row>
    <row r="483" customFormat="false" ht="15" hidden="false" customHeight="false" outlineLevel="0" collapsed="false">
      <c r="A483" s="14" t="s">
        <v>2364</v>
      </c>
      <c r="B483" s="14" t="n">
        <v>0</v>
      </c>
      <c r="C483" s="14" t="n">
        <v>17</v>
      </c>
      <c r="D483" s="42" t="n">
        <v>0</v>
      </c>
      <c r="E483" s="41" t="n">
        <v>8.94</v>
      </c>
      <c r="F483" s="5" t="s">
        <v>849</v>
      </c>
    </row>
    <row r="484" customFormat="false" ht="15" hidden="false" customHeight="false" outlineLevel="0" collapsed="false">
      <c r="A484" s="14" t="s">
        <v>2365</v>
      </c>
      <c r="B484" s="14" t="n">
        <v>0</v>
      </c>
      <c r="C484" s="14" t="n">
        <v>17</v>
      </c>
      <c r="D484" s="42" t="n">
        <v>0</v>
      </c>
      <c r="E484" s="41" t="n">
        <v>9</v>
      </c>
      <c r="F484" s="5" t="s">
        <v>849</v>
      </c>
    </row>
    <row r="485" customFormat="false" ht="15" hidden="false" customHeight="false" outlineLevel="0" collapsed="false">
      <c r="A485" s="14" t="s">
        <v>2366</v>
      </c>
      <c r="B485" s="14" t="n">
        <v>0</v>
      </c>
      <c r="C485" s="14" t="n">
        <v>17</v>
      </c>
      <c r="D485" s="42" t="n">
        <v>0</v>
      </c>
      <c r="E485" s="41" t="n">
        <v>9.59</v>
      </c>
      <c r="F485" s="5" t="s">
        <v>849</v>
      </c>
    </row>
    <row r="486" customFormat="false" ht="15" hidden="false" customHeight="false" outlineLevel="0" collapsed="false">
      <c r="A486" s="14" t="s">
        <v>2367</v>
      </c>
      <c r="B486" s="14" t="n">
        <v>0</v>
      </c>
      <c r="C486" s="14" t="n">
        <v>17</v>
      </c>
      <c r="D486" s="42" t="n">
        <v>0</v>
      </c>
      <c r="E486" s="41" t="n">
        <v>9.71</v>
      </c>
      <c r="F486" s="5" t="s">
        <v>849</v>
      </c>
    </row>
    <row r="487" customFormat="false" ht="15" hidden="false" customHeight="false" outlineLevel="0" collapsed="false">
      <c r="A487" s="14" t="s">
        <v>2368</v>
      </c>
      <c r="B487" s="14" t="n">
        <v>0</v>
      </c>
      <c r="C487" s="14" t="n">
        <v>17</v>
      </c>
      <c r="D487" s="42" t="n">
        <v>0</v>
      </c>
      <c r="E487" s="41" t="n">
        <v>10</v>
      </c>
      <c r="F487" s="5" t="s">
        <v>849</v>
      </c>
    </row>
    <row r="488" customFormat="false" ht="15" hidden="false" customHeight="false" outlineLevel="0" collapsed="false">
      <c r="A488" s="14" t="s">
        <v>2369</v>
      </c>
      <c r="B488" s="14" t="n">
        <v>0</v>
      </c>
      <c r="C488" s="14" t="n">
        <v>17</v>
      </c>
      <c r="D488" s="42" t="n">
        <v>0</v>
      </c>
      <c r="E488" s="41" t="n">
        <v>11.88</v>
      </c>
      <c r="F488" s="5" t="s">
        <v>849</v>
      </c>
    </row>
    <row r="489" customFormat="false" ht="15" hidden="false" customHeight="false" outlineLevel="0" collapsed="false">
      <c r="A489" s="14" t="s">
        <v>2370</v>
      </c>
      <c r="B489" s="14" t="n">
        <v>0</v>
      </c>
      <c r="C489" s="14" t="n">
        <v>17</v>
      </c>
      <c r="D489" s="42" t="n">
        <v>0</v>
      </c>
      <c r="E489" s="41" t="n">
        <v>13.53</v>
      </c>
      <c r="F489" s="5" t="s">
        <v>849</v>
      </c>
    </row>
    <row r="490" customFormat="false" ht="15" hidden="false" customHeight="false" outlineLevel="0" collapsed="false">
      <c r="A490" s="14" t="s">
        <v>2371</v>
      </c>
      <c r="B490" s="14" t="n">
        <v>0</v>
      </c>
      <c r="C490" s="14" t="n">
        <v>17</v>
      </c>
      <c r="D490" s="42" t="n">
        <v>0</v>
      </c>
      <c r="E490" s="41" t="n">
        <v>14.47</v>
      </c>
      <c r="F490" s="5" t="s">
        <v>849</v>
      </c>
    </row>
    <row r="491" customFormat="false" ht="15" hidden="false" customHeight="false" outlineLevel="0" collapsed="false">
      <c r="A491" s="14" t="s">
        <v>2372</v>
      </c>
      <c r="B491" s="14" t="n">
        <v>0</v>
      </c>
      <c r="C491" s="14" t="n">
        <v>17</v>
      </c>
      <c r="D491" s="42" t="n">
        <v>0</v>
      </c>
      <c r="E491" s="41" t="n">
        <v>14.82</v>
      </c>
      <c r="F491" s="5" t="s">
        <v>849</v>
      </c>
    </row>
    <row r="492" customFormat="false" ht="15" hidden="false" customHeight="false" outlineLevel="0" collapsed="false">
      <c r="A492" s="14" t="s">
        <v>2373</v>
      </c>
      <c r="B492" s="14" t="n">
        <v>0</v>
      </c>
      <c r="C492" s="14" t="n">
        <v>17</v>
      </c>
      <c r="D492" s="42" t="n">
        <v>0</v>
      </c>
      <c r="E492" s="41" t="n">
        <v>16</v>
      </c>
      <c r="F492" s="5" t="s">
        <v>849</v>
      </c>
    </row>
    <row r="493" customFormat="false" ht="15" hidden="false" customHeight="false" outlineLevel="0" collapsed="false">
      <c r="A493" s="14" t="s">
        <v>2374</v>
      </c>
      <c r="B493" s="14" t="n">
        <v>0</v>
      </c>
      <c r="C493" s="14" t="n">
        <v>17</v>
      </c>
      <c r="D493" s="42" t="n">
        <v>0</v>
      </c>
      <c r="E493" s="41" t="n">
        <v>18.06</v>
      </c>
      <c r="F493" s="5" t="s">
        <v>849</v>
      </c>
    </row>
    <row r="494" customFormat="false" ht="15" hidden="false" customHeight="false" outlineLevel="0" collapsed="false">
      <c r="A494" s="14" t="s">
        <v>2375</v>
      </c>
      <c r="B494" s="14" t="n">
        <v>0</v>
      </c>
      <c r="C494" s="14" t="n">
        <v>17</v>
      </c>
      <c r="D494" s="42" t="n">
        <v>0</v>
      </c>
      <c r="E494" s="41" t="n">
        <v>19.71</v>
      </c>
      <c r="F494" s="5" t="s">
        <v>849</v>
      </c>
    </row>
    <row r="495" customFormat="false" ht="15" hidden="false" customHeight="false" outlineLevel="0" collapsed="false">
      <c r="A495" s="14" t="s">
        <v>2376</v>
      </c>
      <c r="B495" s="14" t="n">
        <v>0</v>
      </c>
      <c r="C495" s="14" t="n">
        <v>17</v>
      </c>
      <c r="D495" s="42" t="n">
        <v>0</v>
      </c>
      <c r="E495" s="41" t="n">
        <v>21.29</v>
      </c>
      <c r="F495" s="5" t="s">
        <v>849</v>
      </c>
    </row>
    <row r="496" customFormat="false" ht="15" hidden="false" customHeight="false" outlineLevel="0" collapsed="false">
      <c r="A496" s="14" t="s">
        <v>2377</v>
      </c>
      <c r="B496" s="14" t="n">
        <v>0</v>
      </c>
      <c r="C496" s="14" t="n">
        <v>17</v>
      </c>
      <c r="D496" s="42" t="n">
        <v>0</v>
      </c>
      <c r="E496" s="41" t="n">
        <v>21.88</v>
      </c>
      <c r="F496" s="5" t="s">
        <v>849</v>
      </c>
    </row>
    <row r="497" customFormat="false" ht="15" hidden="false" customHeight="false" outlineLevel="0" collapsed="false">
      <c r="A497" s="14" t="s">
        <v>2378</v>
      </c>
      <c r="B497" s="14" t="n">
        <v>0</v>
      </c>
      <c r="C497" s="14" t="n">
        <v>17</v>
      </c>
      <c r="D497" s="42" t="n">
        <v>0</v>
      </c>
      <c r="E497" s="41" t="n">
        <v>23.12</v>
      </c>
      <c r="F497" s="5" t="s">
        <v>849</v>
      </c>
    </row>
    <row r="498" customFormat="false" ht="15" hidden="false" customHeight="false" outlineLevel="0" collapsed="false">
      <c r="A498" s="14" t="s">
        <v>2379</v>
      </c>
      <c r="B498" s="14" t="n">
        <v>0</v>
      </c>
      <c r="C498" s="14" t="n">
        <v>17</v>
      </c>
      <c r="D498" s="42" t="n">
        <v>0</v>
      </c>
      <c r="E498" s="41" t="n">
        <v>23.53</v>
      </c>
      <c r="F498" s="5" t="s">
        <v>849</v>
      </c>
    </row>
    <row r="499" customFormat="false" ht="15" hidden="false" customHeight="false" outlineLevel="0" collapsed="false">
      <c r="A499" s="14" t="s">
        <v>2380</v>
      </c>
      <c r="B499" s="14" t="n">
        <v>0</v>
      </c>
      <c r="C499" s="14" t="n">
        <v>17</v>
      </c>
      <c r="D499" s="42" t="n">
        <v>0</v>
      </c>
      <c r="E499" s="41" t="n">
        <v>23.94</v>
      </c>
      <c r="F499" s="5" t="s">
        <v>849</v>
      </c>
    </row>
    <row r="500" customFormat="false" ht="15" hidden="false" customHeight="false" outlineLevel="0" collapsed="false">
      <c r="A500" s="14" t="s">
        <v>2381</v>
      </c>
      <c r="B500" s="14" t="n">
        <v>0</v>
      </c>
      <c r="C500" s="14" t="n">
        <v>17</v>
      </c>
      <c r="D500" s="42" t="n">
        <v>0</v>
      </c>
      <c r="E500" s="41" t="n">
        <v>24.94</v>
      </c>
      <c r="F500" s="5" t="s">
        <v>849</v>
      </c>
    </row>
    <row r="501" customFormat="false" ht="15" hidden="false" customHeight="false" outlineLevel="0" collapsed="false">
      <c r="A501" s="14" t="s">
        <v>2382</v>
      </c>
      <c r="B501" s="14" t="n">
        <v>0</v>
      </c>
      <c r="C501" s="14" t="n">
        <v>17</v>
      </c>
      <c r="D501" s="42" t="n">
        <v>0</v>
      </c>
      <c r="E501" s="41" t="n">
        <v>25.59</v>
      </c>
      <c r="F501" s="5" t="s">
        <v>849</v>
      </c>
    </row>
    <row r="502" customFormat="false" ht="15" hidden="false" customHeight="false" outlineLevel="0" collapsed="false">
      <c r="A502" s="14" t="s">
        <v>2383</v>
      </c>
      <c r="B502" s="14" t="n">
        <v>0</v>
      </c>
      <c r="C502" s="14" t="n">
        <v>17</v>
      </c>
      <c r="D502" s="42" t="n">
        <v>0</v>
      </c>
      <c r="E502" s="41" t="n">
        <v>27.29</v>
      </c>
      <c r="F502" s="5" t="s">
        <v>849</v>
      </c>
    </row>
    <row r="503" customFormat="false" ht="15" hidden="false" customHeight="false" outlineLevel="0" collapsed="false">
      <c r="A503" s="14" t="s">
        <v>2384</v>
      </c>
      <c r="B503" s="14" t="n">
        <v>0</v>
      </c>
      <c r="C503" s="14" t="n">
        <v>17</v>
      </c>
      <c r="D503" s="42" t="n">
        <v>0</v>
      </c>
      <c r="E503" s="41" t="n">
        <v>28.41</v>
      </c>
      <c r="F503" s="5" t="s">
        <v>849</v>
      </c>
    </row>
    <row r="504" customFormat="false" ht="15" hidden="false" customHeight="false" outlineLevel="0" collapsed="false">
      <c r="A504" s="14" t="s">
        <v>2385</v>
      </c>
      <c r="B504" s="14" t="n">
        <v>0</v>
      </c>
      <c r="C504" s="14" t="n">
        <v>17</v>
      </c>
      <c r="D504" s="42" t="n">
        <v>0</v>
      </c>
      <c r="E504" s="41" t="n">
        <v>29.53</v>
      </c>
      <c r="F504" s="5" t="s">
        <v>849</v>
      </c>
    </row>
    <row r="505" customFormat="false" ht="15" hidden="false" customHeight="false" outlineLevel="0" collapsed="false">
      <c r="A505" s="14" t="s">
        <v>2386</v>
      </c>
      <c r="B505" s="14" t="n">
        <v>0</v>
      </c>
      <c r="C505" s="14" t="n">
        <v>17</v>
      </c>
      <c r="D505" s="42" t="n">
        <v>0</v>
      </c>
      <c r="E505" s="41" t="n">
        <v>31.41</v>
      </c>
      <c r="F505" s="5" t="s">
        <v>849</v>
      </c>
    </row>
    <row r="506" customFormat="false" ht="15" hidden="false" customHeight="false" outlineLevel="0" collapsed="false">
      <c r="A506" s="14" t="s">
        <v>2387</v>
      </c>
      <c r="B506" s="14" t="n">
        <v>0</v>
      </c>
      <c r="C506" s="14" t="n">
        <v>17</v>
      </c>
      <c r="D506" s="42" t="n">
        <v>0</v>
      </c>
      <c r="E506" s="41" t="n">
        <v>31.71</v>
      </c>
      <c r="F506" s="5" t="s">
        <v>849</v>
      </c>
    </row>
    <row r="507" customFormat="false" ht="15" hidden="false" customHeight="false" outlineLevel="0" collapsed="false">
      <c r="A507" s="14" t="s">
        <v>2388</v>
      </c>
      <c r="B507" s="14" t="n">
        <v>0</v>
      </c>
      <c r="C507" s="14" t="n">
        <v>17</v>
      </c>
      <c r="D507" s="42" t="n">
        <v>0</v>
      </c>
      <c r="E507" s="41" t="n">
        <v>32.24</v>
      </c>
      <c r="F507" s="5" t="s">
        <v>849</v>
      </c>
    </row>
    <row r="508" customFormat="false" ht="15" hidden="false" customHeight="false" outlineLevel="0" collapsed="false">
      <c r="A508" s="14" t="s">
        <v>2389</v>
      </c>
      <c r="B508" s="14" t="n">
        <v>0</v>
      </c>
      <c r="C508" s="14" t="n">
        <v>16</v>
      </c>
      <c r="D508" s="42" t="n">
        <v>0</v>
      </c>
      <c r="E508" s="41" t="n">
        <v>11.12</v>
      </c>
      <c r="F508" s="5" t="s">
        <v>849</v>
      </c>
    </row>
    <row r="509" customFormat="false" ht="15" hidden="false" customHeight="false" outlineLevel="0" collapsed="false">
      <c r="A509" s="14" t="s">
        <v>2390</v>
      </c>
      <c r="B509" s="14" t="n">
        <v>0</v>
      </c>
      <c r="C509" s="14" t="n">
        <v>16</v>
      </c>
      <c r="D509" s="42" t="n">
        <v>0</v>
      </c>
      <c r="E509" s="41" t="n">
        <v>12</v>
      </c>
      <c r="F509" s="5" t="s">
        <v>849</v>
      </c>
    </row>
    <row r="510" customFormat="false" ht="15" hidden="false" customHeight="false" outlineLevel="0" collapsed="false">
      <c r="A510" s="14" t="s">
        <v>2391</v>
      </c>
      <c r="B510" s="14" t="n">
        <v>0</v>
      </c>
      <c r="C510" s="14" t="n">
        <v>16</v>
      </c>
      <c r="D510" s="42" t="n">
        <v>0</v>
      </c>
      <c r="E510" s="41" t="n">
        <v>12.12</v>
      </c>
      <c r="F510" s="5" t="s">
        <v>849</v>
      </c>
    </row>
    <row r="511" customFormat="false" ht="15" hidden="false" customHeight="false" outlineLevel="0" collapsed="false">
      <c r="A511" s="14" t="s">
        <v>2392</v>
      </c>
      <c r="B511" s="14" t="n">
        <v>0</v>
      </c>
      <c r="C511" s="14" t="n">
        <v>16</v>
      </c>
      <c r="D511" s="42" t="n">
        <v>0</v>
      </c>
      <c r="E511" s="41" t="n">
        <v>12.81</v>
      </c>
      <c r="F511" s="5" t="s">
        <v>850</v>
      </c>
    </row>
    <row r="512" customFormat="false" ht="15" hidden="false" customHeight="false" outlineLevel="0" collapsed="false">
      <c r="A512" s="14" t="s">
        <v>2393</v>
      </c>
      <c r="B512" s="14" t="n">
        <v>0</v>
      </c>
      <c r="C512" s="14" t="n">
        <v>16</v>
      </c>
      <c r="D512" s="42" t="n">
        <v>0</v>
      </c>
      <c r="E512" s="41" t="n">
        <v>12.88</v>
      </c>
      <c r="F512" s="5" t="s">
        <v>849</v>
      </c>
    </row>
    <row r="513" customFormat="false" ht="15" hidden="false" customHeight="false" outlineLevel="0" collapsed="false">
      <c r="A513" s="14" t="s">
        <v>2394</v>
      </c>
      <c r="B513" s="14" t="n">
        <v>0</v>
      </c>
      <c r="C513" s="14" t="n">
        <v>16</v>
      </c>
      <c r="D513" s="42" t="n">
        <v>0</v>
      </c>
      <c r="E513" s="41" t="n">
        <v>12.94</v>
      </c>
      <c r="F513" s="5" t="s">
        <v>849</v>
      </c>
    </row>
    <row r="514" customFormat="false" ht="15" hidden="false" customHeight="false" outlineLevel="0" collapsed="false">
      <c r="A514" s="14" t="s">
        <v>2395</v>
      </c>
      <c r="B514" s="14" t="n">
        <v>0</v>
      </c>
      <c r="C514" s="14" t="n">
        <v>16</v>
      </c>
      <c r="D514" s="42" t="n">
        <v>0</v>
      </c>
      <c r="E514" s="41" t="n">
        <v>13.19</v>
      </c>
      <c r="F514" s="5" t="s">
        <v>849</v>
      </c>
    </row>
    <row r="515" customFormat="false" ht="15" hidden="false" customHeight="false" outlineLevel="0" collapsed="false">
      <c r="A515" s="14" t="s">
        <v>2396</v>
      </c>
      <c r="B515" s="14" t="n">
        <v>0</v>
      </c>
      <c r="C515" s="14" t="n">
        <v>16</v>
      </c>
      <c r="D515" s="42" t="n">
        <v>0</v>
      </c>
      <c r="E515" s="41" t="n">
        <v>17.56</v>
      </c>
      <c r="F515" s="5" t="s">
        <v>849</v>
      </c>
    </row>
    <row r="516" customFormat="false" ht="15" hidden="false" customHeight="false" outlineLevel="0" collapsed="false">
      <c r="A516" s="14" t="s">
        <v>2397</v>
      </c>
      <c r="B516" s="14" t="n">
        <v>0</v>
      </c>
      <c r="C516" s="14" t="n">
        <v>16</v>
      </c>
      <c r="D516" s="42" t="n">
        <v>0</v>
      </c>
      <c r="E516" s="41" t="n">
        <v>18.38</v>
      </c>
      <c r="F516" s="5" t="s">
        <v>849</v>
      </c>
    </row>
    <row r="517" customFormat="false" ht="15" hidden="false" customHeight="false" outlineLevel="0" collapsed="false">
      <c r="A517" s="14" t="s">
        <v>2398</v>
      </c>
      <c r="B517" s="14" t="n">
        <v>0</v>
      </c>
      <c r="C517" s="14" t="n">
        <v>16</v>
      </c>
      <c r="D517" s="42" t="n">
        <v>0</v>
      </c>
      <c r="E517" s="41" t="n">
        <v>19.06</v>
      </c>
      <c r="F517" s="5" t="s">
        <v>849</v>
      </c>
    </row>
    <row r="518" customFormat="false" ht="15" hidden="false" customHeight="false" outlineLevel="0" collapsed="false">
      <c r="A518" s="14" t="s">
        <v>2399</v>
      </c>
      <c r="B518" s="14" t="n">
        <v>0</v>
      </c>
      <c r="C518" s="14" t="n">
        <v>16</v>
      </c>
      <c r="D518" s="42" t="n">
        <v>0</v>
      </c>
      <c r="E518" s="41" t="n">
        <v>19.62</v>
      </c>
      <c r="F518" s="5" t="s">
        <v>849</v>
      </c>
    </row>
    <row r="519" customFormat="false" ht="15" hidden="false" customHeight="false" outlineLevel="0" collapsed="false">
      <c r="A519" s="14" t="s">
        <v>2400</v>
      </c>
      <c r="B519" s="14" t="n">
        <v>0</v>
      </c>
      <c r="C519" s="14" t="n">
        <v>16</v>
      </c>
      <c r="D519" s="42" t="n">
        <v>0</v>
      </c>
      <c r="E519" s="41" t="n">
        <v>20.06</v>
      </c>
      <c r="F519" s="5" t="s">
        <v>849</v>
      </c>
    </row>
    <row r="520" customFormat="false" ht="15" hidden="false" customHeight="false" outlineLevel="0" collapsed="false">
      <c r="A520" s="14" t="s">
        <v>2401</v>
      </c>
      <c r="B520" s="14" t="n">
        <v>0</v>
      </c>
      <c r="C520" s="14" t="n">
        <v>16</v>
      </c>
      <c r="D520" s="42" t="n">
        <v>0</v>
      </c>
      <c r="E520" s="41" t="n">
        <v>20.5</v>
      </c>
      <c r="F520" s="5" t="s">
        <v>849</v>
      </c>
    </row>
    <row r="521" customFormat="false" ht="15" hidden="false" customHeight="false" outlineLevel="0" collapsed="false">
      <c r="A521" s="14" t="s">
        <v>2402</v>
      </c>
      <c r="B521" s="14" t="n">
        <v>0</v>
      </c>
      <c r="C521" s="14" t="n">
        <v>16</v>
      </c>
      <c r="D521" s="42" t="n">
        <v>0</v>
      </c>
      <c r="E521" s="41" t="n">
        <v>21.19</v>
      </c>
      <c r="F521" s="5" t="s">
        <v>850</v>
      </c>
    </row>
    <row r="522" customFormat="false" ht="15" hidden="false" customHeight="false" outlineLevel="0" collapsed="false">
      <c r="A522" s="14" t="s">
        <v>2403</v>
      </c>
      <c r="B522" s="14" t="n">
        <v>0</v>
      </c>
      <c r="C522" s="14" t="n">
        <v>16</v>
      </c>
      <c r="D522" s="42" t="n">
        <v>0</v>
      </c>
      <c r="E522" s="41" t="n">
        <v>24</v>
      </c>
      <c r="F522" s="5" t="s">
        <v>849</v>
      </c>
    </row>
    <row r="523" customFormat="false" ht="15" hidden="false" customHeight="false" outlineLevel="0" collapsed="false">
      <c r="A523" s="14" t="s">
        <v>2404</v>
      </c>
      <c r="B523" s="14" t="n">
        <v>0</v>
      </c>
      <c r="C523" s="14" t="n">
        <v>16</v>
      </c>
      <c r="D523" s="42" t="n">
        <v>0</v>
      </c>
      <c r="E523" s="41" t="n">
        <v>24.44</v>
      </c>
      <c r="F523" s="5" t="s">
        <v>849</v>
      </c>
    </row>
    <row r="524" customFormat="false" ht="15" hidden="false" customHeight="false" outlineLevel="0" collapsed="false">
      <c r="A524" s="14" t="s">
        <v>2405</v>
      </c>
      <c r="B524" s="14" t="n">
        <v>0</v>
      </c>
      <c r="C524" s="14" t="n">
        <v>16</v>
      </c>
      <c r="D524" s="42" t="n">
        <v>0</v>
      </c>
      <c r="E524" s="41" t="n">
        <v>24.88</v>
      </c>
      <c r="F524" s="5" t="s">
        <v>849</v>
      </c>
    </row>
    <row r="525" customFormat="false" ht="15" hidden="false" customHeight="false" outlineLevel="0" collapsed="false">
      <c r="A525" s="14" t="s">
        <v>2406</v>
      </c>
      <c r="B525" s="14" t="n">
        <v>0</v>
      </c>
      <c r="C525" s="14" t="n">
        <v>16</v>
      </c>
      <c r="D525" s="42" t="n">
        <v>0</v>
      </c>
      <c r="E525" s="41" t="n">
        <v>26.69</v>
      </c>
      <c r="F525" s="5" t="s">
        <v>849</v>
      </c>
    </row>
    <row r="526" customFormat="false" ht="15" hidden="false" customHeight="false" outlineLevel="0" collapsed="false">
      <c r="A526" s="14" t="s">
        <v>2407</v>
      </c>
      <c r="B526" s="14" t="n">
        <v>0</v>
      </c>
      <c r="C526" s="14" t="n">
        <v>16</v>
      </c>
      <c r="D526" s="42" t="n">
        <v>0</v>
      </c>
      <c r="E526" s="41" t="n">
        <v>28</v>
      </c>
      <c r="F526" s="5" t="s">
        <v>849</v>
      </c>
    </row>
    <row r="527" customFormat="false" ht="15" hidden="false" customHeight="false" outlineLevel="0" collapsed="false">
      <c r="A527" s="14" t="s">
        <v>2408</v>
      </c>
      <c r="B527" s="14" t="n">
        <v>0</v>
      </c>
      <c r="C527" s="14" t="n">
        <v>16</v>
      </c>
      <c r="D527" s="42" t="n">
        <v>0</v>
      </c>
      <c r="E527" s="41" t="n">
        <v>28.38</v>
      </c>
      <c r="F527" s="5" t="s">
        <v>849</v>
      </c>
    </row>
    <row r="528" customFormat="false" ht="15" hidden="false" customHeight="false" outlineLevel="0" collapsed="false">
      <c r="A528" s="14" t="s">
        <v>2409</v>
      </c>
      <c r="B528" s="14" t="n">
        <v>0</v>
      </c>
      <c r="C528" s="14" t="n">
        <v>16</v>
      </c>
      <c r="D528" s="42" t="n">
        <v>0</v>
      </c>
      <c r="E528" s="41" t="n">
        <v>31.19</v>
      </c>
      <c r="F528" s="5" t="s">
        <v>849</v>
      </c>
    </row>
    <row r="529" customFormat="false" ht="15" hidden="false" customHeight="false" outlineLevel="0" collapsed="false">
      <c r="A529" s="14" t="s">
        <v>2410</v>
      </c>
      <c r="B529" s="14" t="n">
        <v>0</v>
      </c>
      <c r="C529" s="14" t="n">
        <v>16</v>
      </c>
      <c r="D529" s="42" t="n">
        <v>0</v>
      </c>
      <c r="E529" s="41" t="n">
        <v>33.69</v>
      </c>
      <c r="F529" s="5" t="s">
        <v>844</v>
      </c>
    </row>
    <row r="530" customFormat="false" ht="15" hidden="false" customHeight="false" outlineLevel="0" collapsed="false">
      <c r="A530" s="14" t="s">
        <v>2411</v>
      </c>
      <c r="B530" s="14" t="n">
        <v>0</v>
      </c>
      <c r="C530" s="14" t="n">
        <v>16</v>
      </c>
      <c r="D530" s="42" t="n">
        <v>0</v>
      </c>
      <c r="E530" s="41" t="n">
        <v>42.94</v>
      </c>
      <c r="F530" s="5" t="s">
        <v>847</v>
      </c>
    </row>
    <row r="531" customFormat="false" ht="15" hidden="false" customHeight="false" outlineLevel="0" collapsed="false">
      <c r="A531" s="14" t="s">
        <v>2412</v>
      </c>
      <c r="B531" s="14" t="n">
        <v>0</v>
      </c>
      <c r="C531" s="14" t="n">
        <v>16</v>
      </c>
      <c r="D531" s="42" t="n">
        <v>0</v>
      </c>
      <c r="E531" s="41" t="n">
        <v>60.06</v>
      </c>
      <c r="F531" s="5" t="s">
        <v>847</v>
      </c>
    </row>
    <row r="532" customFormat="false" ht="15" hidden="false" customHeight="false" outlineLevel="0" collapsed="false">
      <c r="A532" s="14" t="s">
        <v>2413</v>
      </c>
      <c r="B532" s="14" t="n">
        <v>0</v>
      </c>
      <c r="C532" s="14" t="n">
        <v>15</v>
      </c>
      <c r="D532" s="42" t="n">
        <v>0</v>
      </c>
      <c r="E532" s="41" t="n">
        <v>7.73</v>
      </c>
      <c r="F532" s="5" t="s">
        <v>849</v>
      </c>
    </row>
    <row r="533" customFormat="false" ht="15" hidden="false" customHeight="false" outlineLevel="0" collapsed="false">
      <c r="A533" s="14" t="s">
        <v>2414</v>
      </c>
      <c r="B533" s="14" t="n">
        <v>0</v>
      </c>
      <c r="C533" s="14" t="n">
        <v>15</v>
      </c>
      <c r="D533" s="42" t="n">
        <v>0</v>
      </c>
      <c r="E533" s="41" t="n">
        <v>8.13</v>
      </c>
      <c r="F533" s="5" t="s">
        <v>852</v>
      </c>
    </row>
    <row r="534" customFormat="false" ht="15" hidden="false" customHeight="false" outlineLevel="0" collapsed="false">
      <c r="A534" s="14" t="s">
        <v>2415</v>
      </c>
      <c r="B534" s="14" t="n">
        <v>0</v>
      </c>
      <c r="C534" s="14" t="n">
        <v>15</v>
      </c>
      <c r="D534" s="42" t="n">
        <v>0</v>
      </c>
      <c r="E534" s="41" t="n">
        <v>8.2</v>
      </c>
      <c r="F534" s="5" t="s">
        <v>849</v>
      </c>
    </row>
    <row r="535" customFormat="false" ht="15" hidden="false" customHeight="false" outlineLevel="0" collapsed="false">
      <c r="A535" s="14" t="s">
        <v>2416</v>
      </c>
      <c r="B535" s="14" t="n">
        <v>0</v>
      </c>
      <c r="C535" s="14" t="n">
        <v>15</v>
      </c>
      <c r="D535" s="42" t="n">
        <v>0</v>
      </c>
      <c r="E535" s="41" t="n">
        <v>8.4</v>
      </c>
      <c r="F535" s="5" t="s">
        <v>844</v>
      </c>
    </row>
    <row r="536" customFormat="false" ht="15" hidden="false" customHeight="false" outlineLevel="0" collapsed="false">
      <c r="A536" s="14" t="s">
        <v>2417</v>
      </c>
      <c r="B536" s="14" t="n">
        <v>0</v>
      </c>
      <c r="C536" s="14" t="n">
        <v>15</v>
      </c>
      <c r="D536" s="42" t="n">
        <v>0</v>
      </c>
      <c r="E536" s="41" t="n">
        <v>8.93</v>
      </c>
      <c r="F536" s="5" t="s">
        <v>849</v>
      </c>
    </row>
    <row r="537" customFormat="false" ht="15" hidden="false" customHeight="false" outlineLevel="0" collapsed="false">
      <c r="A537" s="14" t="s">
        <v>2418</v>
      </c>
      <c r="B537" s="14" t="n">
        <v>0</v>
      </c>
      <c r="C537" s="14" t="n">
        <v>15</v>
      </c>
      <c r="D537" s="42" t="n">
        <v>0</v>
      </c>
      <c r="E537" s="41" t="n">
        <v>9.4</v>
      </c>
      <c r="F537" s="5" t="s">
        <v>849</v>
      </c>
    </row>
    <row r="538" customFormat="false" ht="15" hidden="false" customHeight="false" outlineLevel="0" collapsed="false">
      <c r="A538" s="14" t="s">
        <v>2419</v>
      </c>
      <c r="B538" s="14" t="n">
        <v>0</v>
      </c>
      <c r="C538" s="14" t="n">
        <v>15</v>
      </c>
      <c r="D538" s="42" t="n">
        <v>0</v>
      </c>
      <c r="E538" s="41" t="n">
        <v>9.93</v>
      </c>
      <c r="F538" s="5" t="s">
        <v>849</v>
      </c>
    </row>
    <row r="539" customFormat="false" ht="15" hidden="false" customHeight="false" outlineLevel="0" collapsed="false">
      <c r="A539" s="14" t="s">
        <v>2420</v>
      </c>
      <c r="B539" s="14" t="n">
        <v>0</v>
      </c>
      <c r="C539" s="14" t="n">
        <v>15</v>
      </c>
      <c r="D539" s="42" t="n">
        <v>0</v>
      </c>
      <c r="E539" s="41" t="n">
        <v>10.67</v>
      </c>
      <c r="F539" s="5" t="s">
        <v>849</v>
      </c>
    </row>
    <row r="540" customFormat="false" ht="15" hidden="false" customHeight="false" outlineLevel="0" collapsed="false">
      <c r="A540" s="14" t="s">
        <v>2421</v>
      </c>
      <c r="B540" s="14" t="n">
        <v>0</v>
      </c>
      <c r="C540" s="14" t="n">
        <v>15</v>
      </c>
      <c r="D540" s="42" t="n">
        <v>0</v>
      </c>
      <c r="E540" s="41" t="n">
        <v>10.73</v>
      </c>
      <c r="F540" s="5" t="s">
        <v>852</v>
      </c>
    </row>
    <row r="541" customFormat="false" ht="15" hidden="false" customHeight="false" outlineLevel="0" collapsed="false">
      <c r="A541" s="14" t="s">
        <v>2422</v>
      </c>
      <c r="B541" s="14" t="n">
        <v>0</v>
      </c>
      <c r="C541" s="14" t="n">
        <v>15</v>
      </c>
      <c r="D541" s="42" t="n">
        <v>0</v>
      </c>
      <c r="E541" s="41" t="n">
        <v>10.87</v>
      </c>
      <c r="F541" s="5" t="s">
        <v>849</v>
      </c>
    </row>
    <row r="542" customFormat="false" ht="15" hidden="false" customHeight="false" outlineLevel="0" collapsed="false">
      <c r="A542" s="14" t="s">
        <v>2423</v>
      </c>
      <c r="B542" s="14" t="n">
        <v>0</v>
      </c>
      <c r="C542" s="14" t="n">
        <v>15</v>
      </c>
      <c r="D542" s="42" t="n">
        <v>0</v>
      </c>
      <c r="E542" s="41" t="n">
        <v>12.2</v>
      </c>
      <c r="F542" s="5" t="s">
        <v>849</v>
      </c>
    </row>
    <row r="543" customFormat="false" ht="15" hidden="false" customHeight="false" outlineLevel="0" collapsed="false">
      <c r="A543" s="14" t="s">
        <v>2424</v>
      </c>
      <c r="B543" s="14" t="n">
        <v>0</v>
      </c>
      <c r="C543" s="14" t="n">
        <v>15</v>
      </c>
      <c r="D543" s="42" t="n">
        <v>0</v>
      </c>
      <c r="E543" s="41" t="n">
        <v>12.47</v>
      </c>
      <c r="F543" s="5" t="s">
        <v>849</v>
      </c>
    </row>
    <row r="544" customFormat="false" ht="15" hidden="false" customHeight="false" outlineLevel="0" collapsed="false">
      <c r="A544" s="14" t="s">
        <v>2425</v>
      </c>
      <c r="B544" s="14" t="n">
        <v>0</v>
      </c>
      <c r="C544" s="14" t="n">
        <v>15</v>
      </c>
      <c r="D544" s="42" t="n">
        <v>0</v>
      </c>
      <c r="E544" s="41" t="n">
        <v>13.2</v>
      </c>
      <c r="F544" s="5" t="s">
        <v>849</v>
      </c>
    </row>
    <row r="545" customFormat="false" ht="15" hidden="false" customHeight="false" outlineLevel="0" collapsed="false">
      <c r="A545" s="14" t="s">
        <v>2426</v>
      </c>
      <c r="B545" s="14" t="n">
        <v>0</v>
      </c>
      <c r="C545" s="14" t="n">
        <v>15</v>
      </c>
      <c r="D545" s="42" t="n">
        <v>0</v>
      </c>
      <c r="E545" s="41" t="n">
        <v>14.07</v>
      </c>
      <c r="F545" s="5" t="s">
        <v>849</v>
      </c>
    </row>
    <row r="546" customFormat="false" ht="15" hidden="false" customHeight="false" outlineLevel="0" collapsed="false">
      <c r="A546" s="14" t="s">
        <v>2427</v>
      </c>
      <c r="B546" s="14" t="n">
        <v>0</v>
      </c>
      <c r="C546" s="14" t="n">
        <v>15</v>
      </c>
      <c r="D546" s="42" t="n">
        <v>0</v>
      </c>
      <c r="E546" s="41" t="n">
        <v>14.2</v>
      </c>
      <c r="F546" s="5" t="s">
        <v>849</v>
      </c>
    </row>
    <row r="547" customFormat="false" ht="15" hidden="false" customHeight="false" outlineLevel="0" collapsed="false">
      <c r="A547" s="14" t="s">
        <v>2428</v>
      </c>
      <c r="B547" s="14" t="n">
        <v>0</v>
      </c>
      <c r="C547" s="14" t="n">
        <v>15</v>
      </c>
      <c r="D547" s="42" t="n">
        <v>0</v>
      </c>
      <c r="E547" s="41" t="n">
        <v>15.73</v>
      </c>
      <c r="F547" s="5" t="s">
        <v>849</v>
      </c>
    </row>
    <row r="548" customFormat="false" ht="15" hidden="false" customHeight="false" outlineLevel="0" collapsed="false">
      <c r="A548" s="14" t="s">
        <v>2429</v>
      </c>
      <c r="B548" s="14" t="n">
        <v>0</v>
      </c>
      <c r="C548" s="14" t="n">
        <v>15</v>
      </c>
      <c r="D548" s="42" t="n">
        <v>0</v>
      </c>
      <c r="E548" s="41" t="n">
        <v>16.87</v>
      </c>
      <c r="F548" s="5" t="s">
        <v>849</v>
      </c>
    </row>
    <row r="549" customFormat="false" ht="15" hidden="false" customHeight="false" outlineLevel="0" collapsed="false">
      <c r="A549" s="14" t="s">
        <v>2430</v>
      </c>
      <c r="B549" s="14" t="n">
        <v>0</v>
      </c>
      <c r="C549" s="14" t="n">
        <v>15</v>
      </c>
      <c r="D549" s="42" t="n">
        <v>0</v>
      </c>
      <c r="E549" s="41" t="n">
        <v>17.07</v>
      </c>
      <c r="F549" s="5" t="s">
        <v>849</v>
      </c>
    </row>
    <row r="550" customFormat="false" ht="15" hidden="false" customHeight="false" outlineLevel="0" collapsed="false">
      <c r="A550" s="14" t="s">
        <v>2431</v>
      </c>
      <c r="B550" s="14" t="n">
        <v>0</v>
      </c>
      <c r="C550" s="14" t="n">
        <v>15</v>
      </c>
      <c r="D550" s="42" t="n">
        <v>0</v>
      </c>
      <c r="E550" s="41" t="n">
        <v>17.2</v>
      </c>
      <c r="F550" s="5" t="s">
        <v>849</v>
      </c>
    </row>
    <row r="551" customFormat="false" ht="15" hidden="false" customHeight="false" outlineLevel="0" collapsed="false">
      <c r="A551" s="14" t="s">
        <v>2432</v>
      </c>
      <c r="B551" s="14" t="n">
        <v>0</v>
      </c>
      <c r="C551" s="14" t="n">
        <v>15</v>
      </c>
      <c r="D551" s="42" t="n">
        <v>0</v>
      </c>
      <c r="E551" s="41" t="n">
        <v>18</v>
      </c>
      <c r="F551" s="5" t="s">
        <v>849</v>
      </c>
    </row>
    <row r="552" customFormat="false" ht="15" hidden="false" customHeight="false" outlineLevel="0" collapsed="false">
      <c r="A552" s="14" t="s">
        <v>2433</v>
      </c>
      <c r="B552" s="14" t="n">
        <v>0</v>
      </c>
      <c r="C552" s="14" t="n">
        <v>15</v>
      </c>
      <c r="D552" s="42" t="n">
        <v>0</v>
      </c>
      <c r="E552" s="41" t="n">
        <v>19.27</v>
      </c>
      <c r="F552" s="5" t="s">
        <v>849</v>
      </c>
    </row>
    <row r="553" customFormat="false" ht="15" hidden="false" customHeight="false" outlineLevel="0" collapsed="false">
      <c r="A553" s="14" t="s">
        <v>2434</v>
      </c>
      <c r="B553" s="14" t="n">
        <v>0</v>
      </c>
      <c r="C553" s="14" t="n">
        <v>15</v>
      </c>
      <c r="D553" s="42" t="n">
        <v>0</v>
      </c>
      <c r="E553" s="41" t="n">
        <v>19.33</v>
      </c>
      <c r="F553" s="5" t="s">
        <v>852</v>
      </c>
    </row>
    <row r="554" customFormat="false" ht="15" hidden="false" customHeight="false" outlineLevel="0" collapsed="false">
      <c r="A554" s="14" t="s">
        <v>2435</v>
      </c>
      <c r="B554" s="14" t="n">
        <v>0</v>
      </c>
      <c r="C554" s="14" t="n">
        <v>15</v>
      </c>
      <c r="D554" s="42" t="n">
        <v>0</v>
      </c>
      <c r="E554" s="41" t="n">
        <v>19.4</v>
      </c>
      <c r="F554" s="5" t="s">
        <v>850</v>
      </c>
    </row>
    <row r="555" customFormat="false" ht="15" hidden="false" customHeight="false" outlineLevel="0" collapsed="false">
      <c r="A555" s="14" t="s">
        <v>2436</v>
      </c>
      <c r="B555" s="14" t="n">
        <v>0</v>
      </c>
      <c r="C555" s="14" t="n">
        <v>15</v>
      </c>
      <c r="D555" s="42" t="n">
        <v>0</v>
      </c>
      <c r="E555" s="41" t="n">
        <v>19.4</v>
      </c>
      <c r="F555" s="5" t="s">
        <v>849</v>
      </c>
    </row>
    <row r="556" customFormat="false" ht="15" hidden="false" customHeight="false" outlineLevel="0" collapsed="false">
      <c r="A556" s="14" t="s">
        <v>2437</v>
      </c>
      <c r="B556" s="14" t="n">
        <v>0</v>
      </c>
      <c r="C556" s="14" t="n">
        <v>15</v>
      </c>
      <c r="D556" s="42" t="n">
        <v>0</v>
      </c>
      <c r="E556" s="41" t="n">
        <v>20</v>
      </c>
      <c r="F556" s="5" t="s">
        <v>849</v>
      </c>
    </row>
    <row r="557" customFormat="false" ht="15" hidden="false" customHeight="false" outlineLevel="0" collapsed="false">
      <c r="A557" s="14" t="s">
        <v>2438</v>
      </c>
      <c r="B557" s="14" t="n">
        <v>0</v>
      </c>
      <c r="C557" s="14" t="n">
        <v>15</v>
      </c>
      <c r="D557" s="42" t="n">
        <v>0</v>
      </c>
      <c r="E557" s="41" t="n">
        <v>20.93</v>
      </c>
      <c r="F557" s="5" t="s">
        <v>849</v>
      </c>
    </row>
    <row r="558" customFormat="false" ht="15" hidden="false" customHeight="false" outlineLevel="0" collapsed="false">
      <c r="A558" s="14" t="s">
        <v>2439</v>
      </c>
      <c r="B558" s="14" t="n">
        <v>0</v>
      </c>
      <c r="C558" s="14" t="n">
        <v>15</v>
      </c>
      <c r="D558" s="42" t="n">
        <v>0</v>
      </c>
      <c r="E558" s="41" t="n">
        <v>21.53</v>
      </c>
      <c r="F558" s="5" t="s">
        <v>849</v>
      </c>
    </row>
    <row r="559" customFormat="false" ht="15" hidden="false" customHeight="false" outlineLevel="0" collapsed="false">
      <c r="A559" s="14" t="s">
        <v>2440</v>
      </c>
      <c r="B559" s="14" t="n">
        <v>0</v>
      </c>
      <c r="C559" s="14" t="n">
        <v>15</v>
      </c>
      <c r="D559" s="42" t="n">
        <v>0</v>
      </c>
      <c r="E559" s="41" t="n">
        <v>22</v>
      </c>
      <c r="F559" s="5" t="s">
        <v>849</v>
      </c>
    </row>
    <row r="560" customFormat="false" ht="15" hidden="false" customHeight="false" outlineLevel="0" collapsed="false">
      <c r="A560" s="14" t="s">
        <v>2441</v>
      </c>
      <c r="B560" s="14" t="n">
        <v>0</v>
      </c>
      <c r="C560" s="14" t="n">
        <v>15</v>
      </c>
      <c r="D560" s="42" t="n">
        <v>0</v>
      </c>
      <c r="E560" s="41" t="n">
        <v>23</v>
      </c>
      <c r="F560" s="5" t="s">
        <v>849</v>
      </c>
    </row>
    <row r="561" customFormat="false" ht="15" hidden="false" customHeight="false" outlineLevel="0" collapsed="false">
      <c r="A561" s="14" t="s">
        <v>2442</v>
      </c>
      <c r="B561" s="14" t="n">
        <v>0</v>
      </c>
      <c r="C561" s="14" t="n">
        <v>15</v>
      </c>
      <c r="D561" s="42" t="n">
        <v>0</v>
      </c>
      <c r="E561" s="41" t="n">
        <v>23.47</v>
      </c>
      <c r="F561" s="5" t="s">
        <v>850</v>
      </c>
    </row>
    <row r="562" customFormat="false" ht="15" hidden="false" customHeight="false" outlineLevel="0" collapsed="false">
      <c r="A562" s="14" t="s">
        <v>2443</v>
      </c>
      <c r="B562" s="14" t="n">
        <v>0</v>
      </c>
      <c r="C562" s="14" t="n">
        <v>15</v>
      </c>
      <c r="D562" s="42" t="n">
        <v>0</v>
      </c>
      <c r="E562" s="41" t="n">
        <v>26.93</v>
      </c>
      <c r="F562" s="5" t="s">
        <v>849</v>
      </c>
    </row>
    <row r="563" customFormat="false" ht="15" hidden="false" customHeight="false" outlineLevel="0" collapsed="false">
      <c r="A563" s="14" t="s">
        <v>2444</v>
      </c>
      <c r="B563" s="14" t="n">
        <v>0</v>
      </c>
      <c r="C563" s="14" t="n">
        <v>15</v>
      </c>
      <c r="D563" s="42" t="n">
        <v>0</v>
      </c>
      <c r="E563" s="41" t="n">
        <v>27</v>
      </c>
      <c r="F563" s="5" t="s">
        <v>849</v>
      </c>
    </row>
    <row r="564" customFormat="false" ht="15" hidden="false" customHeight="false" outlineLevel="0" collapsed="false">
      <c r="A564" s="14" t="s">
        <v>2445</v>
      </c>
      <c r="B564" s="14" t="n">
        <v>0</v>
      </c>
      <c r="C564" s="14" t="n">
        <v>15</v>
      </c>
      <c r="D564" s="42" t="n">
        <v>0</v>
      </c>
      <c r="E564" s="41" t="n">
        <v>28.8</v>
      </c>
      <c r="F564" s="5" t="s">
        <v>849</v>
      </c>
    </row>
    <row r="565" customFormat="false" ht="15" hidden="false" customHeight="false" outlineLevel="0" collapsed="false">
      <c r="A565" s="14" t="s">
        <v>2446</v>
      </c>
      <c r="B565" s="14" t="n">
        <v>0</v>
      </c>
      <c r="C565" s="14" t="n">
        <v>15</v>
      </c>
      <c r="D565" s="42" t="n">
        <v>0</v>
      </c>
      <c r="E565" s="41" t="n">
        <v>30.2</v>
      </c>
      <c r="F565" s="5" t="s">
        <v>849</v>
      </c>
    </row>
    <row r="566" customFormat="false" ht="15" hidden="false" customHeight="false" outlineLevel="0" collapsed="false">
      <c r="A566" s="14" t="s">
        <v>2447</v>
      </c>
      <c r="B566" s="14" t="n">
        <v>0</v>
      </c>
      <c r="C566" s="14" t="n">
        <v>14</v>
      </c>
      <c r="D566" s="42" t="n">
        <v>0</v>
      </c>
      <c r="E566" s="41" t="n">
        <v>5.93</v>
      </c>
      <c r="F566" s="5" t="s">
        <v>849</v>
      </c>
    </row>
    <row r="567" customFormat="false" ht="15" hidden="false" customHeight="false" outlineLevel="0" collapsed="false">
      <c r="A567" s="14" t="s">
        <v>2448</v>
      </c>
      <c r="B567" s="14" t="n">
        <v>0</v>
      </c>
      <c r="C567" s="14" t="n">
        <v>14</v>
      </c>
      <c r="D567" s="42" t="n">
        <v>0</v>
      </c>
      <c r="E567" s="41" t="n">
        <v>7.93</v>
      </c>
      <c r="F567" s="5" t="s">
        <v>849</v>
      </c>
    </row>
    <row r="568" customFormat="false" ht="15" hidden="false" customHeight="false" outlineLevel="0" collapsed="false">
      <c r="A568" s="14" t="s">
        <v>2449</v>
      </c>
      <c r="B568" s="14" t="n">
        <v>0</v>
      </c>
      <c r="C568" s="14" t="n">
        <v>14</v>
      </c>
      <c r="D568" s="42" t="n">
        <v>0</v>
      </c>
      <c r="E568" s="41" t="n">
        <v>8.14</v>
      </c>
      <c r="F568" s="5" t="s">
        <v>849</v>
      </c>
    </row>
    <row r="569" customFormat="false" ht="15" hidden="false" customHeight="false" outlineLevel="0" collapsed="false">
      <c r="A569" s="14" t="s">
        <v>2450</v>
      </c>
      <c r="B569" s="14" t="n">
        <v>0</v>
      </c>
      <c r="C569" s="14" t="n">
        <v>14</v>
      </c>
      <c r="D569" s="42" t="n">
        <v>0</v>
      </c>
      <c r="E569" s="41" t="n">
        <v>8.29</v>
      </c>
      <c r="F569" s="5" t="s">
        <v>849</v>
      </c>
    </row>
    <row r="570" customFormat="false" ht="15" hidden="false" customHeight="false" outlineLevel="0" collapsed="false">
      <c r="A570" s="14" t="s">
        <v>2451</v>
      </c>
      <c r="B570" s="14" t="n">
        <v>0</v>
      </c>
      <c r="C570" s="14" t="n">
        <v>14</v>
      </c>
      <c r="D570" s="42" t="n">
        <v>0</v>
      </c>
      <c r="E570" s="41" t="n">
        <v>9.36</v>
      </c>
      <c r="F570" s="5" t="s">
        <v>849</v>
      </c>
    </row>
    <row r="571" customFormat="false" ht="15" hidden="false" customHeight="false" outlineLevel="0" collapsed="false">
      <c r="A571" s="14" t="s">
        <v>2452</v>
      </c>
      <c r="B571" s="14" t="n">
        <v>0</v>
      </c>
      <c r="C571" s="14" t="n">
        <v>14</v>
      </c>
      <c r="D571" s="42" t="n">
        <v>0</v>
      </c>
      <c r="E571" s="41" t="n">
        <v>9.5</v>
      </c>
      <c r="F571" s="5" t="s">
        <v>849</v>
      </c>
    </row>
    <row r="572" customFormat="false" ht="15" hidden="false" customHeight="false" outlineLevel="0" collapsed="false">
      <c r="A572" s="14" t="s">
        <v>2453</v>
      </c>
      <c r="B572" s="14" t="n">
        <v>0</v>
      </c>
      <c r="C572" s="14" t="n">
        <v>14</v>
      </c>
      <c r="D572" s="42" t="n">
        <v>0</v>
      </c>
      <c r="E572" s="41" t="n">
        <v>10.14</v>
      </c>
      <c r="F572" s="5" t="s">
        <v>852</v>
      </c>
    </row>
    <row r="573" customFormat="false" ht="15" hidden="false" customHeight="false" outlineLevel="0" collapsed="false">
      <c r="A573" s="14" t="s">
        <v>2454</v>
      </c>
      <c r="B573" s="14" t="n">
        <v>0</v>
      </c>
      <c r="C573" s="14" t="n">
        <v>14</v>
      </c>
      <c r="D573" s="42" t="n">
        <v>0</v>
      </c>
      <c r="E573" s="41" t="n">
        <v>10.57</v>
      </c>
      <c r="F573" s="5" t="s">
        <v>852</v>
      </c>
    </row>
    <row r="574" customFormat="false" ht="15" hidden="false" customHeight="false" outlineLevel="0" collapsed="false">
      <c r="A574" s="14" t="s">
        <v>2455</v>
      </c>
      <c r="B574" s="14" t="n">
        <v>0</v>
      </c>
      <c r="C574" s="14" t="n">
        <v>14</v>
      </c>
      <c r="D574" s="42" t="n">
        <v>0</v>
      </c>
      <c r="E574" s="41" t="n">
        <v>13</v>
      </c>
      <c r="F574" s="5" t="s">
        <v>849</v>
      </c>
    </row>
    <row r="575" customFormat="false" ht="15" hidden="false" customHeight="false" outlineLevel="0" collapsed="false">
      <c r="A575" s="14" t="s">
        <v>2456</v>
      </c>
      <c r="B575" s="14" t="n">
        <v>0</v>
      </c>
      <c r="C575" s="14" t="n">
        <v>14</v>
      </c>
      <c r="D575" s="42" t="n">
        <v>0</v>
      </c>
      <c r="E575" s="41" t="n">
        <v>13.21</v>
      </c>
      <c r="F575" s="5" t="s">
        <v>849</v>
      </c>
    </row>
    <row r="576" customFormat="false" ht="15" hidden="false" customHeight="false" outlineLevel="0" collapsed="false">
      <c r="A576" s="14" t="s">
        <v>2457</v>
      </c>
      <c r="B576" s="14" t="n">
        <v>0</v>
      </c>
      <c r="C576" s="14" t="n">
        <v>14</v>
      </c>
      <c r="D576" s="42" t="n">
        <v>0</v>
      </c>
      <c r="E576" s="41" t="n">
        <v>13.5</v>
      </c>
      <c r="F576" s="5" t="s">
        <v>849</v>
      </c>
    </row>
    <row r="577" customFormat="false" ht="15" hidden="false" customHeight="false" outlineLevel="0" collapsed="false">
      <c r="A577" s="14" t="s">
        <v>2458</v>
      </c>
      <c r="B577" s="14" t="n">
        <v>0</v>
      </c>
      <c r="C577" s="14" t="n">
        <v>14</v>
      </c>
      <c r="D577" s="42" t="n">
        <v>0</v>
      </c>
      <c r="E577" s="41" t="n">
        <v>13.79</v>
      </c>
      <c r="F577" s="5" t="s">
        <v>849</v>
      </c>
    </row>
    <row r="578" customFormat="false" ht="15" hidden="false" customHeight="false" outlineLevel="0" collapsed="false">
      <c r="A578" s="14" t="s">
        <v>2459</v>
      </c>
      <c r="B578" s="14" t="n">
        <v>0</v>
      </c>
      <c r="C578" s="14" t="n">
        <v>14</v>
      </c>
      <c r="D578" s="42" t="n">
        <v>0</v>
      </c>
      <c r="E578" s="41" t="n">
        <v>14.5</v>
      </c>
      <c r="F578" s="5" t="s">
        <v>849</v>
      </c>
    </row>
    <row r="579" customFormat="false" ht="15" hidden="false" customHeight="false" outlineLevel="0" collapsed="false">
      <c r="A579" s="14" t="s">
        <v>2460</v>
      </c>
      <c r="B579" s="14" t="n">
        <v>0</v>
      </c>
      <c r="C579" s="14" t="n">
        <v>14</v>
      </c>
      <c r="D579" s="42" t="n">
        <v>0</v>
      </c>
      <c r="E579" s="41" t="n">
        <v>14.71</v>
      </c>
      <c r="F579" s="5" t="s">
        <v>849</v>
      </c>
    </row>
    <row r="580" customFormat="false" ht="15" hidden="false" customHeight="false" outlineLevel="0" collapsed="false">
      <c r="A580" s="14" t="s">
        <v>2461</v>
      </c>
      <c r="B580" s="14" t="n">
        <v>0</v>
      </c>
      <c r="C580" s="14" t="n">
        <v>14</v>
      </c>
      <c r="D580" s="42" t="n">
        <v>0</v>
      </c>
      <c r="E580" s="41" t="n">
        <v>15.64</v>
      </c>
      <c r="F580" s="5" t="s">
        <v>849</v>
      </c>
    </row>
    <row r="581" customFormat="false" ht="15" hidden="false" customHeight="false" outlineLevel="0" collapsed="false">
      <c r="A581" s="14" t="s">
        <v>2462</v>
      </c>
      <c r="B581" s="14" t="n">
        <v>0</v>
      </c>
      <c r="C581" s="14" t="n">
        <v>14</v>
      </c>
      <c r="D581" s="42" t="n">
        <v>0</v>
      </c>
      <c r="E581" s="41" t="n">
        <v>16.5</v>
      </c>
      <c r="F581" s="5" t="s">
        <v>849</v>
      </c>
    </row>
    <row r="582" customFormat="false" ht="15" hidden="false" customHeight="false" outlineLevel="0" collapsed="false">
      <c r="A582" s="14" t="s">
        <v>2463</v>
      </c>
      <c r="B582" s="14" t="n">
        <v>0</v>
      </c>
      <c r="C582" s="14" t="n">
        <v>14</v>
      </c>
      <c r="D582" s="42" t="n">
        <v>0</v>
      </c>
      <c r="E582" s="41" t="n">
        <v>17.43</v>
      </c>
      <c r="F582" s="5" t="s">
        <v>849</v>
      </c>
    </row>
    <row r="583" customFormat="false" ht="15" hidden="false" customHeight="false" outlineLevel="0" collapsed="false">
      <c r="A583" s="14" t="s">
        <v>2464</v>
      </c>
      <c r="B583" s="14" t="n">
        <v>0</v>
      </c>
      <c r="C583" s="14" t="n">
        <v>14</v>
      </c>
      <c r="D583" s="42" t="n">
        <v>0</v>
      </c>
      <c r="E583" s="41" t="n">
        <v>18.5</v>
      </c>
      <c r="F583" s="5" t="s">
        <v>849</v>
      </c>
    </row>
    <row r="584" customFormat="false" ht="15" hidden="false" customHeight="false" outlineLevel="0" collapsed="false">
      <c r="A584" s="14" t="s">
        <v>2465</v>
      </c>
      <c r="B584" s="14" t="n">
        <v>0</v>
      </c>
      <c r="C584" s="14" t="n">
        <v>14</v>
      </c>
      <c r="D584" s="42" t="n">
        <v>0</v>
      </c>
      <c r="E584" s="41" t="n">
        <v>18.57</v>
      </c>
      <c r="F584" s="5" t="s">
        <v>849</v>
      </c>
    </row>
    <row r="585" customFormat="false" ht="15" hidden="false" customHeight="false" outlineLevel="0" collapsed="false">
      <c r="A585" s="14" t="s">
        <v>2466</v>
      </c>
      <c r="B585" s="14" t="n">
        <v>0</v>
      </c>
      <c r="C585" s="14" t="n">
        <v>14</v>
      </c>
      <c r="D585" s="42" t="n">
        <v>0</v>
      </c>
      <c r="E585" s="41" t="n">
        <v>20.07</v>
      </c>
      <c r="F585" s="5" t="s">
        <v>849</v>
      </c>
    </row>
    <row r="586" customFormat="false" ht="15" hidden="false" customHeight="false" outlineLevel="0" collapsed="false">
      <c r="A586" s="14" t="s">
        <v>2467</v>
      </c>
      <c r="B586" s="14" t="n">
        <v>0</v>
      </c>
      <c r="C586" s="14" t="n">
        <v>14</v>
      </c>
      <c r="D586" s="42" t="n">
        <v>0</v>
      </c>
      <c r="E586" s="41" t="n">
        <v>20.14</v>
      </c>
      <c r="F586" s="5" t="s">
        <v>849</v>
      </c>
    </row>
    <row r="587" customFormat="false" ht="15" hidden="false" customHeight="false" outlineLevel="0" collapsed="false">
      <c r="A587" s="14" t="s">
        <v>2468</v>
      </c>
      <c r="B587" s="14" t="n">
        <v>0</v>
      </c>
      <c r="C587" s="14" t="n">
        <v>14</v>
      </c>
      <c r="D587" s="42" t="n">
        <v>0</v>
      </c>
      <c r="E587" s="41" t="n">
        <v>20.79</v>
      </c>
      <c r="F587" s="5" t="s">
        <v>849</v>
      </c>
    </row>
    <row r="588" customFormat="false" ht="15" hidden="false" customHeight="false" outlineLevel="0" collapsed="false">
      <c r="A588" s="14" t="s">
        <v>2469</v>
      </c>
      <c r="B588" s="14" t="n">
        <v>0</v>
      </c>
      <c r="C588" s="14" t="n">
        <v>14</v>
      </c>
      <c r="D588" s="42" t="n">
        <v>0</v>
      </c>
      <c r="E588" s="41" t="n">
        <v>20.86</v>
      </c>
      <c r="F588" s="5" t="s">
        <v>849</v>
      </c>
    </row>
    <row r="589" customFormat="false" ht="15" hidden="false" customHeight="false" outlineLevel="0" collapsed="false">
      <c r="A589" s="14" t="s">
        <v>2470</v>
      </c>
      <c r="B589" s="14" t="n">
        <v>0</v>
      </c>
      <c r="C589" s="14" t="n">
        <v>14</v>
      </c>
      <c r="D589" s="42" t="n">
        <v>0</v>
      </c>
      <c r="E589" s="41" t="n">
        <v>21.86</v>
      </c>
      <c r="F589" s="5" t="s">
        <v>849</v>
      </c>
    </row>
    <row r="590" customFormat="false" ht="15" hidden="false" customHeight="false" outlineLevel="0" collapsed="false">
      <c r="A590" s="14" t="s">
        <v>2471</v>
      </c>
      <c r="B590" s="14" t="n">
        <v>0</v>
      </c>
      <c r="C590" s="14" t="n">
        <v>14</v>
      </c>
      <c r="D590" s="42" t="n">
        <v>0</v>
      </c>
      <c r="E590" s="41" t="n">
        <v>22.36</v>
      </c>
      <c r="F590" s="5" t="s">
        <v>849</v>
      </c>
    </row>
    <row r="591" customFormat="false" ht="15" hidden="false" customHeight="false" outlineLevel="0" collapsed="false">
      <c r="A591" s="14" t="s">
        <v>2472</v>
      </c>
      <c r="B591" s="14" t="n">
        <v>0</v>
      </c>
      <c r="C591" s="14" t="n">
        <v>14</v>
      </c>
      <c r="D591" s="42" t="n">
        <v>0</v>
      </c>
      <c r="E591" s="41" t="n">
        <v>23.79</v>
      </c>
      <c r="F591" s="5" t="s">
        <v>849</v>
      </c>
    </row>
    <row r="592" customFormat="false" ht="15" hidden="false" customHeight="false" outlineLevel="0" collapsed="false">
      <c r="A592" s="14" t="s">
        <v>2473</v>
      </c>
      <c r="B592" s="14" t="n">
        <v>0</v>
      </c>
      <c r="C592" s="14" t="n">
        <v>14</v>
      </c>
      <c r="D592" s="42" t="n">
        <v>0</v>
      </c>
      <c r="E592" s="41" t="n">
        <v>23.93</v>
      </c>
      <c r="F592" s="5" t="s">
        <v>849</v>
      </c>
    </row>
    <row r="593" customFormat="false" ht="15" hidden="false" customHeight="false" outlineLevel="0" collapsed="false">
      <c r="A593" s="14" t="s">
        <v>2474</v>
      </c>
      <c r="B593" s="14" t="n">
        <v>0</v>
      </c>
      <c r="C593" s="14" t="n">
        <v>14</v>
      </c>
      <c r="D593" s="42" t="n">
        <v>0</v>
      </c>
      <c r="E593" s="41" t="n">
        <v>24</v>
      </c>
      <c r="F593" s="5" t="s">
        <v>849</v>
      </c>
    </row>
    <row r="594" customFormat="false" ht="15" hidden="false" customHeight="false" outlineLevel="0" collapsed="false">
      <c r="A594" s="14" t="s">
        <v>2475</v>
      </c>
      <c r="B594" s="14" t="n">
        <v>0</v>
      </c>
      <c r="C594" s="14" t="n">
        <v>14</v>
      </c>
      <c r="D594" s="42" t="n">
        <v>0</v>
      </c>
      <c r="E594" s="41" t="n">
        <v>25.64</v>
      </c>
      <c r="F594" s="5" t="s">
        <v>849</v>
      </c>
    </row>
    <row r="595" customFormat="false" ht="15" hidden="false" customHeight="false" outlineLevel="0" collapsed="false">
      <c r="A595" s="14" t="s">
        <v>2476</v>
      </c>
      <c r="B595" s="14" t="n">
        <v>0</v>
      </c>
      <c r="C595" s="14" t="n">
        <v>14</v>
      </c>
      <c r="D595" s="42" t="n">
        <v>0</v>
      </c>
      <c r="E595" s="41" t="n">
        <v>26.29</v>
      </c>
      <c r="F595" s="5" t="s">
        <v>849</v>
      </c>
    </row>
    <row r="596" customFormat="false" ht="15" hidden="false" customHeight="false" outlineLevel="0" collapsed="false">
      <c r="A596" s="14" t="s">
        <v>2477</v>
      </c>
      <c r="B596" s="14" t="n">
        <v>0</v>
      </c>
      <c r="C596" s="14" t="n">
        <v>14</v>
      </c>
      <c r="D596" s="42" t="n">
        <v>0</v>
      </c>
      <c r="E596" s="41" t="n">
        <v>28.93</v>
      </c>
      <c r="F596" s="5" t="s">
        <v>849</v>
      </c>
    </row>
    <row r="597" customFormat="false" ht="15" hidden="false" customHeight="false" outlineLevel="0" collapsed="false">
      <c r="A597" s="14" t="s">
        <v>2478</v>
      </c>
      <c r="B597" s="14" t="n">
        <v>0</v>
      </c>
      <c r="C597" s="14" t="n">
        <v>14</v>
      </c>
      <c r="D597" s="42" t="n">
        <v>0</v>
      </c>
      <c r="E597" s="41" t="n">
        <v>41.14</v>
      </c>
      <c r="F597" s="5" t="s">
        <v>849</v>
      </c>
    </row>
    <row r="598" customFormat="false" ht="15" hidden="false" customHeight="false" outlineLevel="0" collapsed="false">
      <c r="A598" s="14" t="s">
        <v>2479</v>
      </c>
      <c r="B598" s="14" t="n">
        <v>0</v>
      </c>
      <c r="C598" s="14" t="n">
        <v>14</v>
      </c>
      <c r="D598" s="42" t="n">
        <v>0</v>
      </c>
      <c r="E598" s="41" t="n">
        <v>43.57</v>
      </c>
      <c r="F598" s="5" t="s">
        <v>849</v>
      </c>
    </row>
    <row r="599" customFormat="false" ht="15" hidden="false" customHeight="false" outlineLevel="0" collapsed="false">
      <c r="A599" s="14" t="s">
        <v>2480</v>
      </c>
      <c r="B599" s="14" t="n">
        <v>0</v>
      </c>
      <c r="C599" s="14" t="n">
        <v>14</v>
      </c>
      <c r="D599" s="42" t="n">
        <v>0</v>
      </c>
      <c r="E599" s="41" t="n">
        <v>43.64</v>
      </c>
      <c r="F599" s="5" t="s">
        <v>847</v>
      </c>
    </row>
    <row r="600" customFormat="false" ht="15" hidden="false" customHeight="false" outlineLevel="0" collapsed="false">
      <c r="A600" s="14" t="s">
        <v>2481</v>
      </c>
      <c r="B600" s="14" t="n">
        <v>0</v>
      </c>
      <c r="C600" s="14" t="n">
        <v>13</v>
      </c>
      <c r="D600" s="42" t="n">
        <v>0</v>
      </c>
      <c r="E600" s="41" t="n">
        <v>5.15</v>
      </c>
      <c r="F600" s="5" t="s">
        <v>849</v>
      </c>
    </row>
    <row r="601" customFormat="false" ht="15" hidden="false" customHeight="false" outlineLevel="0" collapsed="false">
      <c r="A601" s="14" t="s">
        <v>2482</v>
      </c>
      <c r="B601" s="14" t="n">
        <v>0</v>
      </c>
      <c r="C601" s="14" t="n">
        <v>13</v>
      </c>
      <c r="D601" s="42" t="n">
        <v>0</v>
      </c>
      <c r="E601" s="41" t="n">
        <v>7.46</v>
      </c>
      <c r="F601" s="5" t="s">
        <v>849</v>
      </c>
    </row>
    <row r="602" customFormat="false" ht="15" hidden="false" customHeight="false" outlineLevel="0" collapsed="false">
      <c r="A602" s="14" t="s">
        <v>2483</v>
      </c>
      <c r="B602" s="14" t="n">
        <v>0</v>
      </c>
      <c r="C602" s="14" t="n">
        <v>13</v>
      </c>
      <c r="D602" s="42" t="n">
        <v>0</v>
      </c>
      <c r="E602" s="41" t="n">
        <v>7.92</v>
      </c>
      <c r="F602" s="5" t="s">
        <v>849</v>
      </c>
    </row>
    <row r="603" customFormat="false" ht="15" hidden="false" customHeight="false" outlineLevel="0" collapsed="false">
      <c r="A603" s="14" t="s">
        <v>2484</v>
      </c>
      <c r="B603" s="14" t="n">
        <v>0</v>
      </c>
      <c r="C603" s="14" t="n">
        <v>13</v>
      </c>
      <c r="D603" s="42" t="n">
        <v>0</v>
      </c>
      <c r="E603" s="41" t="n">
        <v>8.54</v>
      </c>
      <c r="F603" s="5" t="s">
        <v>849</v>
      </c>
    </row>
    <row r="604" customFormat="false" ht="15" hidden="false" customHeight="false" outlineLevel="0" collapsed="false">
      <c r="A604" s="14" t="s">
        <v>2485</v>
      </c>
      <c r="B604" s="14" t="n">
        <v>0</v>
      </c>
      <c r="C604" s="14" t="n">
        <v>13</v>
      </c>
      <c r="D604" s="42" t="n">
        <v>0</v>
      </c>
      <c r="E604" s="41" t="n">
        <v>8.62</v>
      </c>
      <c r="F604" s="5" t="s">
        <v>849</v>
      </c>
    </row>
    <row r="605" customFormat="false" ht="15" hidden="false" customHeight="false" outlineLevel="0" collapsed="false">
      <c r="A605" s="14" t="s">
        <v>2486</v>
      </c>
      <c r="B605" s="14" t="n">
        <v>0</v>
      </c>
      <c r="C605" s="14" t="n">
        <v>13</v>
      </c>
      <c r="D605" s="42" t="n">
        <v>0</v>
      </c>
      <c r="E605" s="41" t="n">
        <v>8.69</v>
      </c>
      <c r="F605" s="5" t="s">
        <v>849</v>
      </c>
    </row>
    <row r="606" customFormat="false" ht="15" hidden="false" customHeight="false" outlineLevel="0" collapsed="false">
      <c r="A606" s="14" t="s">
        <v>2487</v>
      </c>
      <c r="B606" s="14" t="n">
        <v>0</v>
      </c>
      <c r="C606" s="14" t="n">
        <v>13</v>
      </c>
      <c r="D606" s="42" t="n">
        <v>0</v>
      </c>
      <c r="E606" s="41" t="n">
        <v>8.69</v>
      </c>
      <c r="F606" s="5" t="s">
        <v>849</v>
      </c>
    </row>
    <row r="607" customFormat="false" ht="15" hidden="false" customHeight="false" outlineLevel="0" collapsed="false">
      <c r="A607" s="14" t="s">
        <v>2488</v>
      </c>
      <c r="B607" s="14" t="n">
        <v>0</v>
      </c>
      <c r="C607" s="14" t="n">
        <v>13</v>
      </c>
      <c r="D607" s="42" t="n">
        <v>0</v>
      </c>
      <c r="E607" s="41" t="n">
        <v>8.77</v>
      </c>
      <c r="F607" s="5" t="s">
        <v>849</v>
      </c>
    </row>
    <row r="608" customFormat="false" ht="15" hidden="false" customHeight="false" outlineLevel="0" collapsed="false">
      <c r="A608" s="14" t="s">
        <v>2489</v>
      </c>
      <c r="B608" s="14" t="n">
        <v>0</v>
      </c>
      <c r="C608" s="14" t="n">
        <v>13</v>
      </c>
      <c r="D608" s="42" t="n">
        <v>0</v>
      </c>
      <c r="E608" s="41" t="n">
        <v>9.62</v>
      </c>
      <c r="F608" s="5" t="s">
        <v>850</v>
      </c>
    </row>
    <row r="609" customFormat="false" ht="15" hidden="false" customHeight="false" outlineLevel="0" collapsed="false">
      <c r="A609" s="14" t="s">
        <v>2490</v>
      </c>
      <c r="B609" s="14" t="n">
        <v>0</v>
      </c>
      <c r="C609" s="14" t="n">
        <v>13</v>
      </c>
      <c r="D609" s="42" t="n">
        <v>0</v>
      </c>
      <c r="E609" s="41" t="n">
        <v>9.62</v>
      </c>
      <c r="F609" s="5" t="s">
        <v>849</v>
      </c>
    </row>
    <row r="610" customFormat="false" ht="15" hidden="false" customHeight="false" outlineLevel="0" collapsed="false">
      <c r="A610" s="14" t="s">
        <v>2491</v>
      </c>
      <c r="B610" s="14" t="n">
        <v>0</v>
      </c>
      <c r="C610" s="14" t="n">
        <v>13</v>
      </c>
      <c r="D610" s="42" t="n">
        <v>0</v>
      </c>
      <c r="E610" s="41" t="n">
        <v>11.15</v>
      </c>
      <c r="F610" s="5" t="s">
        <v>849</v>
      </c>
    </row>
    <row r="611" customFormat="false" ht="15" hidden="false" customHeight="false" outlineLevel="0" collapsed="false">
      <c r="A611" s="14" t="s">
        <v>2492</v>
      </c>
      <c r="B611" s="14" t="n">
        <v>0</v>
      </c>
      <c r="C611" s="14" t="n">
        <v>13</v>
      </c>
      <c r="D611" s="42" t="n">
        <v>0</v>
      </c>
      <c r="E611" s="41" t="n">
        <v>11.15</v>
      </c>
      <c r="F611" s="5" t="s">
        <v>849</v>
      </c>
    </row>
    <row r="612" customFormat="false" ht="15" hidden="false" customHeight="false" outlineLevel="0" collapsed="false">
      <c r="A612" s="14" t="s">
        <v>2493</v>
      </c>
      <c r="B612" s="14" t="n">
        <v>0</v>
      </c>
      <c r="C612" s="14" t="n">
        <v>13</v>
      </c>
      <c r="D612" s="42" t="n">
        <v>0</v>
      </c>
      <c r="E612" s="41" t="n">
        <v>11.62</v>
      </c>
      <c r="F612" s="5" t="s">
        <v>849</v>
      </c>
    </row>
    <row r="613" customFormat="false" ht="15" hidden="false" customHeight="false" outlineLevel="0" collapsed="false">
      <c r="A613" s="14" t="s">
        <v>2494</v>
      </c>
      <c r="B613" s="14" t="n">
        <v>0</v>
      </c>
      <c r="C613" s="14" t="n">
        <v>13</v>
      </c>
      <c r="D613" s="42" t="n">
        <v>0</v>
      </c>
      <c r="E613" s="41" t="n">
        <v>11.62</v>
      </c>
      <c r="F613" s="5" t="s">
        <v>849</v>
      </c>
    </row>
    <row r="614" customFormat="false" ht="15" hidden="false" customHeight="false" outlineLevel="0" collapsed="false">
      <c r="A614" s="14" t="s">
        <v>2495</v>
      </c>
      <c r="B614" s="14" t="n">
        <v>0</v>
      </c>
      <c r="C614" s="14" t="n">
        <v>13</v>
      </c>
      <c r="D614" s="42" t="n">
        <v>0</v>
      </c>
      <c r="E614" s="41" t="n">
        <v>11.92</v>
      </c>
      <c r="F614" s="5" t="s">
        <v>850</v>
      </c>
    </row>
    <row r="615" customFormat="false" ht="15" hidden="false" customHeight="false" outlineLevel="0" collapsed="false">
      <c r="A615" s="14" t="s">
        <v>2496</v>
      </c>
      <c r="B615" s="14" t="n">
        <v>0</v>
      </c>
      <c r="C615" s="14" t="n">
        <v>13</v>
      </c>
      <c r="D615" s="42" t="n">
        <v>0</v>
      </c>
      <c r="E615" s="41" t="n">
        <v>11.92</v>
      </c>
      <c r="F615" s="5" t="s">
        <v>849</v>
      </c>
    </row>
    <row r="616" customFormat="false" ht="15" hidden="false" customHeight="false" outlineLevel="0" collapsed="false">
      <c r="A616" s="14" t="s">
        <v>2497</v>
      </c>
      <c r="B616" s="14" t="n">
        <v>0</v>
      </c>
      <c r="C616" s="14" t="n">
        <v>13</v>
      </c>
      <c r="D616" s="42" t="n">
        <v>0</v>
      </c>
      <c r="E616" s="41" t="n">
        <v>12.54</v>
      </c>
      <c r="F616" s="5" t="s">
        <v>849</v>
      </c>
    </row>
    <row r="617" customFormat="false" ht="15" hidden="false" customHeight="false" outlineLevel="0" collapsed="false">
      <c r="A617" s="14" t="s">
        <v>2498</v>
      </c>
      <c r="B617" s="14" t="n">
        <v>0</v>
      </c>
      <c r="C617" s="14" t="n">
        <v>13</v>
      </c>
      <c r="D617" s="42" t="n">
        <v>0</v>
      </c>
      <c r="E617" s="41" t="n">
        <v>12.54</v>
      </c>
      <c r="F617" s="5" t="s">
        <v>849</v>
      </c>
    </row>
    <row r="618" customFormat="false" ht="15" hidden="false" customHeight="false" outlineLevel="0" collapsed="false">
      <c r="A618" s="14" t="s">
        <v>2499</v>
      </c>
      <c r="B618" s="14" t="n">
        <v>0</v>
      </c>
      <c r="C618" s="14" t="n">
        <v>13</v>
      </c>
      <c r="D618" s="42" t="n">
        <v>0</v>
      </c>
      <c r="E618" s="41" t="n">
        <v>13.23</v>
      </c>
      <c r="F618" s="5" t="s">
        <v>849</v>
      </c>
    </row>
    <row r="619" customFormat="false" ht="15" hidden="false" customHeight="false" outlineLevel="0" collapsed="false">
      <c r="A619" s="14" t="s">
        <v>2500</v>
      </c>
      <c r="B619" s="14" t="n">
        <v>0</v>
      </c>
      <c r="C619" s="14" t="n">
        <v>13</v>
      </c>
      <c r="D619" s="42" t="n">
        <v>0</v>
      </c>
      <c r="E619" s="41" t="n">
        <v>13.31</v>
      </c>
      <c r="F619" s="5" t="s">
        <v>849</v>
      </c>
    </row>
    <row r="620" customFormat="false" ht="15" hidden="false" customHeight="false" outlineLevel="0" collapsed="false">
      <c r="A620" s="14" t="s">
        <v>2501</v>
      </c>
      <c r="B620" s="14" t="n">
        <v>0</v>
      </c>
      <c r="C620" s="14" t="n">
        <v>13</v>
      </c>
      <c r="D620" s="42" t="n">
        <v>0</v>
      </c>
      <c r="E620" s="41" t="n">
        <v>15.08</v>
      </c>
      <c r="F620" s="5" t="s">
        <v>849</v>
      </c>
    </row>
    <row r="621" customFormat="false" ht="15" hidden="false" customHeight="false" outlineLevel="0" collapsed="false">
      <c r="A621" s="14" t="s">
        <v>2502</v>
      </c>
      <c r="B621" s="14" t="n">
        <v>0</v>
      </c>
      <c r="C621" s="14" t="n">
        <v>13</v>
      </c>
      <c r="D621" s="42" t="n">
        <v>0</v>
      </c>
      <c r="E621" s="41" t="n">
        <v>15.15</v>
      </c>
      <c r="F621" s="5" t="s">
        <v>849</v>
      </c>
    </row>
    <row r="622" customFormat="false" ht="15" hidden="false" customHeight="false" outlineLevel="0" collapsed="false">
      <c r="A622" s="14" t="s">
        <v>2503</v>
      </c>
      <c r="B622" s="14" t="n">
        <v>0</v>
      </c>
      <c r="C622" s="14" t="n">
        <v>13</v>
      </c>
      <c r="D622" s="42" t="n">
        <v>0</v>
      </c>
      <c r="E622" s="41" t="n">
        <v>15.31</v>
      </c>
      <c r="F622" s="5" t="s">
        <v>849</v>
      </c>
    </row>
    <row r="623" customFormat="false" ht="15" hidden="false" customHeight="false" outlineLevel="0" collapsed="false">
      <c r="A623" s="14" t="s">
        <v>2504</v>
      </c>
      <c r="B623" s="14" t="n">
        <v>0</v>
      </c>
      <c r="C623" s="14" t="n">
        <v>13</v>
      </c>
      <c r="D623" s="42" t="n">
        <v>0</v>
      </c>
      <c r="E623" s="41" t="n">
        <v>15.38</v>
      </c>
      <c r="F623" s="5" t="s">
        <v>849</v>
      </c>
    </row>
    <row r="624" customFormat="false" ht="15" hidden="false" customHeight="false" outlineLevel="0" collapsed="false">
      <c r="A624" s="14" t="s">
        <v>2505</v>
      </c>
      <c r="B624" s="14" t="n">
        <v>0</v>
      </c>
      <c r="C624" s="14" t="n">
        <v>13</v>
      </c>
      <c r="D624" s="42" t="n">
        <v>0</v>
      </c>
      <c r="E624" s="41" t="n">
        <v>16.15</v>
      </c>
      <c r="F624" s="5" t="s">
        <v>849</v>
      </c>
    </row>
    <row r="625" customFormat="false" ht="15" hidden="false" customHeight="false" outlineLevel="0" collapsed="false">
      <c r="A625" s="14" t="s">
        <v>2506</v>
      </c>
      <c r="B625" s="14" t="n">
        <v>0</v>
      </c>
      <c r="C625" s="14" t="n">
        <v>13</v>
      </c>
      <c r="D625" s="42" t="n">
        <v>0</v>
      </c>
      <c r="E625" s="41" t="n">
        <v>17</v>
      </c>
      <c r="F625" s="5" t="s">
        <v>849</v>
      </c>
    </row>
    <row r="626" customFormat="false" ht="15" hidden="false" customHeight="false" outlineLevel="0" collapsed="false">
      <c r="A626" s="14" t="s">
        <v>2507</v>
      </c>
      <c r="B626" s="14" t="n">
        <v>0</v>
      </c>
      <c r="C626" s="14" t="n">
        <v>13</v>
      </c>
      <c r="D626" s="42" t="n">
        <v>0</v>
      </c>
      <c r="E626" s="41" t="n">
        <v>17.54</v>
      </c>
      <c r="F626" s="5" t="s">
        <v>849</v>
      </c>
    </row>
    <row r="627" customFormat="false" ht="15" hidden="false" customHeight="false" outlineLevel="0" collapsed="false">
      <c r="A627" s="14" t="s">
        <v>2508</v>
      </c>
      <c r="B627" s="14" t="n">
        <v>0</v>
      </c>
      <c r="C627" s="14" t="n">
        <v>13</v>
      </c>
      <c r="D627" s="42" t="n">
        <v>0</v>
      </c>
      <c r="E627" s="41" t="n">
        <v>17.69</v>
      </c>
      <c r="F627" s="5" t="s">
        <v>850</v>
      </c>
    </row>
    <row r="628" customFormat="false" ht="15" hidden="false" customHeight="false" outlineLevel="0" collapsed="false">
      <c r="A628" s="14" t="s">
        <v>2509</v>
      </c>
      <c r="B628" s="14" t="n">
        <v>0</v>
      </c>
      <c r="C628" s="14" t="n">
        <v>13</v>
      </c>
      <c r="D628" s="42" t="n">
        <v>0</v>
      </c>
      <c r="E628" s="41" t="n">
        <v>18.62</v>
      </c>
      <c r="F628" s="5" t="s">
        <v>849</v>
      </c>
    </row>
    <row r="629" customFormat="false" ht="15" hidden="false" customHeight="false" outlineLevel="0" collapsed="false">
      <c r="A629" s="14" t="s">
        <v>2510</v>
      </c>
      <c r="B629" s="14" t="n">
        <v>0</v>
      </c>
      <c r="C629" s="14" t="n">
        <v>13</v>
      </c>
      <c r="D629" s="42" t="n">
        <v>0</v>
      </c>
      <c r="E629" s="41" t="n">
        <v>18.92</v>
      </c>
      <c r="F629" s="5" t="s">
        <v>849</v>
      </c>
    </row>
    <row r="630" customFormat="false" ht="15" hidden="false" customHeight="false" outlineLevel="0" collapsed="false">
      <c r="A630" s="14" t="s">
        <v>2511</v>
      </c>
      <c r="B630" s="14" t="n">
        <v>0</v>
      </c>
      <c r="C630" s="14" t="n">
        <v>13</v>
      </c>
      <c r="D630" s="42" t="n">
        <v>0</v>
      </c>
      <c r="E630" s="41" t="n">
        <v>25.92</v>
      </c>
      <c r="F630" s="5" t="s">
        <v>849</v>
      </c>
    </row>
    <row r="631" customFormat="false" ht="15" hidden="false" customHeight="false" outlineLevel="0" collapsed="false">
      <c r="A631" s="14" t="s">
        <v>2512</v>
      </c>
      <c r="B631" s="14" t="n">
        <v>0</v>
      </c>
      <c r="C631" s="14" t="n">
        <v>13</v>
      </c>
      <c r="D631" s="42" t="n">
        <v>0</v>
      </c>
      <c r="E631" s="41" t="n">
        <v>27.15</v>
      </c>
      <c r="F631" s="5" t="s">
        <v>847</v>
      </c>
    </row>
    <row r="632" customFormat="false" ht="15" hidden="false" customHeight="false" outlineLevel="0" collapsed="false">
      <c r="A632" s="14" t="s">
        <v>2513</v>
      </c>
      <c r="B632" s="14" t="n">
        <v>0</v>
      </c>
      <c r="C632" s="14" t="n">
        <v>13</v>
      </c>
      <c r="D632" s="42" t="n">
        <v>0</v>
      </c>
      <c r="E632" s="41" t="n">
        <v>27.54</v>
      </c>
      <c r="F632" s="5" t="s">
        <v>849</v>
      </c>
    </row>
    <row r="633" customFormat="false" ht="15" hidden="false" customHeight="false" outlineLevel="0" collapsed="false">
      <c r="A633" s="14" t="s">
        <v>2514</v>
      </c>
      <c r="B633" s="14" t="n">
        <v>0</v>
      </c>
      <c r="C633" s="14" t="n">
        <v>13</v>
      </c>
      <c r="D633" s="42" t="n">
        <v>0</v>
      </c>
      <c r="E633" s="41" t="n">
        <v>29.23</v>
      </c>
      <c r="F633" s="5" t="s">
        <v>849</v>
      </c>
    </row>
    <row r="634" customFormat="false" ht="15" hidden="false" customHeight="false" outlineLevel="0" collapsed="false">
      <c r="A634" s="14" t="s">
        <v>2515</v>
      </c>
      <c r="B634" s="14" t="n">
        <v>0</v>
      </c>
      <c r="C634" s="14" t="n">
        <v>13</v>
      </c>
      <c r="D634" s="42" t="n">
        <v>0</v>
      </c>
      <c r="E634" s="41" t="n">
        <v>33.85</v>
      </c>
      <c r="F634" s="5" t="s">
        <v>850</v>
      </c>
    </row>
    <row r="635" customFormat="false" ht="15" hidden="false" customHeight="false" outlineLevel="0" collapsed="false">
      <c r="A635" s="14" t="s">
        <v>2516</v>
      </c>
      <c r="B635" s="14" t="n">
        <v>0</v>
      </c>
      <c r="C635" s="14" t="n">
        <v>13</v>
      </c>
      <c r="D635" s="42" t="n">
        <v>0</v>
      </c>
      <c r="E635" s="41" t="n">
        <v>34.77</v>
      </c>
      <c r="F635" s="5" t="s">
        <v>849</v>
      </c>
    </row>
    <row r="636" customFormat="false" ht="15" hidden="false" customHeight="false" outlineLevel="0" collapsed="false">
      <c r="A636" s="14" t="s">
        <v>2517</v>
      </c>
      <c r="B636" s="14" t="n">
        <v>0</v>
      </c>
      <c r="C636" s="14" t="n">
        <v>13</v>
      </c>
      <c r="D636" s="42" t="n">
        <v>0</v>
      </c>
      <c r="E636" s="41" t="n">
        <v>34.77</v>
      </c>
      <c r="F636" s="5" t="s">
        <v>849</v>
      </c>
    </row>
    <row r="637" customFormat="false" ht="15" hidden="false" customHeight="false" outlineLevel="0" collapsed="false">
      <c r="A637" s="14" t="s">
        <v>2518</v>
      </c>
      <c r="B637" s="14" t="n">
        <v>0</v>
      </c>
      <c r="C637" s="14" t="n">
        <v>13</v>
      </c>
      <c r="D637" s="42" t="n">
        <v>0</v>
      </c>
      <c r="E637" s="41" t="n">
        <v>42.69</v>
      </c>
      <c r="F637" s="5" t="s">
        <v>847</v>
      </c>
    </row>
    <row r="638" customFormat="false" ht="15" hidden="false" customHeight="false" outlineLevel="0" collapsed="false">
      <c r="A638" s="14" t="s">
        <v>2519</v>
      </c>
      <c r="B638" s="14" t="n">
        <v>0</v>
      </c>
      <c r="C638" s="14" t="n">
        <v>12</v>
      </c>
      <c r="D638" s="42" t="n">
        <v>0</v>
      </c>
      <c r="E638" s="41" t="n">
        <v>6.67</v>
      </c>
      <c r="F638" s="5" t="s">
        <v>849</v>
      </c>
    </row>
    <row r="639" customFormat="false" ht="15" hidden="false" customHeight="false" outlineLevel="0" collapsed="false">
      <c r="A639" s="14" t="s">
        <v>2520</v>
      </c>
      <c r="B639" s="14" t="n">
        <v>0</v>
      </c>
      <c r="C639" s="14" t="n">
        <v>12</v>
      </c>
      <c r="D639" s="42" t="n">
        <v>0</v>
      </c>
      <c r="E639" s="41" t="n">
        <v>7.67</v>
      </c>
      <c r="F639" s="5" t="s">
        <v>849</v>
      </c>
    </row>
    <row r="640" customFormat="false" ht="15" hidden="false" customHeight="false" outlineLevel="0" collapsed="false">
      <c r="A640" s="14" t="s">
        <v>2521</v>
      </c>
      <c r="B640" s="14" t="n">
        <v>0</v>
      </c>
      <c r="C640" s="14" t="n">
        <v>12</v>
      </c>
      <c r="D640" s="42" t="n">
        <v>0</v>
      </c>
      <c r="E640" s="41" t="n">
        <v>8</v>
      </c>
      <c r="F640" s="5" t="s">
        <v>849</v>
      </c>
    </row>
    <row r="641" customFormat="false" ht="15" hidden="false" customHeight="false" outlineLevel="0" collapsed="false">
      <c r="A641" s="14" t="s">
        <v>2522</v>
      </c>
      <c r="B641" s="14" t="n">
        <v>0</v>
      </c>
      <c r="C641" s="14" t="n">
        <v>12</v>
      </c>
      <c r="D641" s="42" t="n">
        <v>0</v>
      </c>
      <c r="E641" s="41" t="n">
        <v>8.92</v>
      </c>
      <c r="F641" s="5" t="s">
        <v>849</v>
      </c>
    </row>
    <row r="642" customFormat="false" ht="15" hidden="false" customHeight="false" outlineLevel="0" collapsed="false">
      <c r="A642" s="14" t="s">
        <v>2523</v>
      </c>
      <c r="B642" s="14" t="n">
        <v>0</v>
      </c>
      <c r="C642" s="14" t="n">
        <v>12</v>
      </c>
      <c r="D642" s="42" t="n">
        <v>0</v>
      </c>
      <c r="E642" s="41" t="n">
        <v>9.42</v>
      </c>
      <c r="F642" s="5" t="s">
        <v>849</v>
      </c>
    </row>
    <row r="643" customFormat="false" ht="15" hidden="false" customHeight="false" outlineLevel="0" collapsed="false">
      <c r="A643" s="14" t="s">
        <v>2524</v>
      </c>
      <c r="B643" s="14" t="n">
        <v>0</v>
      </c>
      <c r="C643" s="14" t="n">
        <v>12</v>
      </c>
      <c r="D643" s="42" t="n">
        <v>0</v>
      </c>
      <c r="E643" s="41" t="n">
        <v>9.58</v>
      </c>
      <c r="F643" s="5" t="s">
        <v>849</v>
      </c>
    </row>
    <row r="644" customFormat="false" ht="15" hidden="false" customHeight="false" outlineLevel="0" collapsed="false">
      <c r="A644" s="14" t="s">
        <v>2525</v>
      </c>
      <c r="B644" s="14" t="n">
        <v>0</v>
      </c>
      <c r="C644" s="14" t="n">
        <v>12</v>
      </c>
      <c r="D644" s="42" t="n">
        <v>0</v>
      </c>
      <c r="E644" s="41" t="n">
        <v>9.58</v>
      </c>
      <c r="F644" s="5" t="s">
        <v>849</v>
      </c>
    </row>
    <row r="645" customFormat="false" ht="15" hidden="false" customHeight="false" outlineLevel="0" collapsed="false">
      <c r="A645" s="14" t="s">
        <v>2526</v>
      </c>
      <c r="B645" s="14" t="n">
        <v>0</v>
      </c>
      <c r="C645" s="14" t="n">
        <v>12</v>
      </c>
      <c r="D645" s="42" t="n">
        <v>0</v>
      </c>
      <c r="E645" s="41" t="n">
        <v>9.75</v>
      </c>
      <c r="F645" s="5" t="s">
        <v>849</v>
      </c>
    </row>
    <row r="646" customFormat="false" ht="15" hidden="false" customHeight="false" outlineLevel="0" collapsed="false">
      <c r="A646" s="14" t="s">
        <v>2527</v>
      </c>
      <c r="B646" s="14" t="n">
        <v>0</v>
      </c>
      <c r="C646" s="14" t="n">
        <v>12</v>
      </c>
      <c r="D646" s="42" t="n">
        <v>0</v>
      </c>
      <c r="E646" s="41" t="n">
        <v>9.75</v>
      </c>
      <c r="F646" s="5" t="s">
        <v>849</v>
      </c>
    </row>
    <row r="647" customFormat="false" ht="15" hidden="false" customHeight="false" outlineLevel="0" collapsed="false">
      <c r="A647" s="14" t="s">
        <v>2528</v>
      </c>
      <c r="B647" s="14" t="n">
        <v>0</v>
      </c>
      <c r="C647" s="14" t="n">
        <v>12</v>
      </c>
      <c r="D647" s="42" t="n">
        <v>0</v>
      </c>
      <c r="E647" s="41" t="n">
        <v>9.92</v>
      </c>
      <c r="F647" s="5" t="s">
        <v>849</v>
      </c>
    </row>
    <row r="648" customFormat="false" ht="15" hidden="false" customHeight="false" outlineLevel="0" collapsed="false">
      <c r="A648" s="14" t="s">
        <v>2529</v>
      </c>
      <c r="B648" s="14" t="n">
        <v>0</v>
      </c>
      <c r="C648" s="14" t="n">
        <v>12</v>
      </c>
      <c r="D648" s="42" t="n">
        <v>0</v>
      </c>
      <c r="E648" s="41" t="n">
        <v>10</v>
      </c>
      <c r="F648" s="5" t="s">
        <v>852</v>
      </c>
    </row>
    <row r="649" customFormat="false" ht="15" hidden="false" customHeight="false" outlineLevel="0" collapsed="false">
      <c r="A649" s="14" t="s">
        <v>2530</v>
      </c>
      <c r="B649" s="14" t="n">
        <v>0</v>
      </c>
      <c r="C649" s="14" t="n">
        <v>12</v>
      </c>
      <c r="D649" s="42" t="n">
        <v>0</v>
      </c>
      <c r="E649" s="41" t="n">
        <v>10.08</v>
      </c>
      <c r="F649" s="5" t="s">
        <v>849</v>
      </c>
    </row>
    <row r="650" customFormat="false" ht="15" hidden="false" customHeight="false" outlineLevel="0" collapsed="false">
      <c r="A650" s="14" t="s">
        <v>2531</v>
      </c>
      <c r="B650" s="14" t="n">
        <v>0</v>
      </c>
      <c r="C650" s="14" t="n">
        <v>12</v>
      </c>
      <c r="D650" s="42" t="n">
        <v>0</v>
      </c>
      <c r="E650" s="41" t="n">
        <v>10.83</v>
      </c>
      <c r="F650" s="5" t="s">
        <v>849</v>
      </c>
    </row>
    <row r="651" customFormat="false" ht="15" hidden="false" customHeight="false" outlineLevel="0" collapsed="false">
      <c r="A651" s="14" t="s">
        <v>2532</v>
      </c>
      <c r="B651" s="14" t="n">
        <v>0</v>
      </c>
      <c r="C651" s="14" t="n">
        <v>12</v>
      </c>
      <c r="D651" s="42" t="n">
        <v>0</v>
      </c>
      <c r="E651" s="41" t="n">
        <v>11.17</v>
      </c>
      <c r="F651" s="5" t="s">
        <v>849</v>
      </c>
    </row>
    <row r="652" customFormat="false" ht="15" hidden="false" customHeight="false" outlineLevel="0" collapsed="false">
      <c r="A652" s="14" t="s">
        <v>2533</v>
      </c>
      <c r="B652" s="14" t="n">
        <v>0</v>
      </c>
      <c r="C652" s="14" t="n">
        <v>12</v>
      </c>
      <c r="D652" s="42" t="n">
        <v>0</v>
      </c>
      <c r="E652" s="41" t="n">
        <v>11.5</v>
      </c>
      <c r="F652" s="5" t="s">
        <v>849</v>
      </c>
    </row>
    <row r="653" customFormat="false" ht="15" hidden="false" customHeight="false" outlineLevel="0" collapsed="false">
      <c r="A653" s="14" t="s">
        <v>2534</v>
      </c>
      <c r="B653" s="14" t="n">
        <v>0</v>
      </c>
      <c r="C653" s="14" t="n">
        <v>12</v>
      </c>
      <c r="D653" s="42" t="n">
        <v>0</v>
      </c>
      <c r="E653" s="41" t="n">
        <v>12.42</v>
      </c>
      <c r="F653" s="5" t="s">
        <v>849</v>
      </c>
    </row>
    <row r="654" customFormat="false" ht="15" hidden="false" customHeight="false" outlineLevel="0" collapsed="false">
      <c r="A654" s="14" t="s">
        <v>2535</v>
      </c>
      <c r="B654" s="14" t="n">
        <v>0</v>
      </c>
      <c r="C654" s="14" t="n">
        <v>12</v>
      </c>
      <c r="D654" s="42" t="n">
        <v>0</v>
      </c>
      <c r="E654" s="41" t="n">
        <v>13.17</v>
      </c>
      <c r="F654" s="5" t="s">
        <v>849</v>
      </c>
    </row>
    <row r="655" customFormat="false" ht="15" hidden="false" customHeight="false" outlineLevel="0" collapsed="false">
      <c r="A655" s="14" t="s">
        <v>2536</v>
      </c>
      <c r="B655" s="14" t="n">
        <v>0</v>
      </c>
      <c r="C655" s="14" t="n">
        <v>12</v>
      </c>
      <c r="D655" s="42" t="n">
        <v>0</v>
      </c>
      <c r="E655" s="41" t="n">
        <v>13.83</v>
      </c>
      <c r="F655" s="5" t="s">
        <v>849</v>
      </c>
    </row>
    <row r="656" customFormat="false" ht="15" hidden="false" customHeight="false" outlineLevel="0" collapsed="false">
      <c r="A656" s="14" t="s">
        <v>2537</v>
      </c>
      <c r="B656" s="14" t="n">
        <v>0</v>
      </c>
      <c r="C656" s="14" t="n">
        <v>12</v>
      </c>
      <c r="D656" s="42" t="n">
        <v>0</v>
      </c>
      <c r="E656" s="41" t="n">
        <v>13.92</v>
      </c>
      <c r="F656" s="5" t="s">
        <v>852</v>
      </c>
    </row>
    <row r="657" customFormat="false" ht="15" hidden="false" customHeight="false" outlineLevel="0" collapsed="false">
      <c r="A657" s="14" t="s">
        <v>2538</v>
      </c>
      <c r="B657" s="14" t="n">
        <v>0</v>
      </c>
      <c r="C657" s="14" t="n">
        <v>12</v>
      </c>
      <c r="D657" s="42" t="n">
        <v>0</v>
      </c>
      <c r="E657" s="41" t="n">
        <v>13.92</v>
      </c>
      <c r="F657" s="5" t="s">
        <v>849</v>
      </c>
    </row>
    <row r="658" customFormat="false" ht="15" hidden="false" customHeight="false" outlineLevel="0" collapsed="false">
      <c r="A658" s="14" t="s">
        <v>2539</v>
      </c>
      <c r="B658" s="14" t="n">
        <v>0</v>
      </c>
      <c r="C658" s="14" t="n">
        <v>12</v>
      </c>
      <c r="D658" s="42" t="n">
        <v>0</v>
      </c>
      <c r="E658" s="41" t="n">
        <v>14.08</v>
      </c>
      <c r="F658" s="5" t="s">
        <v>849</v>
      </c>
    </row>
    <row r="659" customFormat="false" ht="15" hidden="false" customHeight="false" outlineLevel="0" collapsed="false">
      <c r="A659" s="14" t="s">
        <v>2540</v>
      </c>
      <c r="B659" s="14" t="n">
        <v>0</v>
      </c>
      <c r="C659" s="14" t="n">
        <v>12</v>
      </c>
      <c r="D659" s="42" t="n">
        <v>0</v>
      </c>
      <c r="E659" s="41" t="n">
        <v>14.58</v>
      </c>
      <c r="F659" s="5" t="s">
        <v>849</v>
      </c>
    </row>
    <row r="660" customFormat="false" ht="15" hidden="false" customHeight="false" outlineLevel="0" collapsed="false">
      <c r="A660" s="14" t="s">
        <v>2541</v>
      </c>
      <c r="B660" s="14" t="n">
        <v>0</v>
      </c>
      <c r="C660" s="14" t="n">
        <v>12</v>
      </c>
      <c r="D660" s="42" t="n">
        <v>0</v>
      </c>
      <c r="E660" s="41" t="n">
        <v>16</v>
      </c>
      <c r="F660" s="5" t="s">
        <v>849</v>
      </c>
    </row>
    <row r="661" customFormat="false" ht="15" hidden="false" customHeight="false" outlineLevel="0" collapsed="false">
      <c r="A661" s="14" t="s">
        <v>2542</v>
      </c>
      <c r="B661" s="14" t="n">
        <v>0</v>
      </c>
      <c r="C661" s="14" t="n">
        <v>12</v>
      </c>
      <c r="D661" s="42" t="n">
        <v>0</v>
      </c>
      <c r="E661" s="41" t="n">
        <v>16.25</v>
      </c>
      <c r="F661" s="5" t="s">
        <v>849</v>
      </c>
    </row>
    <row r="662" customFormat="false" ht="15" hidden="false" customHeight="false" outlineLevel="0" collapsed="false">
      <c r="A662" s="14" t="s">
        <v>2543</v>
      </c>
      <c r="B662" s="14" t="n">
        <v>0</v>
      </c>
      <c r="C662" s="14" t="n">
        <v>12</v>
      </c>
      <c r="D662" s="42" t="n">
        <v>0</v>
      </c>
      <c r="E662" s="41" t="n">
        <v>18</v>
      </c>
      <c r="F662" s="5" t="s">
        <v>849</v>
      </c>
    </row>
    <row r="663" customFormat="false" ht="15" hidden="false" customHeight="false" outlineLevel="0" collapsed="false">
      <c r="A663" s="14" t="s">
        <v>2544</v>
      </c>
      <c r="B663" s="14" t="n">
        <v>0</v>
      </c>
      <c r="C663" s="14" t="n">
        <v>12</v>
      </c>
      <c r="D663" s="42" t="n">
        <v>0</v>
      </c>
      <c r="E663" s="41" t="n">
        <v>18.08</v>
      </c>
      <c r="F663" s="5" t="s">
        <v>849</v>
      </c>
    </row>
    <row r="664" customFormat="false" ht="15" hidden="false" customHeight="false" outlineLevel="0" collapsed="false">
      <c r="A664" s="14" t="s">
        <v>2545</v>
      </c>
      <c r="B664" s="14" t="n">
        <v>0</v>
      </c>
      <c r="C664" s="14" t="n">
        <v>12</v>
      </c>
      <c r="D664" s="42" t="n">
        <v>0</v>
      </c>
      <c r="E664" s="41" t="n">
        <v>19.42</v>
      </c>
      <c r="F664" s="5" t="s">
        <v>851</v>
      </c>
    </row>
    <row r="665" customFormat="false" ht="15" hidden="false" customHeight="false" outlineLevel="0" collapsed="false">
      <c r="A665" s="14" t="s">
        <v>2546</v>
      </c>
      <c r="B665" s="14" t="n">
        <v>0</v>
      </c>
      <c r="C665" s="14" t="n">
        <v>12</v>
      </c>
      <c r="D665" s="42" t="n">
        <v>0</v>
      </c>
      <c r="E665" s="41" t="n">
        <v>19.42</v>
      </c>
      <c r="F665" s="5" t="s">
        <v>849</v>
      </c>
    </row>
    <row r="666" customFormat="false" ht="15" hidden="false" customHeight="false" outlineLevel="0" collapsed="false">
      <c r="A666" s="14" t="s">
        <v>2547</v>
      </c>
      <c r="B666" s="14" t="n">
        <v>0</v>
      </c>
      <c r="C666" s="14" t="n">
        <v>12</v>
      </c>
      <c r="D666" s="42" t="n">
        <v>0</v>
      </c>
      <c r="E666" s="41" t="n">
        <v>19.83</v>
      </c>
      <c r="F666" s="5" t="s">
        <v>849</v>
      </c>
    </row>
    <row r="667" customFormat="false" ht="15" hidden="false" customHeight="false" outlineLevel="0" collapsed="false">
      <c r="A667" s="14" t="s">
        <v>2548</v>
      </c>
      <c r="B667" s="14" t="n">
        <v>0</v>
      </c>
      <c r="C667" s="14" t="n">
        <v>12</v>
      </c>
      <c r="D667" s="42" t="n">
        <v>0</v>
      </c>
      <c r="E667" s="41" t="n">
        <v>20</v>
      </c>
      <c r="F667" s="5" t="s">
        <v>850</v>
      </c>
    </row>
    <row r="668" customFormat="false" ht="15" hidden="false" customHeight="false" outlineLevel="0" collapsed="false">
      <c r="A668" s="14" t="s">
        <v>2549</v>
      </c>
      <c r="B668" s="14" t="n">
        <v>0</v>
      </c>
      <c r="C668" s="14" t="n">
        <v>12</v>
      </c>
      <c r="D668" s="42" t="n">
        <v>0</v>
      </c>
      <c r="E668" s="41" t="n">
        <v>21.42</v>
      </c>
      <c r="F668" s="5" t="s">
        <v>849</v>
      </c>
    </row>
    <row r="669" customFormat="false" ht="15" hidden="false" customHeight="false" outlineLevel="0" collapsed="false">
      <c r="A669" s="14" t="s">
        <v>2550</v>
      </c>
      <c r="B669" s="14" t="n">
        <v>0</v>
      </c>
      <c r="C669" s="14" t="n">
        <v>12</v>
      </c>
      <c r="D669" s="42" t="n">
        <v>0</v>
      </c>
      <c r="E669" s="41" t="n">
        <v>22.08</v>
      </c>
      <c r="F669" s="5" t="s">
        <v>849</v>
      </c>
    </row>
    <row r="670" customFormat="false" ht="15" hidden="false" customHeight="false" outlineLevel="0" collapsed="false">
      <c r="A670" s="14" t="s">
        <v>2551</v>
      </c>
      <c r="B670" s="14" t="n">
        <v>0</v>
      </c>
      <c r="C670" s="14" t="n">
        <v>12</v>
      </c>
      <c r="D670" s="42" t="n">
        <v>0</v>
      </c>
      <c r="E670" s="41" t="n">
        <v>24</v>
      </c>
      <c r="F670" s="5" t="s">
        <v>849</v>
      </c>
    </row>
    <row r="671" customFormat="false" ht="15" hidden="false" customHeight="false" outlineLevel="0" collapsed="false">
      <c r="A671" s="14" t="s">
        <v>2552</v>
      </c>
      <c r="B671" s="14" t="n">
        <v>0</v>
      </c>
      <c r="C671" s="14" t="n">
        <v>12</v>
      </c>
      <c r="D671" s="42" t="n">
        <v>0</v>
      </c>
      <c r="E671" s="41" t="n">
        <v>24.25</v>
      </c>
      <c r="F671" s="5" t="s">
        <v>849</v>
      </c>
    </row>
    <row r="672" customFormat="false" ht="15" hidden="false" customHeight="false" outlineLevel="0" collapsed="false">
      <c r="A672" s="14" t="s">
        <v>2553</v>
      </c>
      <c r="B672" s="14" t="n">
        <v>0</v>
      </c>
      <c r="C672" s="14" t="n">
        <v>12</v>
      </c>
      <c r="D672" s="42" t="n">
        <v>0</v>
      </c>
      <c r="E672" s="41" t="n">
        <v>25.08</v>
      </c>
      <c r="F672" s="5" t="s">
        <v>849</v>
      </c>
    </row>
    <row r="673" customFormat="false" ht="15" hidden="false" customHeight="false" outlineLevel="0" collapsed="false">
      <c r="A673" s="14" t="s">
        <v>2554</v>
      </c>
      <c r="B673" s="14" t="n">
        <v>0</v>
      </c>
      <c r="C673" s="14" t="n">
        <v>12</v>
      </c>
      <c r="D673" s="42" t="n">
        <v>0</v>
      </c>
      <c r="E673" s="41" t="n">
        <v>25.42</v>
      </c>
      <c r="F673" s="5" t="s">
        <v>849</v>
      </c>
    </row>
    <row r="674" customFormat="false" ht="15" hidden="false" customHeight="false" outlineLevel="0" collapsed="false">
      <c r="A674" s="14" t="s">
        <v>2555</v>
      </c>
      <c r="B674" s="14" t="n">
        <v>0</v>
      </c>
      <c r="C674" s="14" t="n">
        <v>12</v>
      </c>
      <c r="D674" s="42" t="n">
        <v>0</v>
      </c>
      <c r="E674" s="41" t="n">
        <v>25.92</v>
      </c>
      <c r="F674" s="5" t="s">
        <v>849</v>
      </c>
    </row>
    <row r="675" customFormat="false" ht="15" hidden="false" customHeight="false" outlineLevel="0" collapsed="false">
      <c r="A675" s="14" t="s">
        <v>2556</v>
      </c>
      <c r="B675" s="14" t="n">
        <v>0</v>
      </c>
      <c r="C675" s="14" t="n">
        <v>12</v>
      </c>
      <c r="D675" s="42" t="n">
        <v>0</v>
      </c>
      <c r="E675" s="41" t="n">
        <v>26.08</v>
      </c>
      <c r="F675" s="5" t="s">
        <v>849</v>
      </c>
    </row>
    <row r="676" customFormat="false" ht="15" hidden="false" customHeight="false" outlineLevel="0" collapsed="false">
      <c r="A676" s="14" t="s">
        <v>2557</v>
      </c>
      <c r="B676" s="14" t="n">
        <v>0</v>
      </c>
      <c r="C676" s="14" t="n">
        <v>12</v>
      </c>
      <c r="D676" s="42" t="n">
        <v>0</v>
      </c>
      <c r="E676" s="41" t="n">
        <v>27.17</v>
      </c>
      <c r="F676" s="5" t="s">
        <v>849</v>
      </c>
    </row>
    <row r="677" customFormat="false" ht="15" hidden="false" customHeight="false" outlineLevel="0" collapsed="false">
      <c r="A677" s="14" t="s">
        <v>2558</v>
      </c>
      <c r="B677" s="14" t="n">
        <v>0</v>
      </c>
      <c r="C677" s="14" t="n">
        <v>12</v>
      </c>
      <c r="D677" s="42" t="n">
        <v>0</v>
      </c>
      <c r="E677" s="41" t="n">
        <v>29.33</v>
      </c>
      <c r="F677" s="5" t="s">
        <v>849</v>
      </c>
    </row>
    <row r="678" customFormat="false" ht="15" hidden="false" customHeight="false" outlineLevel="0" collapsed="false">
      <c r="A678" s="14" t="s">
        <v>2559</v>
      </c>
      <c r="B678" s="14" t="n">
        <v>0</v>
      </c>
      <c r="C678" s="14" t="n">
        <v>12</v>
      </c>
      <c r="D678" s="42" t="n">
        <v>0</v>
      </c>
      <c r="E678" s="41" t="n">
        <v>30.08</v>
      </c>
      <c r="F678" s="5" t="s">
        <v>854</v>
      </c>
    </row>
    <row r="679" customFormat="false" ht="15" hidden="false" customHeight="false" outlineLevel="0" collapsed="false">
      <c r="A679" s="14" t="s">
        <v>2560</v>
      </c>
      <c r="B679" s="14" t="n">
        <v>0</v>
      </c>
      <c r="C679" s="14" t="n">
        <v>12</v>
      </c>
      <c r="D679" s="42" t="n">
        <v>0</v>
      </c>
      <c r="E679" s="41" t="n">
        <v>35.5</v>
      </c>
      <c r="F679" s="5" t="s">
        <v>849</v>
      </c>
    </row>
    <row r="680" customFormat="false" ht="15" hidden="false" customHeight="false" outlineLevel="0" collapsed="false">
      <c r="A680" s="14" t="s">
        <v>2561</v>
      </c>
      <c r="B680" s="14" t="n">
        <v>0</v>
      </c>
      <c r="C680" s="14" t="n">
        <v>12</v>
      </c>
      <c r="D680" s="42" t="n">
        <v>0</v>
      </c>
      <c r="E680" s="41" t="n">
        <v>43.75</v>
      </c>
      <c r="F680" s="5" t="s">
        <v>847</v>
      </c>
    </row>
    <row r="681" customFormat="false" ht="15" hidden="false" customHeight="false" outlineLevel="0" collapsed="false">
      <c r="A681" s="14" t="s">
        <v>2562</v>
      </c>
      <c r="B681" s="14" t="n">
        <v>0</v>
      </c>
      <c r="C681" s="14" t="n">
        <v>11</v>
      </c>
      <c r="D681" s="42" t="n">
        <v>0</v>
      </c>
      <c r="E681" s="41" t="n">
        <v>6.36</v>
      </c>
      <c r="F681" s="5" t="s">
        <v>849</v>
      </c>
    </row>
    <row r="682" customFormat="false" ht="15" hidden="false" customHeight="false" outlineLevel="0" collapsed="false">
      <c r="A682" s="14" t="s">
        <v>2563</v>
      </c>
      <c r="B682" s="14" t="n">
        <v>0</v>
      </c>
      <c r="C682" s="14" t="n">
        <v>11</v>
      </c>
      <c r="D682" s="42" t="n">
        <v>0</v>
      </c>
      <c r="E682" s="41" t="n">
        <v>7.09</v>
      </c>
      <c r="F682" s="5" t="s">
        <v>849</v>
      </c>
    </row>
    <row r="683" customFormat="false" ht="15" hidden="false" customHeight="false" outlineLevel="0" collapsed="false">
      <c r="A683" s="14" t="s">
        <v>2564</v>
      </c>
      <c r="B683" s="14" t="n">
        <v>0</v>
      </c>
      <c r="C683" s="14" t="n">
        <v>11</v>
      </c>
      <c r="D683" s="42" t="n">
        <v>0</v>
      </c>
      <c r="E683" s="41" t="n">
        <v>7.64</v>
      </c>
      <c r="F683" s="5" t="s">
        <v>849</v>
      </c>
    </row>
    <row r="684" customFormat="false" ht="15" hidden="false" customHeight="false" outlineLevel="0" collapsed="false">
      <c r="A684" s="14" t="s">
        <v>2565</v>
      </c>
      <c r="B684" s="14" t="n">
        <v>0</v>
      </c>
      <c r="C684" s="14" t="n">
        <v>11</v>
      </c>
      <c r="D684" s="42" t="n">
        <v>0</v>
      </c>
      <c r="E684" s="41" t="n">
        <v>8.64</v>
      </c>
      <c r="F684" s="5" t="s">
        <v>849</v>
      </c>
    </row>
    <row r="685" customFormat="false" ht="15" hidden="false" customHeight="false" outlineLevel="0" collapsed="false">
      <c r="A685" s="14" t="s">
        <v>2566</v>
      </c>
      <c r="B685" s="14" t="n">
        <v>0</v>
      </c>
      <c r="C685" s="14" t="n">
        <v>11</v>
      </c>
      <c r="D685" s="42" t="n">
        <v>0</v>
      </c>
      <c r="E685" s="41" t="n">
        <v>8.91</v>
      </c>
      <c r="F685" s="5" t="s">
        <v>851</v>
      </c>
    </row>
    <row r="686" customFormat="false" ht="15" hidden="false" customHeight="false" outlineLevel="0" collapsed="false">
      <c r="A686" s="14" t="s">
        <v>2567</v>
      </c>
      <c r="B686" s="14" t="n">
        <v>0</v>
      </c>
      <c r="C686" s="14" t="n">
        <v>11</v>
      </c>
      <c r="D686" s="42" t="n">
        <v>0</v>
      </c>
      <c r="E686" s="41" t="n">
        <v>9.18</v>
      </c>
      <c r="F686" s="5" t="s">
        <v>852</v>
      </c>
    </row>
    <row r="687" customFormat="false" ht="15" hidden="false" customHeight="false" outlineLevel="0" collapsed="false">
      <c r="A687" s="14" t="s">
        <v>2568</v>
      </c>
      <c r="B687" s="14" t="n">
        <v>0</v>
      </c>
      <c r="C687" s="14" t="n">
        <v>11</v>
      </c>
      <c r="D687" s="42" t="n">
        <v>0</v>
      </c>
      <c r="E687" s="41" t="n">
        <v>9.36</v>
      </c>
      <c r="F687" s="5" t="s">
        <v>849</v>
      </c>
    </row>
    <row r="688" customFormat="false" ht="15" hidden="false" customHeight="false" outlineLevel="0" collapsed="false">
      <c r="A688" s="14" t="s">
        <v>2569</v>
      </c>
      <c r="B688" s="14" t="n">
        <v>0</v>
      </c>
      <c r="C688" s="14" t="n">
        <v>11</v>
      </c>
      <c r="D688" s="42" t="n">
        <v>0</v>
      </c>
      <c r="E688" s="41" t="n">
        <v>9.36</v>
      </c>
      <c r="F688" s="5" t="s">
        <v>849</v>
      </c>
    </row>
    <row r="689" customFormat="false" ht="15" hidden="false" customHeight="false" outlineLevel="0" collapsed="false">
      <c r="A689" s="14" t="s">
        <v>2570</v>
      </c>
      <c r="B689" s="14" t="n">
        <v>0</v>
      </c>
      <c r="C689" s="14" t="n">
        <v>11</v>
      </c>
      <c r="D689" s="42" t="n">
        <v>0</v>
      </c>
      <c r="E689" s="41" t="n">
        <v>9.73</v>
      </c>
      <c r="F689" s="5" t="s">
        <v>849</v>
      </c>
    </row>
    <row r="690" customFormat="false" ht="15" hidden="false" customHeight="false" outlineLevel="0" collapsed="false">
      <c r="A690" s="14" t="s">
        <v>2571</v>
      </c>
      <c r="B690" s="14" t="n">
        <v>0</v>
      </c>
      <c r="C690" s="14" t="n">
        <v>11</v>
      </c>
      <c r="D690" s="42" t="n">
        <v>0</v>
      </c>
      <c r="E690" s="41" t="n">
        <v>9.73</v>
      </c>
      <c r="F690" s="5" t="s">
        <v>849</v>
      </c>
    </row>
    <row r="691" customFormat="false" ht="15" hidden="false" customHeight="false" outlineLevel="0" collapsed="false">
      <c r="A691" s="14" t="s">
        <v>2572</v>
      </c>
      <c r="B691" s="14" t="n">
        <v>0</v>
      </c>
      <c r="C691" s="14" t="n">
        <v>11</v>
      </c>
      <c r="D691" s="42" t="n">
        <v>0</v>
      </c>
      <c r="E691" s="41" t="n">
        <v>10.36</v>
      </c>
      <c r="F691" s="5" t="s">
        <v>849</v>
      </c>
    </row>
    <row r="692" customFormat="false" ht="15" hidden="false" customHeight="false" outlineLevel="0" collapsed="false">
      <c r="A692" s="14" t="s">
        <v>2573</v>
      </c>
      <c r="B692" s="14" t="n">
        <v>0</v>
      </c>
      <c r="C692" s="14" t="n">
        <v>11</v>
      </c>
      <c r="D692" s="42" t="n">
        <v>0</v>
      </c>
      <c r="E692" s="41" t="n">
        <v>11.27</v>
      </c>
      <c r="F692" s="5" t="s">
        <v>849</v>
      </c>
    </row>
    <row r="693" customFormat="false" ht="15" hidden="false" customHeight="false" outlineLevel="0" collapsed="false">
      <c r="A693" s="14" t="s">
        <v>2574</v>
      </c>
      <c r="B693" s="14" t="n">
        <v>0</v>
      </c>
      <c r="C693" s="14" t="n">
        <v>11</v>
      </c>
      <c r="D693" s="42" t="n">
        <v>0</v>
      </c>
      <c r="E693" s="41" t="n">
        <v>11.91</v>
      </c>
      <c r="F693" s="5" t="s">
        <v>849</v>
      </c>
    </row>
    <row r="694" customFormat="false" ht="15" hidden="false" customHeight="false" outlineLevel="0" collapsed="false">
      <c r="A694" s="14" t="s">
        <v>2575</v>
      </c>
      <c r="B694" s="14" t="n">
        <v>0</v>
      </c>
      <c r="C694" s="14" t="n">
        <v>11</v>
      </c>
      <c r="D694" s="42" t="n">
        <v>0</v>
      </c>
      <c r="E694" s="41" t="n">
        <v>12.36</v>
      </c>
      <c r="F694" s="5" t="s">
        <v>849</v>
      </c>
    </row>
    <row r="695" customFormat="false" ht="15" hidden="false" customHeight="false" outlineLevel="0" collapsed="false">
      <c r="A695" s="14" t="s">
        <v>2576</v>
      </c>
      <c r="B695" s="14" t="n">
        <v>0</v>
      </c>
      <c r="C695" s="14" t="n">
        <v>11</v>
      </c>
      <c r="D695" s="42" t="n">
        <v>0</v>
      </c>
      <c r="E695" s="41" t="n">
        <v>13.09</v>
      </c>
      <c r="F695" s="5" t="s">
        <v>849</v>
      </c>
    </row>
    <row r="696" customFormat="false" ht="15" hidden="false" customHeight="false" outlineLevel="0" collapsed="false">
      <c r="A696" s="14" t="s">
        <v>2577</v>
      </c>
      <c r="B696" s="14" t="n">
        <v>0</v>
      </c>
      <c r="C696" s="14" t="n">
        <v>11</v>
      </c>
      <c r="D696" s="42" t="n">
        <v>0</v>
      </c>
      <c r="E696" s="41" t="n">
        <v>13.64</v>
      </c>
      <c r="F696" s="5" t="s">
        <v>849</v>
      </c>
    </row>
    <row r="697" customFormat="false" ht="15" hidden="false" customHeight="false" outlineLevel="0" collapsed="false">
      <c r="A697" s="14" t="s">
        <v>2578</v>
      </c>
      <c r="B697" s="14" t="n">
        <v>0</v>
      </c>
      <c r="C697" s="14" t="n">
        <v>11</v>
      </c>
      <c r="D697" s="42" t="n">
        <v>0</v>
      </c>
      <c r="E697" s="41" t="n">
        <v>14</v>
      </c>
      <c r="F697" s="5" t="s">
        <v>849</v>
      </c>
    </row>
    <row r="698" customFormat="false" ht="15" hidden="false" customHeight="false" outlineLevel="0" collapsed="false">
      <c r="A698" s="14" t="s">
        <v>2579</v>
      </c>
      <c r="B698" s="14" t="n">
        <v>0</v>
      </c>
      <c r="C698" s="14" t="n">
        <v>11</v>
      </c>
      <c r="D698" s="42" t="n">
        <v>0</v>
      </c>
      <c r="E698" s="41" t="n">
        <v>14.18</v>
      </c>
      <c r="F698" s="5" t="s">
        <v>849</v>
      </c>
    </row>
    <row r="699" customFormat="false" ht="15" hidden="false" customHeight="false" outlineLevel="0" collapsed="false">
      <c r="A699" s="14" t="s">
        <v>2580</v>
      </c>
      <c r="B699" s="14" t="n">
        <v>0</v>
      </c>
      <c r="C699" s="14" t="n">
        <v>11</v>
      </c>
      <c r="D699" s="42" t="n">
        <v>0</v>
      </c>
      <c r="E699" s="41" t="n">
        <v>14.36</v>
      </c>
      <c r="F699" s="5" t="s">
        <v>849</v>
      </c>
    </row>
    <row r="700" customFormat="false" ht="15" hidden="false" customHeight="false" outlineLevel="0" collapsed="false">
      <c r="A700" s="14" t="s">
        <v>2581</v>
      </c>
      <c r="B700" s="14" t="n">
        <v>0</v>
      </c>
      <c r="C700" s="14" t="n">
        <v>11</v>
      </c>
      <c r="D700" s="42" t="n">
        <v>0</v>
      </c>
      <c r="E700" s="41" t="n">
        <v>14.64</v>
      </c>
      <c r="F700" s="5" t="s">
        <v>849</v>
      </c>
    </row>
    <row r="701" customFormat="false" ht="15" hidden="false" customHeight="false" outlineLevel="0" collapsed="false">
      <c r="A701" s="14" t="s">
        <v>2582</v>
      </c>
      <c r="B701" s="14" t="n">
        <v>0</v>
      </c>
      <c r="C701" s="14" t="n">
        <v>11</v>
      </c>
      <c r="D701" s="42" t="n">
        <v>0</v>
      </c>
      <c r="E701" s="41" t="n">
        <v>15</v>
      </c>
      <c r="F701" s="5" t="s">
        <v>849</v>
      </c>
    </row>
    <row r="702" customFormat="false" ht="15" hidden="false" customHeight="false" outlineLevel="0" collapsed="false">
      <c r="A702" s="14" t="s">
        <v>2583</v>
      </c>
      <c r="B702" s="14" t="n">
        <v>0</v>
      </c>
      <c r="C702" s="14" t="n">
        <v>11</v>
      </c>
      <c r="D702" s="42" t="n">
        <v>0</v>
      </c>
      <c r="E702" s="41" t="n">
        <v>15.45</v>
      </c>
      <c r="F702" s="5" t="s">
        <v>847</v>
      </c>
    </row>
    <row r="703" customFormat="false" ht="15" hidden="false" customHeight="false" outlineLevel="0" collapsed="false">
      <c r="A703" s="14" t="s">
        <v>2584</v>
      </c>
      <c r="B703" s="14" t="n">
        <v>0</v>
      </c>
      <c r="C703" s="14" t="n">
        <v>11</v>
      </c>
      <c r="D703" s="42" t="n">
        <v>0</v>
      </c>
      <c r="E703" s="41" t="n">
        <v>15.82</v>
      </c>
      <c r="F703" s="5" t="s">
        <v>849</v>
      </c>
    </row>
    <row r="704" customFormat="false" ht="15" hidden="false" customHeight="false" outlineLevel="0" collapsed="false">
      <c r="A704" s="14" t="s">
        <v>2585</v>
      </c>
      <c r="B704" s="14" t="n">
        <v>0</v>
      </c>
      <c r="C704" s="14" t="n">
        <v>11</v>
      </c>
      <c r="D704" s="42" t="n">
        <v>0</v>
      </c>
      <c r="E704" s="41" t="n">
        <v>15.91</v>
      </c>
      <c r="F704" s="5" t="s">
        <v>849</v>
      </c>
    </row>
    <row r="705" customFormat="false" ht="15" hidden="false" customHeight="false" outlineLevel="0" collapsed="false">
      <c r="A705" s="14" t="s">
        <v>2586</v>
      </c>
      <c r="B705" s="14" t="n">
        <v>0</v>
      </c>
      <c r="C705" s="14" t="n">
        <v>11</v>
      </c>
      <c r="D705" s="42" t="n">
        <v>0</v>
      </c>
      <c r="E705" s="41" t="n">
        <v>16</v>
      </c>
      <c r="F705" s="5" t="s">
        <v>849</v>
      </c>
    </row>
    <row r="706" customFormat="false" ht="15" hidden="false" customHeight="false" outlineLevel="0" collapsed="false">
      <c r="A706" s="14" t="s">
        <v>2587</v>
      </c>
      <c r="B706" s="14" t="n">
        <v>0</v>
      </c>
      <c r="C706" s="14" t="n">
        <v>11</v>
      </c>
      <c r="D706" s="42" t="n">
        <v>0</v>
      </c>
      <c r="E706" s="41" t="n">
        <v>16.09</v>
      </c>
      <c r="F706" s="5" t="s">
        <v>849</v>
      </c>
    </row>
    <row r="707" customFormat="false" ht="15" hidden="false" customHeight="false" outlineLevel="0" collapsed="false">
      <c r="A707" s="14" t="s">
        <v>2588</v>
      </c>
      <c r="B707" s="14" t="n">
        <v>0</v>
      </c>
      <c r="C707" s="14" t="n">
        <v>11</v>
      </c>
      <c r="D707" s="42" t="n">
        <v>0</v>
      </c>
      <c r="E707" s="41" t="n">
        <v>16.64</v>
      </c>
      <c r="F707" s="5" t="s">
        <v>849</v>
      </c>
    </row>
    <row r="708" customFormat="false" ht="15" hidden="false" customHeight="false" outlineLevel="0" collapsed="false">
      <c r="A708" s="14" t="s">
        <v>2589</v>
      </c>
      <c r="B708" s="14" t="n">
        <v>0</v>
      </c>
      <c r="C708" s="14" t="n">
        <v>11</v>
      </c>
      <c r="D708" s="42" t="n">
        <v>0</v>
      </c>
      <c r="E708" s="41" t="n">
        <v>17.09</v>
      </c>
      <c r="F708" s="5" t="s">
        <v>849</v>
      </c>
    </row>
    <row r="709" customFormat="false" ht="15" hidden="false" customHeight="false" outlineLevel="0" collapsed="false">
      <c r="A709" s="14" t="s">
        <v>2590</v>
      </c>
      <c r="B709" s="14" t="n">
        <v>0</v>
      </c>
      <c r="C709" s="14" t="n">
        <v>11</v>
      </c>
      <c r="D709" s="42" t="n">
        <v>0</v>
      </c>
      <c r="E709" s="41" t="n">
        <v>17.18</v>
      </c>
      <c r="F709" s="5" t="s">
        <v>849</v>
      </c>
    </row>
    <row r="710" customFormat="false" ht="15" hidden="false" customHeight="false" outlineLevel="0" collapsed="false">
      <c r="A710" s="14" t="s">
        <v>2591</v>
      </c>
      <c r="B710" s="14" t="n">
        <v>0</v>
      </c>
      <c r="C710" s="14" t="n">
        <v>11</v>
      </c>
      <c r="D710" s="42" t="n">
        <v>0</v>
      </c>
      <c r="E710" s="41" t="n">
        <v>17.64</v>
      </c>
      <c r="F710" s="5" t="s">
        <v>849</v>
      </c>
    </row>
    <row r="711" customFormat="false" ht="15" hidden="false" customHeight="false" outlineLevel="0" collapsed="false">
      <c r="A711" s="14" t="s">
        <v>2592</v>
      </c>
      <c r="B711" s="14" t="n">
        <v>0</v>
      </c>
      <c r="C711" s="14" t="n">
        <v>11</v>
      </c>
      <c r="D711" s="42" t="n">
        <v>0</v>
      </c>
      <c r="E711" s="41" t="n">
        <v>18.09</v>
      </c>
      <c r="F711" s="5" t="s">
        <v>849</v>
      </c>
    </row>
    <row r="712" customFormat="false" ht="15" hidden="false" customHeight="false" outlineLevel="0" collapsed="false">
      <c r="A712" s="14" t="s">
        <v>2593</v>
      </c>
      <c r="B712" s="14" t="n">
        <v>0</v>
      </c>
      <c r="C712" s="14" t="n">
        <v>11</v>
      </c>
      <c r="D712" s="42" t="n">
        <v>0</v>
      </c>
      <c r="E712" s="41" t="n">
        <v>18.18</v>
      </c>
      <c r="F712" s="5" t="s">
        <v>849</v>
      </c>
    </row>
    <row r="713" customFormat="false" ht="15" hidden="false" customHeight="false" outlineLevel="0" collapsed="false">
      <c r="A713" s="14" t="s">
        <v>2594</v>
      </c>
      <c r="B713" s="14" t="n">
        <v>0</v>
      </c>
      <c r="C713" s="14" t="n">
        <v>11</v>
      </c>
      <c r="D713" s="42" t="n">
        <v>0</v>
      </c>
      <c r="E713" s="41" t="n">
        <v>18.55</v>
      </c>
      <c r="F713" s="5" t="s">
        <v>849</v>
      </c>
    </row>
    <row r="714" customFormat="false" ht="15" hidden="false" customHeight="false" outlineLevel="0" collapsed="false">
      <c r="A714" s="14" t="s">
        <v>2595</v>
      </c>
      <c r="B714" s="14" t="n">
        <v>0</v>
      </c>
      <c r="C714" s="14" t="n">
        <v>11</v>
      </c>
      <c r="D714" s="42" t="n">
        <v>0</v>
      </c>
      <c r="E714" s="41" t="n">
        <v>19.73</v>
      </c>
      <c r="F714" s="5" t="s">
        <v>849</v>
      </c>
    </row>
    <row r="715" customFormat="false" ht="15" hidden="false" customHeight="false" outlineLevel="0" collapsed="false">
      <c r="A715" s="14" t="s">
        <v>2596</v>
      </c>
      <c r="B715" s="14" t="n">
        <v>0</v>
      </c>
      <c r="C715" s="14" t="n">
        <v>11</v>
      </c>
      <c r="D715" s="42" t="n">
        <v>0</v>
      </c>
      <c r="E715" s="41" t="n">
        <v>19.73</v>
      </c>
      <c r="F715" s="5" t="s">
        <v>849</v>
      </c>
    </row>
    <row r="716" customFormat="false" ht="15" hidden="false" customHeight="false" outlineLevel="0" collapsed="false">
      <c r="A716" s="14" t="s">
        <v>2597</v>
      </c>
      <c r="B716" s="14" t="n">
        <v>0</v>
      </c>
      <c r="C716" s="14" t="n">
        <v>11</v>
      </c>
      <c r="D716" s="42" t="n">
        <v>0</v>
      </c>
      <c r="E716" s="41" t="n">
        <v>19.73</v>
      </c>
      <c r="F716" s="5" t="s">
        <v>849</v>
      </c>
    </row>
    <row r="717" customFormat="false" ht="15" hidden="false" customHeight="false" outlineLevel="0" collapsed="false">
      <c r="A717" s="14" t="s">
        <v>2598</v>
      </c>
      <c r="B717" s="14" t="n">
        <v>0</v>
      </c>
      <c r="C717" s="14" t="n">
        <v>11</v>
      </c>
      <c r="D717" s="42" t="n">
        <v>0</v>
      </c>
      <c r="E717" s="41" t="n">
        <v>20.45</v>
      </c>
      <c r="F717" s="5" t="s">
        <v>850</v>
      </c>
    </row>
    <row r="718" customFormat="false" ht="15" hidden="false" customHeight="false" outlineLevel="0" collapsed="false">
      <c r="A718" s="14" t="s">
        <v>2599</v>
      </c>
      <c r="B718" s="14" t="n">
        <v>0</v>
      </c>
      <c r="C718" s="14" t="n">
        <v>11</v>
      </c>
      <c r="D718" s="42" t="n">
        <v>0</v>
      </c>
      <c r="E718" s="41" t="n">
        <v>21.18</v>
      </c>
      <c r="F718" s="5" t="s">
        <v>849</v>
      </c>
    </row>
    <row r="719" customFormat="false" ht="15" hidden="false" customHeight="false" outlineLevel="0" collapsed="false">
      <c r="A719" s="14" t="s">
        <v>2600</v>
      </c>
      <c r="B719" s="14" t="n">
        <v>0</v>
      </c>
      <c r="C719" s="14" t="n">
        <v>11</v>
      </c>
      <c r="D719" s="42" t="n">
        <v>0</v>
      </c>
      <c r="E719" s="41" t="n">
        <v>21.36</v>
      </c>
      <c r="F719" s="5" t="s">
        <v>849</v>
      </c>
    </row>
    <row r="720" customFormat="false" ht="15" hidden="false" customHeight="false" outlineLevel="0" collapsed="false">
      <c r="A720" s="14" t="s">
        <v>2601</v>
      </c>
      <c r="B720" s="14" t="n">
        <v>0</v>
      </c>
      <c r="C720" s="14" t="n">
        <v>11</v>
      </c>
      <c r="D720" s="42" t="n">
        <v>0</v>
      </c>
      <c r="E720" s="41" t="n">
        <v>21.64</v>
      </c>
      <c r="F720" s="5" t="s">
        <v>850</v>
      </c>
    </row>
    <row r="721" customFormat="false" ht="15" hidden="false" customHeight="false" outlineLevel="0" collapsed="false">
      <c r="A721" s="14" t="s">
        <v>2602</v>
      </c>
      <c r="B721" s="14" t="n">
        <v>0</v>
      </c>
      <c r="C721" s="14" t="n">
        <v>11</v>
      </c>
      <c r="D721" s="42" t="n">
        <v>0</v>
      </c>
      <c r="E721" s="41" t="n">
        <v>22.73</v>
      </c>
      <c r="F721" s="5" t="s">
        <v>849</v>
      </c>
    </row>
    <row r="722" customFormat="false" ht="15" hidden="false" customHeight="false" outlineLevel="0" collapsed="false">
      <c r="A722" s="14" t="s">
        <v>2603</v>
      </c>
      <c r="B722" s="14" t="n">
        <v>0</v>
      </c>
      <c r="C722" s="14" t="n">
        <v>11</v>
      </c>
      <c r="D722" s="42" t="n">
        <v>0</v>
      </c>
      <c r="E722" s="41" t="n">
        <v>23.36</v>
      </c>
      <c r="F722" s="5" t="s">
        <v>849</v>
      </c>
    </row>
    <row r="723" customFormat="false" ht="15" hidden="false" customHeight="false" outlineLevel="0" collapsed="false">
      <c r="A723" s="14" t="s">
        <v>2604</v>
      </c>
      <c r="B723" s="14" t="n">
        <v>0</v>
      </c>
      <c r="C723" s="14" t="n">
        <v>11</v>
      </c>
      <c r="D723" s="42" t="n">
        <v>0</v>
      </c>
      <c r="E723" s="41" t="n">
        <v>23.36</v>
      </c>
      <c r="F723" s="5" t="s">
        <v>849</v>
      </c>
    </row>
    <row r="724" customFormat="false" ht="15" hidden="false" customHeight="false" outlineLevel="0" collapsed="false">
      <c r="A724" s="14" t="s">
        <v>2605</v>
      </c>
      <c r="B724" s="14" t="n">
        <v>0</v>
      </c>
      <c r="C724" s="14" t="n">
        <v>11</v>
      </c>
      <c r="D724" s="42" t="n">
        <v>0</v>
      </c>
      <c r="E724" s="41" t="n">
        <v>23.64</v>
      </c>
      <c r="F724" s="5" t="s">
        <v>849</v>
      </c>
    </row>
    <row r="725" customFormat="false" ht="15" hidden="false" customHeight="false" outlineLevel="0" collapsed="false">
      <c r="A725" s="14" t="s">
        <v>2606</v>
      </c>
      <c r="B725" s="14" t="n">
        <v>0</v>
      </c>
      <c r="C725" s="14" t="n">
        <v>11</v>
      </c>
      <c r="D725" s="42" t="n">
        <v>0</v>
      </c>
      <c r="E725" s="41" t="n">
        <v>24.73</v>
      </c>
      <c r="F725" s="5" t="s">
        <v>849</v>
      </c>
    </row>
    <row r="726" customFormat="false" ht="15" hidden="false" customHeight="false" outlineLevel="0" collapsed="false">
      <c r="A726" s="14" t="s">
        <v>2607</v>
      </c>
      <c r="B726" s="14" t="n">
        <v>0</v>
      </c>
      <c r="C726" s="14" t="n">
        <v>11</v>
      </c>
      <c r="D726" s="42" t="n">
        <v>0</v>
      </c>
      <c r="E726" s="41" t="n">
        <v>25.36</v>
      </c>
      <c r="F726" s="5" t="s">
        <v>849</v>
      </c>
    </row>
    <row r="727" customFormat="false" ht="15" hidden="false" customHeight="false" outlineLevel="0" collapsed="false">
      <c r="A727" s="14" t="s">
        <v>2608</v>
      </c>
      <c r="B727" s="14" t="n">
        <v>0</v>
      </c>
      <c r="C727" s="14" t="n">
        <v>11</v>
      </c>
      <c r="D727" s="42" t="n">
        <v>0</v>
      </c>
      <c r="E727" s="41" t="n">
        <v>26.91</v>
      </c>
      <c r="F727" s="5" t="s">
        <v>849</v>
      </c>
    </row>
    <row r="728" customFormat="false" ht="15" hidden="false" customHeight="false" outlineLevel="0" collapsed="false">
      <c r="A728" s="14" t="s">
        <v>2609</v>
      </c>
      <c r="B728" s="14" t="n">
        <v>0</v>
      </c>
      <c r="C728" s="14" t="n">
        <v>11</v>
      </c>
      <c r="D728" s="42" t="n">
        <v>0</v>
      </c>
      <c r="E728" s="41" t="n">
        <v>27.45</v>
      </c>
      <c r="F728" s="5" t="s">
        <v>849</v>
      </c>
    </row>
    <row r="729" customFormat="false" ht="15" hidden="false" customHeight="false" outlineLevel="0" collapsed="false">
      <c r="A729" s="14" t="s">
        <v>2610</v>
      </c>
      <c r="B729" s="14" t="n">
        <v>0</v>
      </c>
      <c r="C729" s="14" t="n">
        <v>11</v>
      </c>
      <c r="D729" s="42" t="n">
        <v>0</v>
      </c>
      <c r="E729" s="41" t="n">
        <v>40.55</v>
      </c>
      <c r="F729" s="5" t="s">
        <v>849</v>
      </c>
    </row>
    <row r="730" customFormat="false" ht="15" hidden="false" customHeight="false" outlineLevel="0" collapsed="false">
      <c r="A730" s="14" t="s">
        <v>2611</v>
      </c>
      <c r="B730" s="14" t="n">
        <v>0</v>
      </c>
      <c r="C730" s="14" t="n">
        <v>11</v>
      </c>
      <c r="D730" s="42" t="n">
        <v>0</v>
      </c>
      <c r="E730" s="41" t="n">
        <v>42.73</v>
      </c>
      <c r="F730" s="5" t="s">
        <v>849</v>
      </c>
    </row>
    <row r="731" customFormat="false" ht="15" hidden="false" customHeight="false" outlineLevel="0" collapsed="false">
      <c r="A731" s="14" t="s">
        <v>2612</v>
      </c>
      <c r="B731" s="14" t="n">
        <v>0</v>
      </c>
      <c r="C731" s="14" t="n">
        <v>10</v>
      </c>
      <c r="D731" s="42" t="n">
        <v>0</v>
      </c>
      <c r="E731" s="41" t="n">
        <v>6.6</v>
      </c>
      <c r="F731" s="5" t="s">
        <v>855</v>
      </c>
    </row>
    <row r="732" customFormat="false" ht="15" hidden="false" customHeight="false" outlineLevel="0" collapsed="false">
      <c r="A732" s="14" t="s">
        <v>2613</v>
      </c>
      <c r="B732" s="14" t="n">
        <v>0</v>
      </c>
      <c r="C732" s="14" t="n">
        <v>10</v>
      </c>
      <c r="D732" s="42" t="n">
        <v>0</v>
      </c>
      <c r="E732" s="41" t="n">
        <v>6.7</v>
      </c>
      <c r="F732" s="5" t="s">
        <v>849</v>
      </c>
    </row>
    <row r="733" customFormat="false" ht="15" hidden="false" customHeight="false" outlineLevel="0" collapsed="false">
      <c r="A733" s="14" t="s">
        <v>2614</v>
      </c>
      <c r="B733" s="14" t="n">
        <v>0</v>
      </c>
      <c r="C733" s="14" t="n">
        <v>10</v>
      </c>
      <c r="D733" s="42" t="n">
        <v>0</v>
      </c>
      <c r="E733" s="41" t="n">
        <v>7</v>
      </c>
      <c r="F733" s="5" t="s">
        <v>849</v>
      </c>
    </row>
    <row r="734" customFormat="false" ht="15" hidden="false" customHeight="false" outlineLevel="0" collapsed="false">
      <c r="A734" s="14" t="s">
        <v>2615</v>
      </c>
      <c r="B734" s="14" t="n">
        <v>0</v>
      </c>
      <c r="C734" s="14" t="n">
        <v>10</v>
      </c>
      <c r="D734" s="42" t="n">
        <v>0</v>
      </c>
      <c r="E734" s="41" t="n">
        <v>8.3</v>
      </c>
      <c r="F734" s="5" t="s">
        <v>849</v>
      </c>
    </row>
    <row r="735" customFormat="false" ht="15" hidden="false" customHeight="false" outlineLevel="0" collapsed="false">
      <c r="A735" s="14" t="s">
        <v>2616</v>
      </c>
      <c r="B735" s="14" t="n">
        <v>0</v>
      </c>
      <c r="C735" s="14" t="n">
        <v>10</v>
      </c>
      <c r="D735" s="42" t="n">
        <v>0</v>
      </c>
      <c r="E735" s="41" t="n">
        <v>8.4</v>
      </c>
      <c r="F735" s="5" t="s">
        <v>849</v>
      </c>
    </row>
    <row r="736" customFormat="false" ht="15" hidden="false" customHeight="false" outlineLevel="0" collapsed="false">
      <c r="A736" s="14" t="s">
        <v>2617</v>
      </c>
      <c r="B736" s="14" t="n">
        <v>0</v>
      </c>
      <c r="C736" s="14" t="n">
        <v>10</v>
      </c>
      <c r="D736" s="42" t="n">
        <v>0</v>
      </c>
      <c r="E736" s="41" t="n">
        <v>8.6</v>
      </c>
      <c r="F736" s="5" t="s">
        <v>849</v>
      </c>
    </row>
    <row r="737" customFormat="false" ht="15" hidden="false" customHeight="false" outlineLevel="0" collapsed="false">
      <c r="A737" s="14" t="s">
        <v>2618</v>
      </c>
      <c r="B737" s="14" t="n">
        <v>0</v>
      </c>
      <c r="C737" s="14" t="n">
        <v>10</v>
      </c>
      <c r="D737" s="42" t="n">
        <v>0</v>
      </c>
      <c r="E737" s="41" t="n">
        <v>9.5</v>
      </c>
      <c r="F737" s="5" t="s">
        <v>852</v>
      </c>
    </row>
    <row r="738" customFormat="false" ht="15" hidden="false" customHeight="false" outlineLevel="0" collapsed="false">
      <c r="A738" s="14" t="s">
        <v>2619</v>
      </c>
      <c r="B738" s="14" t="n">
        <v>0</v>
      </c>
      <c r="C738" s="14" t="n">
        <v>10</v>
      </c>
      <c r="D738" s="42" t="n">
        <v>0</v>
      </c>
      <c r="E738" s="41" t="n">
        <v>9.5</v>
      </c>
      <c r="F738" s="5" t="s">
        <v>849</v>
      </c>
    </row>
    <row r="739" customFormat="false" ht="15" hidden="false" customHeight="false" outlineLevel="0" collapsed="false">
      <c r="A739" s="14" t="s">
        <v>2620</v>
      </c>
      <c r="B739" s="14" t="n">
        <v>0</v>
      </c>
      <c r="C739" s="14" t="n">
        <v>10</v>
      </c>
      <c r="D739" s="42" t="n">
        <v>0</v>
      </c>
      <c r="E739" s="41" t="n">
        <v>9.6</v>
      </c>
      <c r="F739" s="5" t="s">
        <v>849</v>
      </c>
    </row>
    <row r="740" customFormat="false" ht="15" hidden="false" customHeight="false" outlineLevel="0" collapsed="false">
      <c r="A740" s="14" t="s">
        <v>2621</v>
      </c>
      <c r="B740" s="14" t="n">
        <v>0</v>
      </c>
      <c r="C740" s="14" t="n">
        <v>10</v>
      </c>
      <c r="D740" s="42" t="n">
        <v>0</v>
      </c>
      <c r="E740" s="41" t="n">
        <v>9.9</v>
      </c>
      <c r="F740" s="5" t="s">
        <v>849</v>
      </c>
    </row>
    <row r="741" customFormat="false" ht="15" hidden="false" customHeight="false" outlineLevel="0" collapsed="false">
      <c r="A741" s="14" t="s">
        <v>2622</v>
      </c>
      <c r="B741" s="14" t="n">
        <v>0</v>
      </c>
      <c r="C741" s="14" t="n">
        <v>10</v>
      </c>
      <c r="D741" s="42" t="n">
        <v>0</v>
      </c>
      <c r="E741" s="41" t="n">
        <v>10.2</v>
      </c>
      <c r="F741" s="5" t="s">
        <v>849</v>
      </c>
    </row>
    <row r="742" customFormat="false" ht="15" hidden="false" customHeight="false" outlineLevel="0" collapsed="false">
      <c r="A742" s="14" t="s">
        <v>2623</v>
      </c>
      <c r="B742" s="14" t="n">
        <v>0</v>
      </c>
      <c r="C742" s="14" t="n">
        <v>10</v>
      </c>
      <c r="D742" s="42" t="n">
        <v>0</v>
      </c>
      <c r="E742" s="41" t="n">
        <v>10.5</v>
      </c>
      <c r="F742" s="5" t="s">
        <v>849</v>
      </c>
    </row>
    <row r="743" customFormat="false" ht="15" hidden="false" customHeight="false" outlineLevel="0" collapsed="false">
      <c r="A743" s="14" t="s">
        <v>2624</v>
      </c>
      <c r="B743" s="14" t="n">
        <v>0</v>
      </c>
      <c r="C743" s="14" t="n">
        <v>10</v>
      </c>
      <c r="D743" s="42" t="n">
        <v>0</v>
      </c>
      <c r="E743" s="41" t="n">
        <v>10.6</v>
      </c>
      <c r="F743" s="5" t="s">
        <v>849</v>
      </c>
    </row>
    <row r="744" customFormat="false" ht="15" hidden="false" customHeight="false" outlineLevel="0" collapsed="false">
      <c r="A744" s="14" t="s">
        <v>2625</v>
      </c>
      <c r="B744" s="14" t="n">
        <v>0</v>
      </c>
      <c r="C744" s="14" t="n">
        <v>10</v>
      </c>
      <c r="D744" s="42" t="n">
        <v>0</v>
      </c>
      <c r="E744" s="41" t="n">
        <v>10.6</v>
      </c>
      <c r="F744" s="5" t="s">
        <v>849</v>
      </c>
    </row>
    <row r="745" customFormat="false" ht="15" hidden="false" customHeight="false" outlineLevel="0" collapsed="false">
      <c r="A745" s="14" t="s">
        <v>2626</v>
      </c>
      <c r="B745" s="14" t="n">
        <v>0</v>
      </c>
      <c r="C745" s="14" t="n">
        <v>10</v>
      </c>
      <c r="D745" s="42" t="n">
        <v>0</v>
      </c>
      <c r="E745" s="41" t="n">
        <v>10.9</v>
      </c>
      <c r="F745" s="5" t="s">
        <v>849</v>
      </c>
    </row>
    <row r="746" customFormat="false" ht="15" hidden="false" customHeight="false" outlineLevel="0" collapsed="false">
      <c r="A746" s="14" t="s">
        <v>2627</v>
      </c>
      <c r="B746" s="14" t="n">
        <v>0</v>
      </c>
      <c r="C746" s="14" t="n">
        <v>10</v>
      </c>
      <c r="D746" s="42" t="n">
        <v>0</v>
      </c>
      <c r="E746" s="41" t="n">
        <v>12</v>
      </c>
      <c r="F746" s="5" t="s">
        <v>849</v>
      </c>
    </row>
    <row r="747" customFormat="false" ht="15" hidden="false" customHeight="false" outlineLevel="0" collapsed="false">
      <c r="A747" s="14" t="s">
        <v>2628</v>
      </c>
      <c r="B747" s="14" t="n">
        <v>0</v>
      </c>
      <c r="C747" s="14" t="n">
        <v>10</v>
      </c>
      <c r="D747" s="42" t="n">
        <v>0</v>
      </c>
      <c r="E747" s="41" t="n">
        <v>12.2</v>
      </c>
      <c r="F747" s="5" t="s">
        <v>849</v>
      </c>
    </row>
    <row r="748" customFormat="false" ht="15" hidden="false" customHeight="false" outlineLevel="0" collapsed="false">
      <c r="A748" s="14" t="s">
        <v>2629</v>
      </c>
      <c r="B748" s="14" t="n">
        <v>0</v>
      </c>
      <c r="C748" s="14" t="n">
        <v>10</v>
      </c>
      <c r="D748" s="42" t="n">
        <v>0</v>
      </c>
      <c r="E748" s="41" t="n">
        <v>12.5</v>
      </c>
      <c r="F748" s="5" t="s">
        <v>850</v>
      </c>
    </row>
    <row r="749" customFormat="false" ht="15" hidden="false" customHeight="false" outlineLevel="0" collapsed="false">
      <c r="A749" s="14" t="s">
        <v>2630</v>
      </c>
      <c r="B749" s="14" t="n">
        <v>0</v>
      </c>
      <c r="C749" s="14" t="n">
        <v>10</v>
      </c>
      <c r="D749" s="42" t="n">
        <v>0</v>
      </c>
      <c r="E749" s="41" t="n">
        <v>13.4</v>
      </c>
      <c r="F749" s="5" t="s">
        <v>849</v>
      </c>
    </row>
    <row r="750" customFormat="false" ht="15" hidden="false" customHeight="false" outlineLevel="0" collapsed="false">
      <c r="A750" s="14" t="s">
        <v>2631</v>
      </c>
      <c r="B750" s="14" t="n">
        <v>0</v>
      </c>
      <c r="C750" s="14" t="n">
        <v>10</v>
      </c>
      <c r="D750" s="42" t="n">
        <v>0</v>
      </c>
      <c r="E750" s="41" t="n">
        <v>14.2</v>
      </c>
      <c r="F750" s="5" t="s">
        <v>849</v>
      </c>
    </row>
    <row r="751" customFormat="false" ht="15" hidden="false" customHeight="false" outlineLevel="0" collapsed="false">
      <c r="A751" s="14" t="s">
        <v>2632</v>
      </c>
      <c r="B751" s="14" t="n">
        <v>0</v>
      </c>
      <c r="C751" s="14" t="n">
        <v>10</v>
      </c>
      <c r="D751" s="42" t="n">
        <v>0</v>
      </c>
      <c r="E751" s="41" t="n">
        <v>14.8</v>
      </c>
      <c r="F751" s="5" t="s">
        <v>849</v>
      </c>
    </row>
    <row r="752" customFormat="false" ht="15" hidden="false" customHeight="false" outlineLevel="0" collapsed="false">
      <c r="A752" s="14" t="s">
        <v>2633</v>
      </c>
      <c r="B752" s="14" t="n">
        <v>0</v>
      </c>
      <c r="C752" s="14" t="n">
        <v>10</v>
      </c>
      <c r="D752" s="42" t="n">
        <v>0</v>
      </c>
      <c r="E752" s="41" t="n">
        <v>15.7</v>
      </c>
      <c r="F752" s="5" t="s">
        <v>849</v>
      </c>
    </row>
    <row r="753" customFormat="false" ht="15" hidden="false" customHeight="false" outlineLevel="0" collapsed="false">
      <c r="A753" s="14" t="s">
        <v>2634</v>
      </c>
      <c r="B753" s="14" t="n">
        <v>0</v>
      </c>
      <c r="C753" s="14" t="n">
        <v>10</v>
      </c>
      <c r="D753" s="42" t="n">
        <v>0</v>
      </c>
      <c r="E753" s="41" t="n">
        <v>16.4</v>
      </c>
      <c r="F753" s="5" t="s">
        <v>850</v>
      </c>
    </row>
    <row r="754" customFormat="false" ht="15" hidden="false" customHeight="false" outlineLevel="0" collapsed="false">
      <c r="A754" s="14" t="s">
        <v>2635</v>
      </c>
      <c r="B754" s="14" t="n">
        <v>0</v>
      </c>
      <c r="C754" s="14" t="n">
        <v>10</v>
      </c>
      <c r="D754" s="42" t="n">
        <v>0</v>
      </c>
      <c r="E754" s="41" t="n">
        <v>16.4</v>
      </c>
      <c r="F754" s="5" t="s">
        <v>849</v>
      </c>
    </row>
    <row r="755" customFormat="false" ht="15" hidden="false" customHeight="false" outlineLevel="0" collapsed="false">
      <c r="A755" s="14" t="s">
        <v>2636</v>
      </c>
      <c r="B755" s="14" t="n">
        <v>0</v>
      </c>
      <c r="C755" s="14" t="n">
        <v>10</v>
      </c>
      <c r="D755" s="42" t="n">
        <v>0</v>
      </c>
      <c r="E755" s="41" t="n">
        <v>18.1</v>
      </c>
      <c r="F755" s="5" t="s">
        <v>849</v>
      </c>
    </row>
    <row r="756" customFormat="false" ht="15" hidden="false" customHeight="false" outlineLevel="0" collapsed="false">
      <c r="A756" s="14" t="s">
        <v>2637</v>
      </c>
      <c r="B756" s="14" t="n">
        <v>0</v>
      </c>
      <c r="C756" s="14" t="n">
        <v>10</v>
      </c>
      <c r="D756" s="42" t="n">
        <v>0</v>
      </c>
      <c r="E756" s="41" t="n">
        <v>18.3</v>
      </c>
      <c r="F756" s="5" t="s">
        <v>851</v>
      </c>
    </row>
    <row r="757" customFormat="false" ht="15" hidden="false" customHeight="false" outlineLevel="0" collapsed="false">
      <c r="A757" s="14" t="s">
        <v>2638</v>
      </c>
      <c r="B757" s="14" t="n">
        <v>0</v>
      </c>
      <c r="C757" s="14" t="n">
        <v>10</v>
      </c>
      <c r="D757" s="42" t="n">
        <v>0</v>
      </c>
      <c r="E757" s="41" t="n">
        <v>18.9</v>
      </c>
      <c r="F757" s="5" t="s">
        <v>849</v>
      </c>
    </row>
    <row r="758" customFormat="false" ht="15" hidden="false" customHeight="false" outlineLevel="0" collapsed="false">
      <c r="A758" s="14" t="s">
        <v>2639</v>
      </c>
      <c r="B758" s="14" t="n">
        <v>0</v>
      </c>
      <c r="C758" s="14" t="n">
        <v>10</v>
      </c>
      <c r="D758" s="42" t="n">
        <v>0</v>
      </c>
      <c r="E758" s="41" t="n">
        <v>19.2</v>
      </c>
      <c r="F758" s="5" t="s">
        <v>849</v>
      </c>
    </row>
    <row r="759" customFormat="false" ht="15" hidden="false" customHeight="false" outlineLevel="0" collapsed="false">
      <c r="A759" s="14" t="s">
        <v>2640</v>
      </c>
      <c r="B759" s="14" t="n">
        <v>0</v>
      </c>
      <c r="C759" s="14" t="n">
        <v>10</v>
      </c>
      <c r="D759" s="42" t="n">
        <v>0</v>
      </c>
      <c r="E759" s="41" t="n">
        <v>20.1</v>
      </c>
      <c r="F759" s="5" t="s">
        <v>849</v>
      </c>
    </row>
    <row r="760" customFormat="false" ht="15" hidden="false" customHeight="false" outlineLevel="0" collapsed="false">
      <c r="A760" s="14" t="s">
        <v>2641</v>
      </c>
      <c r="B760" s="14" t="n">
        <v>0</v>
      </c>
      <c r="C760" s="14" t="n">
        <v>10</v>
      </c>
      <c r="D760" s="42" t="n">
        <v>0</v>
      </c>
      <c r="E760" s="41" t="n">
        <v>20.3</v>
      </c>
      <c r="F760" s="5" t="s">
        <v>849</v>
      </c>
    </row>
    <row r="761" customFormat="false" ht="15" hidden="false" customHeight="false" outlineLevel="0" collapsed="false">
      <c r="A761" s="14" t="s">
        <v>2642</v>
      </c>
      <c r="B761" s="14" t="n">
        <v>0</v>
      </c>
      <c r="C761" s="14" t="n">
        <v>10</v>
      </c>
      <c r="D761" s="42" t="n">
        <v>0</v>
      </c>
      <c r="E761" s="41" t="n">
        <v>20.6</v>
      </c>
      <c r="F761" s="5" t="s">
        <v>849</v>
      </c>
    </row>
    <row r="762" customFormat="false" ht="15" hidden="false" customHeight="false" outlineLevel="0" collapsed="false">
      <c r="A762" s="14" t="s">
        <v>2643</v>
      </c>
      <c r="B762" s="14" t="n">
        <v>0</v>
      </c>
      <c r="C762" s="14" t="n">
        <v>10</v>
      </c>
      <c r="D762" s="42" t="n">
        <v>0</v>
      </c>
      <c r="E762" s="41" t="n">
        <v>21.3</v>
      </c>
      <c r="F762" s="5" t="s">
        <v>849</v>
      </c>
    </row>
    <row r="763" customFormat="false" ht="15" hidden="false" customHeight="false" outlineLevel="0" collapsed="false">
      <c r="A763" s="14" t="s">
        <v>2644</v>
      </c>
      <c r="B763" s="14" t="n">
        <v>0</v>
      </c>
      <c r="C763" s="14" t="n">
        <v>10</v>
      </c>
      <c r="D763" s="42" t="n">
        <v>0</v>
      </c>
      <c r="E763" s="41" t="n">
        <v>21.5</v>
      </c>
      <c r="F763" s="5" t="s">
        <v>849</v>
      </c>
    </row>
    <row r="764" customFormat="false" ht="15" hidden="false" customHeight="false" outlineLevel="0" collapsed="false">
      <c r="A764" s="14" t="s">
        <v>2645</v>
      </c>
      <c r="B764" s="14" t="n">
        <v>0</v>
      </c>
      <c r="C764" s="14" t="n">
        <v>10</v>
      </c>
      <c r="D764" s="42" t="n">
        <v>0</v>
      </c>
      <c r="E764" s="41" t="n">
        <v>22.2</v>
      </c>
      <c r="F764" s="5" t="s">
        <v>849</v>
      </c>
    </row>
    <row r="765" customFormat="false" ht="15" hidden="false" customHeight="false" outlineLevel="0" collapsed="false">
      <c r="A765" s="14" t="s">
        <v>2646</v>
      </c>
      <c r="B765" s="14" t="n">
        <v>0</v>
      </c>
      <c r="C765" s="14" t="n">
        <v>10</v>
      </c>
      <c r="D765" s="42" t="n">
        <v>0</v>
      </c>
      <c r="E765" s="41" t="n">
        <v>23.5</v>
      </c>
      <c r="F765" s="5" t="s">
        <v>849</v>
      </c>
    </row>
    <row r="766" customFormat="false" ht="15" hidden="false" customHeight="false" outlineLevel="0" collapsed="false">
      <c r="A766" s="14" t="s">
        <v>2647</v>
      </c>
      <c r="B766" s="14" t="n">
        <v>0</v>
      </c>
      <c r="C766" s="14" t="n">
        <v>10</v>
      </c>
      <c r="D766" s="42" t="n">
        <v>0</v>
      </c>
      <c r="E766" s="41" t="n">
        <v>23.8</v>
      </c>
      <c r="F766" s="5" t="s">
        <v>849</v>
      </c>
    </row>
    <row r="767" customFormat="false" ht="15" hidden="false" customHeight="false" outlineLevel="0" collapsed="false">
      <c r="A767" s="14" t="s">
        <v>2648</v>
      </c>
      <c r="B767" s="14" t="n">
        <v>0</v>
      </c>
      <c r="C767" s="14" t="n">
        <v>10</v>
      </c>
      <c r="D767" s="42" t="n">
        <v>0</v>
      </c>
      <c r="E767" s="41" t="n">
        <v>24.7</v>
      </c>
      <c r="F767" s="5" t="s">
        <v>849</v>
      </c>
    </row>
    <row r="768" customFormat="false" ht="15" hidden="false" customHeight="false" outlineLevel="0" collapsed="false">
      <c r="A768" s="14" t="s">
        <v>2649</v>
      </c>
      <c r="B768" s="14" t="n">
        <v>0</v>
      </c>
      <c r="C768" s="14" t="n">
        <v>10</v>
      </c>
      <c r="D768" s="42" t="n">
        <v>0</v>
      </c>
      <c r="E768" s="41" t="n">
        <v>24.8</v>
      </c>
      <c r="F768" s="5" t="s">
        <v>849</v>
      </c>
    </row>
    <row r="769" customFormat="false" ht="15" hidden="false" customHeight="false" outlineLevel="0" collapsed="false">
      <c r="A769" s="14" t="s">
        <v>2650</v>
      </c>
      <c r="B769" s="14" t="n">
        <v>0</v>
      </c>
      <c r="C769" s="14" t="n">
        <v>10</v>
      </c>
      <c r="D769" s="42" t="n">
        <v>0</v>
      </c>
      <c r="E769" s="41" t="n">
        <v>25.5</v>
      </c>
      <c r="F769" s="5" t="s">
        <v>849</v>
      </c>
    </row>
    <row r="770" customFormat="false" ht="15" hidden="false" customHeight="false" outlineLevel="0" collapsed="false">
      <c r="A770" s="14" t="s">
        <v>2651</v>
      </c>
      <c r="B770" s="14" t="n">
        <v>0</v>
      </c>
      <c r="C770" s="14" t="n">
        <v>10</v>
      </c>
      <c r="D770" s="42" t="n">
        <v>0</v>
      </c>
      <c r="E770" s="41" t="n">
        <v>26.9</v>
      </c>
      <c r="F770" s="5" t="s">
        <v>849</v>
      </c>
    </row>
    <row r="771" customFormat="false" ht="15" hidden="false" customHeight="false" outlineLevel="0" collapsed="false">
      <c r="A771" s="14" t="s">
        <v>2652</v>
      </c>
      <c r="B771" s="14" t="n">
        <v>0</v>
      </c>
      <c r="C771" s="14" t="n">
        <v>10</v>
      </c>
      <c r="D771" s="42" t="n">
        <v>0</v>
      </c>
      <c r="E771" s="41" t="n">
        <v>27.5</v>
      </c>
      <c r="F771" s="5" t="s">
        <v>849</v>
      </c>
    </row>
    <row r="772" customFormat="false" ht="15" hidden="false" customHeight="false" outlineLevel="0" collapsed="false">
      <c r="A772" s="14" t="s">
        <v>2653</v>
      </c>
      <c r="B772" s="14" t="n">
        <v>0</v>
      </c>
      <c r="C772" s="14" t="n">
        <v>10</v>
      </c>
      <c r="D772" s="42" t="n">
        <v>0</v>
      </c>
      <c r="E772" s="41" t="n">
        <v>29.1</v>
      </c>
      <c r="F772" s="5" t="s">
        <v>849</v>
      </c>
    </row>
    <row r="773" customFormat="false" ht="15" hidden="false" customHeight="false" outlineLevel="0" collapsed="false">
      <c r="A773" s="14" t="s">
        <v>2654</v>
      </c>
      <c r="B773" s="14" t="n">
        <v>0</v>
      </c>
      <c r="C773" s="14" t="n">
        <v>10</v>
      </c>
      <c r="D773" s="42" t="n">
        <v>0</v>
      </c>
      <c r="E773" s="41" t="n">
        <v>29.8</v>
      </c>
      <c r="F773" s="5" t="s">
        <v>849</v>
      </c>
    </row>
    <row r="774" customFormat="false" ht="15" hidden="false" customHeight="false" outlineLevel="0" collapsed="false">
      <c r="A774" s="14" t="s">
        <v>2655</v>
      </c>
      <c r="B774" s="14" t="n">
        <v>0</v>
      </c>
      <c r="C774" s="14" t="n">
        <v>10</v>
      </c>
      <c r="D774" s="42" t="n">
        <v>0</v>
      </c>
      <c r="E774" s="41" t="n">
        <v>31.1</v>
      </c>
      <c r="F774" s="5" t="s">
        <v>849</v>
      </c>
    </row>
    <row r="775" customFormat="false" ht="15" hidden="false" customHeight="false" outlineLevel="0" collapsed="false">
      <c r="A775" s="14" t="s">
        <v>2656</v>
      </c>
      <c r="B775" s="14" t="n">
        <v>0</v>
      </c>
      <c r="C775" s="14" t="n">
        <v>10</v>
      </c>
      <c r="D775" s="42" t="n">
        <v>0</v>
      </c>
      <c r="E775" s="41" t="n">
        <v>33.1</v>
      </c>
      <c r="F775" s="5" t="s">
        <v>849</v>
      </c>
    </row>
    <row r="776" customFormat="false" ht="15" hidden="false" customHeight="false" outlineLevel="0" collapsed="false">
      <c r="A776" s="14" t="s">
        <v>2657</v>
      </c>
      <c r="B776" s="14" t="n">
        <v>0</v>
      </c>
      <c r="C776" s="14" t="n">
        <v>10</v>
      </c>
      <c r="D776" s="42" t="n">
        <v>0</v>
      </c>
      <c r="E776" s="41" t="n">
        <v>36.2</v>
      </c>
      <c r="F776" s="5" t="s">
        <v>850</v>
      </c>
    </row>
    <row r="777" customFormat="false" ht="15" hidden="false" customHeight="false" outlineLevel="0" collapsed="false">
      <c r="A777" s="14" t="s">
        <v>2658</v>
      </c>
      <c r="B777" s="14" t="n">
        <v>0</v>
      </c>
      <c r="C777" s="14" t="n">
        <v>10</v>
      </c>
      <c r="D777" s="42" t="n">
        <v>0</v>
      </c>
      <c r="E777" s="41" t="n">
        <v>47.2</v>
      </c>
      <c r="F777" s="5" t="s">
        <v>849</v>
      </c>
    </row>
    <row r="778" customFormat="false" ht="15" hidden="false" customHeight="false" outlineLevel="0" collapsed="false">
      <c r="A778" s="14" t="s">
        <v>2659</v>
      </c>
      <c r="B778" s="14" t="n">
        <v>0</v>
      </c>
      <c r="C778" s="14" t="n">
        <v>10</v>
      </c>
      <c r="D778" s="42" t="n">
        <v>0</v>
      </c>
      <c r="E778" s="41" t="n">
        <v>47.8</v>
      </c>
      <c r="F778" s="5" t="s">
        <v>847</v>
      </c>
    </row>
    <row r="779" customFormat="false" ht="15" hidden="false" customHeight="false" outlineLevel="0" collapsed="false">
      <c r="A779" s="14" t="s">
        <v>2660</v>
      </c>
      <c r="B779" s="14" t="n">
        <v>0</v>
      </c>
      <c r="C779" s="14" t="n">
        <v>10</v>
      </c>
      <c r="D779" s="42" t="n">
        <v>0</v>
      </c>
      <c r="E779" s="41" t="n">
        <v>48.2</v>
      </c>
      <c r="F779" s="5" t="s">
        <v>851</v>
      </c>
    </row>
    <row r="780" customFormat="false" ht="15" hidden="false" customHeight="false" outlineLevel="0" collapsed="false">
      <c r="A780" s="14" t="s">
        <v>2661</v>
      </c>
      <c r="B780" s="14" t="n">
        <v>0</v>
      </c>
      <c r="C780" s="14" t="n">
        <v>9</v>
      </c>
      <c r="D780" s="42" t="n">
        <v>0</v>
      </c>
      <c r="E780" s="41" t="n">
        <v>5.78</v>
      </c>
      <c r="F780" s="5" t="s">
        <v>849</v>
      </c>
    </row>
    <row r="781" customFormat="false" ht="15" hidden="false" customHeight="false" outlineLevel="0" collapsed="false">
      <c r="A781" s="14" t="s">
        <v>2662</v>
      </c>
      <c r="B781" s="14" t="n">
        <v>0</v>
      </c>
      <c r="C781" s="14" t="n">
        <v>9</v>
      </c>
      <c r="D781" s="42" t="n">
        <v>0</v>
      </c>
      <c r="E781" s="41" t="n">
        <v>6.22</v>
      </c>
      <c r="F781" s="5" t="s">
        <v>844</v>
      </c>
    </row>
    <row r="782" customFormat="false" ht="15" hidden="false" customHeight="false" outlineLevel="0" collapsed="false">
      <c r="A782" s="14" t="s">
        <v>2663</v>
      </c>
      <c r="B782" s="14" t="n">
        <v>0</v>
      </c>
      <c r="C782" s="14" t="n">
        <v>9</v>
      </c>
      <c r="D782" s="42" t="n">
        <v>0</v>
      </c>
      <c r="E782" s="41" t="n">
        <v>7</v>
      </c>
      <c r="F782" s="5" t="s">
        <v>852</v>
      </c>
    </row>
    <row r="783" customFormat="false" ht="15" hidden="false" customHeight="false" outlineLevel="0" collapsed="false">
      <c r="A783" s="14" t="s">
        <v>2664</v>
      </c>
      <c r="B783" s="14" t="n">
        <v>0</v>
      </c>
      <c r="C783" s="14" t="n">
        <v>9</v>
      </c>
      <c r="D783" s="42" t="n">
        <v>0</v>
      </c>
      <c r="E783" s="41" t="n">
        <v>8.44</v>
      </c>
      <c r="F783" s="5" t="s">
        <v>844</v>
      </c>
    </row>
    <row r="784" customFormat="false" ht="15" hidden="false" customHeight="false" outlineLevel="0" collapsed="false">
      <c r="A784" s="14" t="s">
        <v>2665</v>
      </c>
      <c r="B784" s="14" t="n">
        <v>0</v>
      </c>
      <c r="C784" s="14" t="n">
        <v>9</v>
      </c>
      <c r="D784" s="42" t="n">
        <v>0</v>
      </c>
      <c r="E784" s="41" t="n">
        <v>9.11</v>
      </c>
      <c r="F784" s="5" t="s">
        <v>849</v>
      </c>
    </row>
    <row r="785" customFormat="false" ht="15" hidden="false" customHeight="false" outlineLevel="0" collapsed="false">
      <c r="A785" s="14" t="s">
        <v>2666</v>
      </c>
      <c r="B785" s="14" t="n">
        <v>0</v>
      </c>
      <c r="C785" s="14" t="n">
        <v>9</v>
      </c>
      <c r="D785" s="42" t="n">
        <v>0</v>
      </c>
      <c r="E785" s="41" t="n">
        <v>9.33</v>
      </c>
      <c r="F785" s="5" t="s">
        <v>849</v>
      </c>
    </row>
    <row r="786" customFormat="false" ht="15" hidden="false" customHeight="false" outlineLevel="0" collapsed="false">
      <c r="A786" s="14" t="s">
        <v>2667</v>
      </c>
      <c r="B786" s="14" t="n">
        <v>0</v>
      </c>
      <c r="C786" s="14" t="n">
        <v>9</v>
      </c>
      <c r="D786" s="42" t="n">
        <v>0</v>
      </c>
      <c r="E786" s="41" t="n">
        <v>10</v>
      </c>
      <c r="F786" s="5" t="s">
        <v>849</v>
      </c>
    </row>
    <row r="787" customFormat="false" ht="15" hidden="false" customHeight="false" outlineLevel="0" collapsed="false">
      <c r="A787" s="14" t="s">
        <v>2668</v>
      </c>
      <c r="B787" s="14" t="n">
        <v>0</v>
      </c>
      <c r="C787" s="14" t="n">
        <v>9</v>
      </c>
      <c r="D787" s="42" t="n">
        <v>0</v>
      </c>
      <c r="E787" s="41" t="n">
        <v>10.22</v>
      </c>
      <c r="F787" s="5" t="s">
        <v>849</v>
      </c>
    </row>
    <row r="788" customFormat="false" ht="15" hidden="false" customHeight="false" outlineLevel="0" collapsed="false">
      <c r="A788" s="14" t="s">
        <v>2669</v>
      </c>
      <c r="B788" s="14" t="n">
        <v>0</v>
      </c>
      <c r="C788" s="14" t="n">
        <v>9</v>
      </c>
      <c r="D788" s="42" t="n">
        <v>0</v>
      </c>
      <c r="E788" s="41" t="n">
        <v>10.22</v>
      </c>
      <c r="F788" s="5" t="s">
        <v>849</v>
      </c>
    </row>
    <row r="789" customFormat="false" ht="15" hidden="false" customHeight="false" outlineLevel="0" collapsed="false">
      <c r="A789" s="14" t="s">
        <v>2670</v>
      </c>
      <c r="B789" s="14" t="n">
        <v>0</v>
      </c>
      <c r="C789" s="14" t="n">
        <v>9</v>
      </c>
      <c r="D789" s="42" t="n">
        <v>0</v>
      </c>
      <c r="E789" s="41" t="n">
        <v>10.33</v>
      </c>
      <c r="F789" s="5" t="s">
        <v>849</v>
      </c>
    </row>
    <row r="790" customFormat="false" ht="15" hidden="false" customHeight="false" outlineLevel="0" collapsed="false">
      <c r="A790" s="14" t="s">
        <v>2671</v>
      </c>
      <c r="B790" s="14" t="n">
        <v>0</v>
      </c>
      <c r="C790" s="14" t="n">
        <v>9</v>
      </c>
      <c r="D790" s="42" t="n">
        <v>0</v>
      </c>
      <c r="E790" s="41" t="n">
        <v>10.44</v>
      </c>
      <c r="F790" s="5" t="s">
        <v>852</v>
      </c>
    </row>
    <row r="791" customFormat="false" ht="15" hidden="false" customHeight="false" outlineLevel="0" collapsed="false">
      <c r="A791" s="14" t="s">
        <v>2672</v>
      </c>
      <c r="B791" s="14" t="n">
        <v>0</v>
      </c>
      <c r="C791" s="14" t="n">
        <v>9</v>
      </c>
      <c r="D791" s="42" t="n">
        <v>0</v>
      </c>
      <c r="E791" s="41" t="n">
        <v>10.44</v>
      </c>
      <c r="F791" s="5" t="s">
        <v>849</v>
      </c>
    </row>
    <row r="792" customFormat="false" ht="15" hidden="false" customHeight="false" outlineLevel="0" collapsed="false">
      <c r="A792" s="14" t="s">
        <v>2673</v>
      </c>
      <c r="B792" s="14" t="n">
        <v>0</v>
      </c>
      <c r="C792" s="14" t="n">
        <v>9</v>
      </c>
      <c r="D792" s="42" t="n">
        <v>0</v>
      </c>
      <c r="E792" s="41" t="n">
        <v>11.33</v>
      </c>
      <c r="F792" s="5" t="s">
        <v>849</v>
      </c>
    </row>
    <row r="793" customFormat="false" ht="15" hidden="false" customHeight="false" outlineLevel="0" collapsed="false">
      <c r="A793" s="14" t="s">
        <v>2674</v>
      </c>
      <c r="B793" s="14" t="n">
        <v>0</v>
      </c>
      <c r="C793" s="14" t="n">
        <v>9</v>
      </c>
      <c r="D793" s="42" t="n">
        <v>0</v>
      </c>
      <c r="E793" s="41" t="n">
        <v>12.33</v>
      </c>
      <c r="F793" s="5" t="s">
        <v>849</v>
      </c>
    </row>
    <row r="794" customFormat="false" ht="15" hidden="false" customHeight="false" outlineLevel="0" collapsed="false">
      <c r="A794" s="14" t="s">
        <v>2675</v>
      </c>
      <c r="B794" s="14" t="n">
        <v>0</v>
      </c>
      <c r="C794" s="14" t="n">
        <v>9</v>
      </c>
      <c r="D794" s="42" t="n">
        <v>0</v>
      </c>
      <c r="E794" s="41" t="n">
        <v>12.78</v>
      </c>
      <c r="F794" s="5" t="s">
        <v>849</v>
      </c>
    </row>
    <row r="795" customFormat="false" ht="15" hidden="false" customHeight="false" outlineLevel="0" collapsed="false">
      <c r="A795" s="14" t="s">
        <v>2676</v>
      </c>
      <c r="B795" s="14" t="n">
        <v>0</v>
      </c>
      <c r="C795" s="14" t="n">
        <v>9</v>
      </c>
      <c r="D795" s="42" t="n">
        <v>0</v>
      </c>
      <c r="E795" s="41" t="n">
        <v>12.89</v>
      </c>
      <c r="F795" s="5" t="s">
        <v>849</v>
      </c>
    </row>
    <row r="796" customFormat="false" ht="15" hidden="false" customHeight="false" outlineLevel="0" collapsed="false">
      <c r="A796" s="14" t="s">
        <v>2677</v>
      </c>
      <c r="B796" s="14" t="n">
        <v>0</v>
      </c>
      <c r="C796" s="14" t="n">
        <v>9</v>
      </c>
      <c r="D796" s="42" t="n">
        <v>0</v>
      </c>
      <c r="E796" s="41" t="n">
        <v>13</v>
      </c>
      <c r="F796" s="5" t="s">
        <v>849</v>
      </c>
    </row>
    <row r="797" customFormat="false" ht="15" hidden="false" customHeight="false" outlineLevel="0" collapsed="false">
      <c r="A797" s="14" t="s">
        <v>2678</v>
      </c>
      <c r="B797" s="14" t="n">
        <v>0</v>
      </c>
      <c r="C797" s="14" t="n">
        <v>9</v>
      </c>
      <c r="D797" s="42" t="n">
        <v>0</v>
      </c>
      <c r="E797" s="41" t="n">
        <v>13.44</v>
      </c>
      <c r="F797" s="5" t="s">
        <v>849</v>
      </c>
    </row>
    <row r="798" customFormat="false" ht="15" hidden="false" customHeight="false" outlineLevel="0" collapsed="false">
      <c r="A798" s="14" t="s">
        <v>2679</v>
      </c>
      <c r="B798" s="14" t="n">
        <v>0</v>
      </c>
      <c r="C798" s="14" t="n">
        <v>9</v>
      </c>
      <c r="D798" s="42" t="n">
        <v>0</v>
      </c>
      <c r="E798" s="41" t="n">
        <v>13.89</v>
      </c>
      <c r="F798" s="5" t="s">
        <v>849</v>
      </c>
    </row>
    <row r="799" customFormat="false" ht="15" hidden="false" customHeight="false" outlineLevel="0" collapsed="false">
      <c r="A799" s="14" t="s">
        <v>2680</v>
      </c>
      <c r="B799" s="14" t="n">
        <v>0</v>
      </c>
      <c r="C799" s="14" t="n">
        <v>9</v>
      </c>
      <c r="D799" s="42" t="n">
        <v>0</v>
      </c>
      <c r="E799" s="41" t="n">
        <v>13.89</v>
      </c>
      <c r="F799" s="5" t="s">
        <v>849</v>
      </c>
    </row>
    <row r="800" customFormat="false" ht="15" hidden="false" customHeight="false" outlineLevel="0" collapsed="false">
      <c r="A800" s="14" t="s">
        <v>2681</v>
      </c>
      <c r="B800" s="14" t="n">
        <v>0</v>
      </c>
      <c r="C800" s="14" t="n">
        <v>9</v>
      </c>
      <c r="D800" s="42" t="n">
        <v>0</v>
      </c>
      <c r="E800" s="41" t="n">
        <v>14.67</v>
      </c>
      <c r="F800" s="5" t="s">
        <v>849</v>
      </c>
    </row>
    <row r="801" customFormat="false" ht="15" hidden="false" customHeight="false" outlineLevel="0" collapsed="false">
      <c r="A801" s="14" t="s">
        <v>2682</v>
      </c>
      <c r="B801" s="14" t="n">
        <v>0</v>
      </c>
      <c r="C801" s="14" t="n">
        <v>9</v>
      </c>
      <c r="D801" s="42" t="n">
        <v>0</v>
      </c>
      <c r="E801" s="41" t="n">
        <v>15.11</v>
      </c>
      <c r="F801" s="5" t="s">
        <v>849</v>
      </c>
    </row>
    <row r="802" customFormat="false" ht="15" hidden="false" customHeight="false" outlineLevel="0" collapsed="false">
      <c r="A802" s="14" t="s">
        <v>2683</v>
      </c>
      <c r="B802" s="14" t="n">
        <v>0</v>
      </c>
      <c r="C802" s="14" t="n">
        <v>9</v>
      </c>
      <c r="D802" s="42" t="n">
        <v>0</v>
      </c>
      <c r="E802" s="41" t="n">
        <v>15.78</v>
      </c>
      <c r="F802" s="5" t="s">
        <v>849</v>
      </c>
    </row>
    <row r="803" customFormat="false" ht="15" hidden="false" customHeight="false" outlineLevel="0" collapsed="false">
      <c r="A803" s="14" t="s">
        <v>2684</v>
      </c>
      <c r="B803" s="14" t="n">
        <v>0</v>
      </c>
      <c r="C803" s="14" t="n">
        <v>9</v>
      </c>
      <c r="D803" s="42" t="n">
        <v>0</v>
      </c>
      <c r="E803" s="41" t="n">
        <v>16.33</v>
      </c>
      <c r="F803" s="5" t="s">
        <v>849</v>
      </c>
    </row>
    <row r="804" customFormat="false" ht="15" hidden="false" customHeight="false" outlineLevel="0" collapsed="false">
      <c r="A804" s="14" t="s">
        <v>2685</v>
      </c>
      <c r="B804" s="14" t="n">
        <v>0</v>
      </c>
      <c r="C804" s="14" t="n">
        <v>9</v>
      </c>
      <c r="D804" s="42" t="n">
        <v>0</v>
      </c>
      <c r="E804" s="41" t="n">
        <v>16.44</v>
      </c>
      <c r="F804" s="5" t="s">
        <v>849</v>
      </c>
    </row>
    <row r="805" customFormat="false" ht="15" hidden="false" customHeight="false" outlineLevel="0" collapsed="false">
      <c r="A805" s="14" t="s">
        <v>2686</v>
      </c>
      <c r="B805" s="14" t="n">
        <v>0</v>
      </c>
      <c r="C805" s="14" t="n">
        <v>9</v>
      </c>
      <c r="D805" s="42" t="n">
        <v>0</v>
      </c>
      <c r="E805" s="41" t="n">
        <v>16.56</v>
      </c>
      <c r="F805" s="5" t="s">
        <v>849</v>
      </c>
    </row>
    <row r="806" customFormat="false" ht="15" hidden="false" customHeight="false" outlineLevel="0" collapsed="false">
      <c r="A806" s="14" t="s">
        <v>2687</v>
      </c>
      <c r="B806" s="14" t="n">
        <v>0</v>
      </c>
      <c r="C806" s="14" t="n">
        <v>9</v>
      </c>
      <c r="D806" s="42" t="n">
        <v>0</v>
      </c>
      <c r="E806" s="41" t="n">
        <v>17</v>
      </c>
      <c r="F806" s="5" t="s">
        <v>849</v>
      </c>
    </row>
    <row r="807" customFormat="false" ht="15" hidden="false" customHeight="false" outlineLevel="0" collapsed="false">
      <c r="A807" s="14" t="s">
        <v>2688</v>
      </c>
      <c r="B807" s="14" t="n">
        <v>0</v>
      </c>
      <c r="C807" s="14" t="n">
        <v>9</v>
      </c>
      <c r="D807" s="42" t="n">
        <v>0</v>
      </c>
      <c r="E807" s="41" t="n">
        <v>17.33</v>
      </c>
      <c r="F807" s="5" t="s">
        <v>849</v>
      </c>
    </row>
    <row r="808" customFormat="false" ht="15" hidden="false" customHeight="false" outlineLevel="0" collapsed="false">
      <c r="A808" s="14" t="s">
        <v>2689</v>
      </c>
      <c r="B808" s="14" t="n">
        <v>0</v>
      </c>
      <c r="C808" s="14" t="n">
        <v>9</v>
      </c>
      <c r="D808" s="42" t="n">
        <v>0</v>
      </c>
      <c r="E808" s="41" t="n">
        <v>18</v>
      </c>
      <c r="F808" s="5" t="s">
        <v>849</v>
      </c>
    </row>
    <row r="809" customFormat="false" ht="15" hidden="false" customHeight="false" outlineLevel="0" collapsed="false">
      <c r="A809" s="14" t="s">
        <v>2690</v>
      </c>
      <c r="B809" s="14" t="n">
        <v>0</v>
      </c>
      <c r="C809" s="14" t="n">
        <v>9</v>
      </c>
      <c r="D809" s="42" t="n">
        <v>0</v>
      </c>
      <c r="E809" s="41" t="n">
        <v>18.22</v>
      </c>
      <c r="F809" s="5" t="s">
        <v>849</v>
      </c>
    </row>
    <row r="810" customFormat="false" ht="15" hidden="false" customHeight="false" outlineLevel="0" collapsed="false">
      <c r="A810" s="14" t="s">
        <v>2691</v>
      </c>
      <c r="B810" s="14" t="n">
        <v>0</v>
      </c>
      <c r="C810" s="14" t="n">
        <v>9</v>
      </c>
      <c r="D810" s="42" t="n">
        <v>0</v>
      </c>
      <c r="E810" s="41" t="n">
        <v>18.22</v>
      </c>
      <c r="F810" s="5" t="s">
        <v>849</v>
      </c>
    </row>
    <row r="811" customFormat="false" ht="15" hidden="false" customHeight="false" outlineLevel="0" collapsed="false">
      <c r="A811" s="14" t="s">
        <v>2692</v>
      </c>
      <c r="B811" s="14" t="n">
        <v>0</v>
      </c>
      <c r="C811" s="14" t="n">
        <v>9</v>
      </c>
      <c r="D811" s="42" t="n">
        <v>0</v>
      </c>
      <c r="E811" s="41" t="n">
        <v>18.44</v>
      </c>
      <c r="F811" s="5" t="s">
        <v>849</v>
      </c>
    </row>
    <row r="812" customFormat="false" ht="15" hidden="false" customHeight="false" outlineLevel="0" collapsed="false">
      <c r="A812" s="14" t="s">
        <v>2693</v>
      </c>
      <c r="B812" s="14" t="n">
        <v>0</v>
      </c>
      <c r="C812" s="14" t="n">
        <v>9</v>
      </c>
      <c r="D812" s="42" t="n">
        <v>0</v>
      </c>
      <c r="E812" s="41" t="n">
        <v>19.11</v>
      </c>
      <c r="F812" s="5" t="s">
        <v>849</v>
      </c>
    </row>
    <row r="813" customFormat="false" ht="15" hidden="false" customHeight="false" outlineLevel="0" collapsed="false">
      <c r="A813" s="14" t="s">
        <v>2694</v>
      </c>
      <c r="B813" s="14" t="n">
        <v>0</v>
      </c>
      <c r="C813" s="14" t="n">
        <v>9</v>
      </c>
      <c r="D813" s="42" t="n">
        <v>0</v>
      </c>
      <c r="E813" s="41" t="n">
        <v>19.44</v>
      </c>
      <c r="F813" s="5" t="s">
        <v>849</v>
      </c>
    </row>
    <row r="814" customFormat="false" ht="15" hidden="false" customHeight="false" outlineLevel="0" collapsed="false">
      <c r="A814" s="14" t="s">
        <v>2695</v>
      </c>
      <c r="B814" s="14" t="n">
        <v>0</v>
      </c>
      <c r="C814" s="14" t="n">
        <v>9</v>
      </c>
      <c r="D814" s="42" t="n">
        <v>0</v>
      </c>
      <c r="E814" s="41" t="n">
        <v>19.78</v>
      </c>
      <c r="F814" s="5" t="s">
        <v>849</v>
      </c>
    </row>
    <row r="815" customFormat="false" ht="15" hidden="false" customHeight="false" outlineLevel="0" collapsed="false">
      <c r="A815" s="14" t="s">
        <v>2696</v>
      </c>
      <c r="B815" s="14" t="n">
        <v>0</v>
      </c>
      <c r="C815" s="14" t="n">
        <v>9</v>
      </c>
      <c r="D815" s="42" t="n">
        <v>0</v>
      </c>
      <c r="E815" s="41" t="n">
        <v>19.78</v>
      </c>
      <c r="F815" s="5" t="s">
        <v>849</v>
      </c>
    </row>
    <row r="816" customFormat="false" ht="15" hidden="false" customHeight="false" outlineLevel="0" collapsed="false">
      <c r="A816" s="14" t="s">
        <v>2697</v>
      </c>
      <c r="B816" s="14" t="n">
        <v>0</v>
      </c>
      <c r="C816" s="14" t="n">
        <v>9</v>
      </c>
      <c r="D816" s="42" t="n">
        <v>0</v>
      </c>
      <c r="E816" s="41" t="n">
        <v>20.56</v>
      </c>
      <c r="F816" s="5" t="s">
        <v>849</v>
      </c>
    </row>
    <row r="817" customFormat="false" ht="15" hidden="false" customHeight="false" outlineLevel="0" collapsed="false">
      <c r="A817" s="14" t="s">
        <v>2698</v>
      </c>
      <c r="B817" s="14" t="n">
        <v>0</v>
      </c>
      <c r="C817" s="14" t="n">
        <v>9</v>
      </c>
      <c r="D817" s="42" t="n">
        <v>0</v>
      </c>
      <c r="E817" s="41" t="n">
        <v>20.56</v>
      </c>
      <c r="F817" s="5" t="s">
        <v>849</v>
      </c>
    </row>
    <row r="818" customFormat="false" ht="15" hidden="false" customHeight="false" outlineLevel="0" collapsed="false">
      <c r="A818" s="14" t="s">
        <v>2699</v>
      </c>
      <c r="B818" s="14" t="n">
        <v>0</v>
      </c>
      <c r="C818" s="14" t="n">
        <v>9</v>
      </c>
      <c r="D818" s="42" t="n">
        <v>0</v>
      </c>
      <c r="E818" s="41" t="n">
        <v>21</v>
      </c>
      <c r="F818" s="5" t="s">
        <v>849</v>
      </c>
    </row>
    <row r="819" customFormat="false" ht="15" hidden="false" customHeight="false" outlineLevel="0" collapsed="false">
      <c r="A819" s="14" t="s">
        <v>2700</v>
      </c>
      <c r="B819" s="14" t="n">
        <v>0</v>
      </c>
      <c r="C819" s="14" t="n">
        <v>9</v>
      </c>
      <c r="D819" s="42" t="n">
        <v>0</v>
      </c>
      <c r="E819" s="41" t="n">
        <v>21.33</v>
      </c>
      <c r="F819" s="5" t="s">
        <v>849</v>
      </c>
    </row>
    <row r="820" customFormat="false" ht="15" hidden="false" customHeight="false" outlineLevel="0" collapsed="false">
      <c r="A820" s="14" t="s">
        <v>2701</v>
      </c>
      <c r="B820" s="14" t="n">
        <v>0</v>
      </c>
      <c r="C820" s="14" t="n">
        <v>9</v>
      </c>
      <c r="D820" s="42" t="n">
        <v>0</v>
      </c>
      <c r="E820" s="41" t="n">
        <v>21.56</v>
      </c>
      <c r="F820" s="5" t="s">
        <v>849</v>
      </c>
    </row>
    <row r="821" customFormat="false" ht="15" hidden="false" customHeight="false" outlineLevel="0" collapsed="false">
      <c r="A821" s="14" t="s">
        <v>2702</v>
      </c>
      <c r="B821" s="14" t="n">
        <v>0</v>
      </c>
      <c r="C821" s="14" t="n">
        <v>9</v>
      </c>
      <c r="D821" s="42" t="n">
        <v>0</v>
      </c>
      <c r="E821" s="41" t="n">
        <v>22</v>
      </c>
      <c r="F821" s="5" t="s">
        <v>849</v>
      </c>
    </row>
    <row r="822" customFormat="false" ht="15" hidden="false" customHeight="false" outlineLevel="0" collapsed="false">
      <c r="A822" s="14" t="s">
        <v>2703</v>
      </c>
      <c r="B822" s="14" t="n">
        <v>0</v>
      </c>
      <c r="C822" s="14" t="n">
        <v>9</v>
      </c>
      <c r="D822" s="42" t="n">
        <v>0</v>
      </c>
      <c r="E822" s="41" t="n">
        <v>23</v>
      </c>
      <c r="F822" s="5" t="s">
        <v>850</v>
      </c>
    </row>
    <row r="823" customFormat="false" ht="15" hidden="false" customHeight="false" outlineLevel="0" collapsed="false">
      <c r="A823" s="14" t="s">
        <v>2704</v>
      </c>
      <c r="B823" s="14" t="n">
        <v>0</v>
      </c>
      <c r="C823" s="14" t="n">
        <v>9</v>
      </c>
      <c r="D823" s="42" t="n">
        <v>0</v>
      </c>
      <c r="E823" s="41" t="n">
        <v>23</v>
      </c>
      <c r="F823" s="5" t="s">
        <v>849</v>
      </c>
    </row>
    <row r="824" customFormat="false" ht="15" hidden="false" customHeight="false" outlineLevel="0" collapsed="false">
      <c r="A824" s="14" t="s">
        <v>2705</v>
      </c>
      <c r="B824" s="14" t="n">
        <v>0</v>
      </c>
      <c r="C824" s="14" t="n">
        <v>9</v>
      </c>
      <c r="D824" s="42" t="n">
        <v>0</v>
      </c>
      <c r="E824" s="41" t="n">
        <v>23</v>
      </c>
      <c r="F824" s="5" t="s">
        <v>849</v>
      </c>
    </row>
    <row r="825" customFormat="false" ht="15" hidden="false" customHeight="false" outlineLevel="0" collapsed="false">
      <c r="A825" s="14" t="s">
        <v>2706</v>
      </c>
      <c r="B825" s="14" t="n">
        <v>0</v>
      </c>
      <c r="C825" s="14" t="n">
        <v>9</v>
      </c>
      <c r="D825" s="42" t="n">
        <v>0</v>
      </c>
      <c r="E825" s="41" t="n">
        <v>25</v>
      </c>
      <c r="F825" s="5" t="s">
        <v>849</v>
      </c>
    </row>
    <row r="826" customFormat="false" ht="15" hidden="false" customHeight="false" outlineLevel="0" collapsed="false">
      <c r="A826" s="14" t="s">
        <v>2707</v>
      </c>
      <c r="B826" s="14" t="n">
        <v>0</v>
      </c>
      <c r="C826" s="14" t="n">
        <v>9</v>
      </c>
      <c r="D826" s="42" t="n">
        <v>0</v>
      </c>
      <c r="E826" s="41" t="n">
        <v>26.22</v>
      </c>
      <c r="F826" s="5" t="s">
        <v>849</v>
      </c>
    </row>
    <row r="827" customFormat="false" ht="15" hidden="false" customHeight="false" outlineLevel="0" collapsed="false">
      <c r="A827" s="14" t="s">
        <v>2708</v>
      </c>
      <c r="B827" s="14" t="n">
        <v>0</v>
      </c>
      <c r="C827" s="14" t="n">
        <v>9</v>
      </c>
      <c r="D827" s="42" t="n">
        <v>0</v>
      </c>
      <c r="E827" s="41" t="n">
        <v>26.56</v>
      </c>
      <c r="F827" s="5" t="s">
        <v>849</v>
      </c>
    </row>
    <row r="828" customFormat="false" ht="15" hidden="false" customHeight="false" outlineLevel="0" collapsed="false">
      <c r="A828" s="14" t="s">
        <v>2709</v>
      </c>
      <c r="B828" s="14" t="n">
        <v>0</v>
      </c>
      <c r="C828" s="14" t="n">
        <v>9</v>
      </c>
      <c r="D828" s="42" t="n">
        <v>0</v>
      </c>
      <c r="E828" s="41" t="n">
        <v>26.56</v>
      </c>
      <c r="F828" s="5" t="s">
        <v>849</v>
      </c>
    </row>
    <row r="829" customFormat="false" ht="15" hidden="false" customHeight="false" outlineLevel="0" collapsed="false">
      <c r="A829" s="14" t="s">
        <v>2710</v>
      </c>
      <c r="B829" s="14" t="n">
        <v>0</v>
      </c>
      <c r="C829" s="14" t="n">
        <v>9</v>
      </c>
      <c r="D829" s="42" t="n">
        <v>0</v>
      </c>
      <c r="E829" s="41" t="n">
        <v>28.11</v>
      </c>
      <c r="F829" s="5" t="s">
        <v>850</v>
      </c>
    </row>
    <row r="830" customFormat="false" ht="15" hidden="false" customHeight="false" outlineLevel="0" collapsed="false">
      <c r="A830" s="14" t="s">
        <v>2711</v>
      </c>
      <c r="B830" s="14" t="n">
        <v>0</v>
      </c>
      <c r="C830" s="14" t="n">
        <v>9</v>
      </c>
      <c r="D830" s="42" t="n">
        <v>0</v>
      </c>
      <c r="E830" s="41" t="n">
        <v>29.56</v>
      </c>
      <c r="F830" s="5" t="s">
        <v>850</v>
      </c>
    </row>
    <row r="831" customFormat="false" ht="15" hidden="false" customHeight="false" outlineLevel="0" collapsed="false">
      <c r="A831" s="14" t="s">
        <v>2712</v>
      </c>
      <c r="B831" s="14" t="n">
        <v>0</v>
      </c>
      <c r="C831" s="14" t="n">
        <v>9</v>
      </c>
      <c r="D831" s="42" t="n">
        <v>0</v>
      </c>
      <c r="E831" s="41" t="n">
        <v>29.67</v>
      </c>
      <c r="F831" s="5" t="s">
        <v>849</v>
      </c>
    </row>
    <row r="832" customFormat="false" ht="15" hidden="false" customHeight="false" outlineLevel="0" collapsed="false">
      <c r="A832" s="14" t="s">
        <v>2713</v>
      </c>
      <c r="B832" s="14" t="n">
        <v>0</v>
      </c>
      <c r="C832" s="14" t="n">
        <v>9</v>
      </c>
      <c r="D832" s="42" t="n">
        <v>0</v>
      </c>
      <c r="E832" s="41" t="n">
        <v>36</v>
      </c>
      <c r="F832" s="5" t="s">
        <v>849</v>
      </c>
    </row>
    <row r="833" customFormat="false" ht="15" hidden="false" customHeight="false" outlineLevel="0" collapsed="false">
      <c r="A833" s="14" t="s">
        <v>2714</v>
      </c>
      <c r="B833" s="14" t="n">
        <v>0</v>
      </c>
      <c r="C833" s="14" t="n">
        <v>9</v>
      </c>
      <c r="D833" s="42" t="n">
        <v>0</v>
      </c>
      <c r="E833" s="41" t="n">
        <v>37</v>
      </c>
      <c r="F833" s="5" t="s">
        <v>849</v>
      </c>
    </row>
    <row r="834" customFormat="false" ht="15" hidden="false" customHeight="false" outlineLevel="0" collapsed="false">
      <c r="A834" s="14" t="s">
        <v>2715</v>
      </c>
      <c r="B834" s="14" t="n">
        <v>0</v>
      </c>
      <c r="C834" s="14" t="n">
        <v>8</v>
      </c>
      <c r="D834" s="42" t="n">
        <v>0</v>
      </c>
      <c r="E834" s="41" t="n">
        <v>4.75</v>
      </c>
      <c r="F834" s="5" t="s">
        <v>849</v>
      </c>
    </row>
    <row r="835" customFormat="false" ht="15" hidden="false" customHeight="false" outlineLevel="0" collapsed="false">
      <c r="A835" s="14" t="s">
        <v>2716</v>
      </c>
      <c r="B835" s="14" t="n">
        <v>0</v>
      </c>
      <c r="C835" s="14" t="n">
        <v>8</v>
      </c>
      <c r="D835" s="42" t="n">
        <v>0</v>
      </c>
      <c r="E835" s="41" t="n">
        <v>5.62</v>
      </c>
      <c r="F835" s="5" t="s">
        <v>849</v>
      </c>
    </row>
    <row r="836" customFormat="false" ht="15" hidden="false" customHeight="false" outlineLevel="0" collapsed="false">
      <c r="A836" s="14" t="s">
        <v>2717</v>
      </c>
      <c r="B836" s="14" t="n">
        <v>0</v>
      </c>
      <c r="C836" s="14" t="n">
        <v>8</v>
      </c>
      <c r="D836" s="42" t="n">
        <v>0</v>
      </c>
      <c r="E836" s="41" t="n">
        <v>6.12</v>
      </c>
      <c r="F836" s="5" t="s">
        <v>852</v>
      </c>
    </row>
    <row r="837" customFormat="false" ht="15" hidden="false" customHeight="false" outlineLevel="0" collapsed="false">
      <c r="A837" s="14" t="s">
        <v>2718</v>
      </c>
      <c r="B837" s="14" t="n">
        <v>0</v>
      </c>
      <c r="C837" s="14" t="n">
        <v>8</v>
      </c>
      <c r="D837" s="42" t="n">
        <v>0</v>
      </c>
      <c r="E837" s="41" t="n">
        <v>6.25</v>
      </c>
      <c r="F837" s="5" t="s">
        <v>849</v>
      </c>
    </row>
    <row r="838" customFormat="false" ht="15" hidden="false" customHeight="false" outlineLevel="0" collapsed="false">
      <c r="A838" s="14" t="s">
        <v>2719</v>
      </c>
      <c r="B838" s="14" t="n">
        <v>0</v>
      </c>
      <c r="C838" s="14" t="n">
        <v>8</v>
      </c>
      <c r="D838" s="42" t="n">
        <v>0</v>
      </c>
      <c r="E838" s="41" t="n">
        <v>7</v>
      </c>
      <c r="F838" s="5" t="s">
        <v>849</v>
      </c>
    </row>
    <row r="839" customFormat="false" ht="15" hidden="false" customHeight="false" outlineLevel="0" collapsed="false">
      <c r="A839" s="14" t="s">
        <v>2720</v>
      </c>
      <c r="B839" s="14" t="n">
        <v>0</v>
      </c>
      <c r="C839" s="14" t="n">
        <v>8</v>
      </c>
      <c r="D839" s="42" t="n">
        <v>0</v>
      </c>
      <c r="E839" s="41" t="n">
        <v>7.12</v>
      </c>
      <c r="F839" s="5" t="s">
        <v>844</v>
      </c>
    </row>
    <row r="840" customFormat="false" ht="15" hidden="false" customHeight="false" outlineLevel="0" collapsed="false">
      <c r="A840" s="14" t="s">
        <v>2721</v>
      </c>
      <c r="B840" s="14" t="n">
        <v>0</v>
      </c>
      <c r="C840" s="14" t="n">
        <v>8</v>
      </c>
      <c r="D840" s="42" t="n">
        <v>0</v>
      </c>
      <c r="E840" s="41" t="n">
        <v>7.25</v>
      </c>
      <c r="F840" s="5" t="s">
        <v>851</v>
      </c>
    </row>
    <row r="841" customFormat="false" ht="15" hidden="false" customHeight="false" outlineLevel="0" collapsed="false">
      <c r="A841" s="14" t="s">
        <v>2722</v>
      </c>
      <c r="B841" s="14" t="n">
        <v>0</v>
      </c>
      <c r="C841" s="14" t="n">
        <v>8</v>
      </c>
      <c r="D841" s="42" t="n">
        <v>0</v>
      </c>
      <c r="E841" s="41" t="n">
        <v>7.38</v>
      </c>
      <c r="F841" s="5" t="s">
        <v>849</v>
      </c>
    </row>
    <row r="842" customFormat="false" ht="15" hidden="false" customHeight="false" outlineLevel="0" collapsed="false">
      <c r="A842" s="14" t="s">
        <v>2723</v>
      </c>
      <c r="B842" s="14" t="n">
        <v>0</v>
      </c>
      <c r="C842" s="14" t="n">
        <v>8</v>
      </c>
      <c r="D842" s="42" t="n">
        <v>0</v>
      </c>
      <c r="E842" s="41" t="n">
        <v>7.5</v>
      </c>
      <c r="F842" s="5" t="s">
        <v>849</v>
      </c>
    </row>
    <row r="843" customFormat="false" ht="15" hidden="false" customHeight="false" outlineLevel="0" collapsed="false">
      <c r="A843" s="14" t="s">
        <v>2724</v>
      </c>
      <c r="B843" s="14" t="n">
        <v>0</v>
      </c>
      <c r="C843" s="14" t="n">
        <v>8</v>
      </c>
      <c r="D843" s="42" t="n">
        <v>0</v>
      </c>
      <c r="E843" s="41" t="n">
        <v>7.75</v>
      </c>
      <c r="F843" s="5" t="s">
        <v>849</v>
      </c>
    </row>
    <row r="844" customFormat="false" ht="15" hidden="false" customHeight="false" outlineLevel="0" collapsed="false">
      <c r="A844" s="14" t="s">
        <v>2725</v>
      </c>
      <c r="B844" s="14" t="n">
        <v>0</v>
      </c>
      <c r="C844" s="14" t="n">
        <v>8</v>
      </c>
      <c r="D844" s="42" t="n">
        <v>0</v>
      </c>
      <c r="E844" s="41" t="n">
        <v>7.88</v>
      </c>
      <c r="F844" s="5" t="s">
        <v>849</v>
      </c>
    </row>
    <row r="845" customFormat="false" ht="15" hidden="false" customHeight="false" outlineLevel="0" collapsed="false">
      <c r="A845" s="14" t="s">
        <v>2726</v>
      </c>
      <c r="B845" s="14" t="n">
        <v>0</v>
      </c>
      <c r="C845" s="14" t="n">
        <v>8</v>
      </c>
      <c r="D845" s="42" t="n">
        <v>0</v>
      </c>
      <c r="E845" s="41" t="n">
        <v>7.88</v>
      </c>
      <c r="F845" s="5" t="s">
        <v>849</v>
      </c>
    </row>
    <row r="846" customFormat="false" ht="15" hidden="false" customHeight="false" outlineLevel="0" collapsed="false">
      <c r="A846" s="14" t="s">
        <v>2727</v>
      </c>
      <c r="B846" s="14" t="n">
        <v>0</v>
      </c>
      <c r="C846" s="14" t="n">
        <v>8</v>
      </c>
      <c r="D846" s="42" t="n">
        <v>0</v>
      </c>
      <c r="E846" s="41" t="n">
        <v>8</v>
      </c>
      <c r="F846" s="5" t="s">
        <v>849</v>
      </c>
    </row>
    <row r="847" customFormat="false" ht="15" hidden="false" customHeight="false" outlineLevel="0" collapsed="false">
      <c r="A847" s="14" t="s">
        <v>2728</v>
      </c>
      <c r="B847" s="14" t="n">
        <v>0</v>
      </c>
      <c r="C847" s="14" t="n">
        <v>8</v>
      </c>
      <c r="D847" s="42" t="n">
        <v>0</v>
      </c>
      <c r="E847" s="41" t="n">
        <v>8.25</v>
      </c>
      <c r="F847" s="5" t="s">
        <v>851</v>
      </c>
    </row>
    <row r="848" customFormat="false" ht="15" hidden="false" customHeight="false" outlineLevel="0" collapsed="false">
      <c r="A848" s="14" t="s">
        <v>2729</v>
      </c>
      <c r="B848" s="14" t="n">
        <v>0</v>
      </c>
      <c r="C848" s="14" t="n">
        <v>8</v>
      </c>
      <c r="D848" s="42" t="n">
        <v>0</v>
      </c>
      <c r="E848" s="41" t="n">
        <v>8.62</v>
      </c>
      <c r="F848" s="5" t="s">
        <v>849</v>
      </c>
    </row>
    <row r="849" customFormat="false" ht="15" hidden="false" customHeight="false" outlineLevel="0" collapsed="false">
      <c r="A849" s="14" t="s">
        <v>2730</v>
      </c>
      <c r="B849" s="14" t="n">
        <v>0</v>
      </c>
      <c r="C849" s="14" t="n">
        <v>8</v>
      </c>
      <c r="D849" s="42" t="n">
        <v>0</v>
      </c>
      <c r="E849" s="41" t="n">
        <v>8.62</v>
      </c>
      <c r="F849" s="5" t="s">
        <v>849</v>
      </c>
    </row>
    <row r="850" customFormat="false" ht="15" hidden="false" customHeight="false" outlineLevel="0" collapsed="false">
      <c r="A850" s="14" t="s">
        <v>2731</v>
      </c>
      <c r="B850" s="14" t="n">
        <v>0</v>
      </c>
      <c r="C850" s="14" t="n">
        <v>8</v>
      </c>
      <c r="D850" s="42" t="n">
        <v>0</v>
      </c>
      <c r="E850" s="41" t="n">
        <v>8.62</v>
      </c>
      <c r="F850" s="5" t="s">
        <v>849</v>
      </c>
    </row>
    <row r="851" customFormat="false" ht="15" hidden="false" customHeight="false" outlineLevel="0" collapsed="false">
      <c r="A851" s="14" t="s">
        <v>2732</v>
      </c>
      <c r="B851" s="14" t="n">
        <v>0</v>
      </c>
      <c r="C851" s="14" t="n">
        <v>8</v>
      </c>
      <c r="D851" s="42" t="n">
        <v>0</v>
      </c>
      <c r="E851" s="41" t="n">
        <v>8.62</v>
      </c>
      <c r="F851" s="5" t="s">
        <v>849</v>
      </c>
    </row>
    <row r="852" customFormat="false" ht="15" hidden="false" customHeight="false" outlineLevel="0" collapsed="false">
      <c r="A852" s="14" t="s">
        <v>2733</v>
      </c>
      <c r="B852" s="14" t="n">
        <v>0</v>
      </c>
      <c r="C852" s="14" t="n">
        <v>8</v>
      </c>
      <c r="D852" s="42" t="n">
        <v>0</v>
      </c>
      <c r="E852" s="41" t="n">
        <v>8.88</v>
      </c>
      <c r="F852" s="5" t="s">
        <v>852</v>
      </c>
    </row>
    <row r="853" customFormat="false" ht="15" hidden="false" customHeight="false" outlineLevel="0" collapsed="false">
      <c r="A853" s="14" t="s">
        <v>2734</v>
      </c>
      <c r="B853" s="14" t="n">
        <v>0</v>
      </c>
      <c r="C853" s="14" t="n">
        <v>8</v>
      </c>
      <c r="D853" s="42" t="n">
        <v>0</v>
      </c>
      <c r="E853" s="41" t="n">
        <v>9.12</v>
      </c>
      <c r="F853" s="5" t="s">
        <v>849</v>
      </c>
    </row>
    <row r="854" customFormat="false" ht="15" hidden="false" customHeight="false" outlineLevel="0" collapsed="false">
      <c r="A854" s="14" t="s">
        <v>2735</v>
      </c>
      <c r="B854" s="14" t="n">
        <v>0</v>
      </c>
      <c r="C854" s="14" t="n">
        <v>8</v>
      </c>
      <c r="D854" s="42" t="n">
        <v>0</v>
      </c>
      <c r="E854" s="41" t="n">
        <v>9.5</v>
      </c>
      <c r="F854" s="5" t="s">
        <v>844</v>
      </c>
    </row>
    <row r="855" customFormat="false" ht="15" hidden="false" customHeight="false" outlineLevel="0" collapsed="false">
      <c r="A855" s="14" t="s">
        <v>2736</v>
      </c>
      <c r="B855" s="14" t="n">
        <v>0</v>
      </c>
      <c r="C855" s="14" t="n">
        <v>8</v>
      </c>
      <c r="D855" s="42" t="n">
        <v>0</v>
      </c>
      <c r="E855" s="41" t="n">
        <v>9.75</v>
      </c>
      <c r="F855" s="5" t="s">
        <v>849</v>
      </c>
    </row>
    <row r="856" customFormat="false" ht="15" hidden="false" customHeight="false" outlineLevel="0" collapsed="false">
      <c r="A856" s="14" t="s">
        <v>2737</v>
      </c>
      <c r="B856" s="14" t="n">
        <v>0</v>
      </c>
      <c r="C856" s="14" t="n">
        <v>8</v>
      </c>
      <c r="D856" s="42" t="n">
        <v>0</v>
      </c>
      <c r="E856" s="41" t="n">
        <v>9.88</v>
      </c>
      <c r="F856" s="5" t="s">
        <v>849</v>
      </c>
    </row>
    <row r="857" customFormat="false" ht="15" hidden="false" customHeight="false" outlineLevel="0" collapsed="false">
      <c r="A857" s="14" t="s">
        <v>2738</v>
      </c>
      <c r="B857" s="14" t="n">
        <v>0</v>
      </c>
      <c r="C857" s="14" t="n">
        <v>8</v>
      </c>
      <c r="D857" s="42" t="n">
        <v>0</v>
      </c>
      <c r="E857" s="41" t="n">
        <v>10</v>
      </c>
      <c r="F857" s="5" t="s">
        <v>852</v>
      </c>
    </row>
    <row r="858" customFormat="false" ht="15" hidden="false" customHeight="false" outlineLevel="0" collapsed="false">
      <c r="A858" s="14" t="s">
        <v>2739</v>
      </c>
      <c r="B858" s="14" t="n">
        <v>0</v>
      </c>
      <c r="C858" s="14" t="n">
        <v>8</v>
      </c>
      <c r="D858" s="42" t="n">
        <v>0</v>
      </c>
      <c r="E858" s="41" t="n">
        <v>10.12</v>
      </c>
      <c r="F858" s="5" t="s">
        <v>849</v>
      </c>
    </row>
    <row r="859" customFormat="false" ht="15" hidden="false" customHeight="false" outlineLevel="0" collapsed="false">
      <c r="A859" s="14" t="s">
        <v>2740</v>
      </c>
      <c r="B859" s="14" t="n">
        <v>0</v>
      </c>
      <c r="C859" s="14" t="n">
        <v>8</v>
      </c>
      <c r="D859" s="42" t="n">
        <v>0</v>
      </c>
      <c r="E859" s="41" t="n">
        <v>10.25</v>
      </c>
      <c r="F859" s="5" t="s">
        <v>849</v>
      </c>
    </row>
    <row r="860" customFormat="false" ht="15" hidden="false" customHeight="false" outlineLevel="0" collapsed="false">
      <c r="A860" s="14" t="s">
        <v>2741</v>
      </c>
      <c r="B860" s="14" t="n">
        <v>0</v>
      </c>
      <c r="C860" s="14" t="n">
        <v>8</v>
      </c>
      <c r="D860" s="42" t="n">
        <v>0</v>
      </c>
      <c r="E860" s="41" t="n">
        <v>10.25</v>
      </c>
      <c r="F860" s="5" t="s">
        <v>849</v>
      </c>
    </row>
    <row r="861" customFormat="false" ht="15" hidden="false" customHeight="false" outlineLevel="0" collapsed="false">
      <c r="A861" s="14" t="s">
        <v>2742</v>
      </c>
      <c r="B861" s="14" t="n">
        <v>0</v>
      </c>
      <c r="C861" s="14" t="n">
        <v>8</v>
      </c>
      <c r="D861" s="42" t="n">
        <v>0</v>
      </c>
      <c r="E861" s="41" t="n">
        <v>10.25</v>
      </c>
      <c r="F861" s="5" t="s">
        <v>849</v>
      </c>
    </row>
    <row r="862" customFormat="false" ht="15" hidden="false" customHeight="false" outlineLevel="0" collapsed="false">
      <c r="A862" s="14" t="s">
        <v>2743</v>
      </c>
      <c r="B862" s="14" t="n">
        <v>0</v>
      </c>
      <c r="C862" s="14" t="n">
        <v>8</v>
      </c>
      <c r="D862" s="42" t="n">
        <v>0</v>
      </c>
      <c r="E862" s="41" t="n">
        <v>10.5</v>
      </c>
      <c r="F862" s="5" t="s">
        <v>849</v>
      </c>
    </row>
    <row r="863" customFormat="false" ht="15" hidden="false" customHeight="false" outlineLevel="0" collapsed="false">
      <c r="A863" s="14" t="s">
        <v>2744</v>
      </c>
      <c r="B863" s="14" t="n">
        <v>0</v>
      </c>
      <c r="C863" s="14" t="n">
        <v>8</v>
      </c>
      <c r="D863" s="42" t="n">
        <v>0</v>
      </c>
      <c r="E863" s="41" t="n">
        <v>10.5</v>
      </c>
      <c r="F863" s="5" t="s">
        <v>849</v>
      </c>
    </row>
    <row r="864" customFormat="false" ht="15" hidden="false" customHeight="false" outlineLevel="0" collapsed="false">
      <c r="A864" s="14" t="s">
        <v>2745</v>
      </c>
      <c r="B864" s="14" t="n">
        <v>0</v>
      </c>
      <c r="C864" s="14" t="n">
        <v>8</v>
      </c>
      <c r="D864" s="42" t="n">
        <v>0</v>
      </c>
      <c r="E864" s="41" t="n">
        <v>10.75</v>
      </c>
      <c r="F864" s="5" t="s">
        <v>849</v>
      </c>
    </row>
    <row r="865" customFormat="false" ht="15" hidden="false" customHeight="false" outlineLevel="0" collapsed="false">
      <c r="A865" s="14" t="s">
        <v>2746</v>
      </c>
      <c r="B865" s="14" t="n">
        <v>0</v>
      </c>
      <c r="C865" s="14" t="n">
        <v>8</v>
      </c>
      <c r="D865" s="42" t="n">
        <v>0</v>
      </c>
      <c r="E865" s="41" t="n">
        <v>10.88</v>
      </c>
      <c r="F865" s="5" t="s">
        <v>849</v>
      </c>
    </row>
    <row r="866" customFormat="false" ht="15" hidden="false" customHeight="false" outlineLevel="0" collapsed="false">
      <c r="A866" s="14" t="s">
        <v>2747</v>
      </c>
      <c r="B866" s="14" t="n">
        <v>0</v>
      </c>
      <c r="C866" s="14" t="n">
        <v>8</v>
      </c>
      <c r="D866" s="42" t="n">
        <v>0</v>
      </c>
      <c r="E866" s="41" t="n">
        <v>11.25</v>
      </c>
      <c r="F866" s="5" t="s">
        <v>849</v>
      </c>
    </row>
    <row r="867" customFormat="false" ht="15" hidden="false" customHeight="false" outlineLevel="0" collapsed="false">
      <c r="A867" s="14" t="s">
        <v>2748</v>
      </c>
      <c r="B867" s="14" t="n">
        <v>0</v>
      </c>
      <c r="C867" s="14" t="n">
        <v>8</v>
      </c>
      <c r="D867" s="42" t="n">
        <v>0</v>
      </c>
      <c r="E867" s="41" t="n">
        <v>11.25</v>
      </c>
      <c r="F867" s="5" t="s">
        <v>849</v>
      </c>
    </row>
    <row r="868" customFormat="false" ht="15" hidden="false" customHeight="false" outlineLevel="0" collapsed="false">
      <c r="A868" s="14" t="s">
        <v>2749</v>
      </c>
      <c r="B868" s="14" t="n">
        <v>0</v>
      </c>
      <c r="C868" s="14" t="n">
        <v>8</v>
      </c>
      <c r="D868" s="42" t="n">
        <v>0</v>
      </c>
      <c r="E868" s="41" t="n">
        <v>11.5</v>
      </c>
      <c r="F868" s="5" t="s">
        <v>849</v>
      </c>
    </row>
    <row r="869" customFormat="false" ht="15" hidden="false" customHeight="false" outlineLevel="0" collapsed="false">
      <c r="A869" s="14" t="s">
        <v>2750</v>
      </c>
      <c r="B869" s="14" t="n">
        <v>0</v>
      </c>
      <c r="C869" s="14" t="n">
        <v>8</v>
      </c>
      <c r="D869" s="42" t="n">
        <v>0</v>
      </c>
      <c r="E869" s="41" t="n">
        <v>11.62</v>
      </c>
      <c r="F869" s="5" t="s">
        <v>844</v>
      </c>
    </row>
    <row r="870" customFormat="false" ht="15" hidden="false" customHeight="false" outlineLevel="0" collapsed="false">
      <c r="A870" s="14" t="s">
        <v>2751</v>
      </c>
      <c r="B870" s="14" t="n">
        <v>0</v>
      </c>
      <c r="C870" s="14" t="n">
        <v>8</v>
      </c>
      <c r="D870" s="42" t="n">
        <v>0</v>
      </c>
      <c r="E870" s="41" t="n">
        <v>11.62</v>
      </c>
      <c r="F870" s="5" t="s">
        <v>849</v>
      </c>
    </row>
    <row r="871" customFormat="false" ht="15" hidden="false" customHeight="false" outlineLevel="0" collapsed="false">
      <c r="A871" s="14" t="s">
        <v>2752</v>
      </c>
      <c r="B871" s="14" t="n">
        <v>0</v>
      </c>
      <c r="C871" s="14" t="n">
        <v>8</v>
      </c>
      <c r="D871" s="42" t="n">
        <v>0</v>
      </c>
      <c r="E871" s="41" t="n">
        <v>11.88</v>
      </c>
      <c r="F871" s="5" t="s">
        <v>849</v>
      </c>
    </row>
    <row r="872" customFormat="false" ht="15" hidden="false" customHeight="false" outlineLevel="0" collapsed="false">
      <c r="A872" s="14" t="s">
        <v>2753</v>
      </c>
      <c r="B872" s="14" t="n">
        <v>0</v>
      </c>
      <c r="C872" s="14" t="n">
        <v>8</v>
      </c>
      <c r="D872" s="42" t="n">
        <v>0</v>
      </c>
      <c r="E872" s="41" t="n">
        <v>12.12</v>
      </c>
      <c r="F872" s="5" t="s">
        <v>849</v>
      </c>
    </row>
    <row r="873" customFormat="false" ht="15" hidden="false" customHeight="false" outlineLevel="0" collapsed="false">
      <c r="A873" s="14" t="s">
        <v>2754</v>
      </c>
      <c r="B873" s="14" t="n">
        <v>0</v>
      </c>
      <c r="C873" s="14" t="n">
        <v>8</v>
      </c>
      <c r="D873" s="42" t="n">
        <v>0</v>
      </c>
      <c r="E873" s="41" t="n">
        <v>12.38</v>
      </c>
      <c r="F873" s="5" t="s">
        <v>849</v>
      </c>
    </row>
    <row r="874" customFormat="false" ht="15" hidden="false" customHeight="false" outlineLevel="0" collapsed="false">
      <c r="A874" s="14" t="s">
        <v>2755</v>
      </c>
      <c r="B874" s="14" t="n">
        <v>0</v>
      </c>
      <c r="C874" s="14" t="n">
        <v>8</v>
      </c>
      <c r="D874" s="42" t="n">
        <v>0</v>
      </c>
      <c r="E874" s="41" t="n">
        <v>12.5</v>
      </c>
      <c r="F874" s="5" t="s">
        <v>849</v>
      </c>
    </row>
    <row r="875" customFormat="false" ht="15" hidden="false" customHeight="false" outlineLevel="0" collapsed="false">
      <c r="A875" s="14" t="s">
        <v>2756</v>
      </c>
      <c r="B875" s="14" t="n">
        <v>0</v>
      </c>
      <c r="C875" s="14" t="n">
        <v>8</v>
      </c>
      <c r="D875" s="42" t="n">
        <v>0</v>
      </c>
      <c r="E875" s="41" t="n">
        <v>12.75</v>
      </c>
      <c r="F875" s="5" t="s">
        <v>849</v>
      </c>
    </row>
    <row r="876" customFormat="false" ht="15" hidden="false" customHeight="false" outlineLevel="0" collapsed="false">
      <c r="A876" s="14" t="s">
        <v>2757</v>
      </c>
      <c r="B876" s="14" t="n">
        <v>0</v>
      </c>
      <c r="C876" s="14" t="n">
        <v>8</v>
      </c>
      <c r="D876" s="42" t="n">
        <v>0</v>
      </c>
      <c r="E876" s="41" t="n">
        <v>12.75</v>
      </c>
      <c r="F876" s="5" t="s">
        <v>849</v>
      </c>
    </row>
    <row r="877" customFormat="false" ht="15" hidden="false" customHeight="false" outlineLevel="0" collapsed="false">
      <c r="A877" s="14" t="s">
        <v>2758</v>
      </c>
      <c r="B877" s="14" t="n">
        <v>0</v>
      </c>
      <c r="C877" s="14" t="n">
        <v>8</v>
      </c>
      <c r="D877" s="42" t="n">
        <v>0</v>
      </c>
      <c r="E877" s="41" t="n">
        <v>13</v>
      </c>
      <c r="F877" s="5" t="s">
        <v>849</v>
      </c>
    </row>
    <row r="878" customFormat="false" ht="15" hidden="false" customHeight="false" outlineLevel="0" collapsed="false">
      <c r="A878" s="14" t="s">
        <v>2759</v>
      </c>
      <c r="B878" s="14" t="n">
        <v>0</v>
      </c>
      <c r="C878" s="14" t="n">
        <v>8</v>
      </c>
      <c r="D878" s="42" t="n">
        <v>0</v>
      </c>
      <c r="E878" s="41" t="n">
        <v>13.12</v>
      </c>
      <c r="F878" s="5" t="s">
        <v>849</v>
      </c>
    </row>
    <row r="879" customFormat="false" ht="15" hidden="false" customHeight="false" outlineLevel="0" collapsed="false">
      <c r="A879" s="14" t="s">
        <v>2760</v>
      </c>
      <c r="B879" s="14" t="n">
        <v>0</v>
      </c>
      <c r="C879" s="14" t="n">
        <v>8</v>
      </c>
      <c r="D879" s="42" t="n">
        <v>0</v>
      </c>
      <c r="E879" s="41" t="n">
        <v>13.12</v>
      </c>
      <c r="F879" s="5" t="s">
        <v>849</v>
      </c>
    </row>
    <row r="880" customFormat="false" ht="15" hidden="false" customHeight="false" outlineLevel="0" collapsed="false">
      <c r="A880" s="14" t="s">
        <v>2761</v>
      </c>
      <c r="B880" s="14" t="n">
        <v>0</v>
      </c>
      <c r="C880" s="14" t="n">
        <v>8</v>
      </c>
      <c r="D880" s="42" t="n">
        <v>0</v>
      </c>
      <c r="E880" s="41" t="n">
        <v>13.12</v>
      </c>
      <c r="F880" s="5" t="s">
        <v>849</v>
      </c>
    </row>
    <row r="881" customFormat="false" ht="15" hidden="false" customHeight="false" outlineLevel="0" collapsed="false">
      <c r="A881" s="14" t="s">
        <v>2762</v>
      </c>
      <c r="B881" s="14" t="n">
        <v>0</v>
      </c>
      <c r="C881" s="14" t="n">
        <v>8</v>
      </c>
      <c r="D881" s="42" t="n">
        <v>0</v>
      </c>
      <c r="E881" s="41" t="n">
        <v>13.38</v>
      </c>
      <c r="F881" s="5" t="s">
        <v>849</v>
      </c>
    </row>
    <row r="882" customFormat="false" ht="15" hidden="false" customHeight="false" outlineLevel="0" collapsed="false">
      <c r="A882" s="14" t="s">
        <v>2763</v>
      </c>
      <c r="B882" s="14" t="n">
        <v>0</v>
      </c>
      <c r="C882" s="14" t="n">
        <v>8</v>
      </c>
      <c r="D882" s="42" t="n">
        <v>0</v>
      </c>
      <c r="E882" s="41" t="n">
        <v>13.5</v>
      </c>
      <c r="F882" s="5" t="s">
        <v>849</v>
      </c>
    </row>
    <row r="883" customFormat="false" ht="15" hidden="false" customHeight="false" outlineLevel="0" collapsed="false">
      <c r="A883" s="14" t="s">
        <v>2764</v>
      </c>
      <c r="B883" s="14" t="n">
        <v>0</v>
      </c>
      <c r="C883" s="14" t="n">
        <v>8</v>
      </c>
      <c r="D883" s="42" t="n">
        <v>0</v>
      </c>
      <c r="E883" s="41" t="n">
        <v>13.5</v>
      </c>
      <c r="F883" s="5" t="s">
        <v>849</v>
      </c>
    </row>
    <row r="884" customFormat="false" ht="15" hidden="false" customHeight="false" outlineLevel="0" collapsed="false">
      <c r="A884" s="14" t="s">
        <v>2765</v>
      </c>
      <c r="B884" s="14" t="n">
        <v>0</v>
      </c>
      <c r="C884" s="14" t="n">
        <v>8</v>
      </c>
      <c r="D884" s="42" t="n">
        <v>0</v>
      </c>
      <c r="E884" s="41" t="n">
        <v>13.75</v>
      </c>
      <c r="F884" s="5" t="s">
        <v>849</v>
      </c>
    </row>
    <row r="885" customFormat="false" ht="15" hidden="false" customHeight="false" outlineLevel="0" collapsed="false">
      <c r="A885" s="14" t="s">
        <v>2766</v>
      </c>
      <c r="B885" s="14" t="n">
        <v>0</v>
      </c>
      <c r="C885" s="14" t="n">
        <v>8</v>
      </c>
      <c r="D885" s="42" t="n">
        <v>0</v>
      </c>
      <c r="E885" s="41" t="n">
        <v>14.25</v>
      </c>
      <c r="F885" s="5" t="s">
        <v>849</v>
      </c>
    </row>
    <row r="886" customFormat="false" ht="15" hidden="false" customHeight="false" outlineLevel="0" collapsed="false">
      <c r="A886" s="14" t="s">
        <v>2767</v>
      </c>
      <c r="B886" s="14" t="n">
        <v>0</v>
      </c>
      <c r="C886" s="14" t="n">
        <v>8</v>
      </c>
      <c r="D886" s="42" t="n">
        <v>0</v>
      </c>
      <c r="E886" s="41" t="n">
        <v>14.5</v>
      </c>
      <c r="F886" s="5" t="s">
        <v>849</v>
      </c>
    </row>
    <row r="887" customFormat="false" ht="15" hidden="false" customHeight="false" outlineLevel="0" collapsed="false">
      <c r="A887" s="14" t="s">
        <v>2768</v>
      </c>
      <c r="B887" s="14" t="n">
        <v>0</v>
      </c>
      <c r="C887" s="14" t="n">
        <v>8</v>
      </c>
      <c r="D887" s="42" t="n">
        <v>0</v>
      </c>
      <c r="E887" s="41" t="n">
        <v>15</v>
      </c>
      <c r="F887" s="5" t="s">
        <v>849</v>
      </c>
    </row>
    <row r="888" customFormat="false" ht="15" hidden="false" customHeight="false" outlineLevel="0" collapsed="false">
      <c r="A888" s="14" t="s">
        <v>2769</v>
      </c>
      <c r="B888" s="14" t="n">
        <v>0</v>
      </c>
      <c r="C888" s="14" t="n">
        <v>8</v>
      </c>
      <c r="D888" s="42" t="n">
        <v>0</v>
      </c>
      <c r="E888" s="41" t="n">
        <v>15.38</v>
      </c>
      <c r="F888" s="5" t="s">
        <v>849</v>
      </c>
    </row>
    <row r="889" customFormat="false" ht="15" hidden="false" customHeight="false" outlineLevel="0" collapsed="false">
      <c r="A889" s="14" t="s">
        <v>2770</v>
      </c>
      <c r="B889" s="14" t="n">
        <v>0</v>
      </c>
      <c r="C889" s="14" t="n">
        <v>8</v>
      </c>
      <c r="D889" s="42" t="n">
        <v>0</v>
      </c>
      <c r="E889" s="41" t="n">
        <v>15.62</v>
      </c>
      <c r="F889" s="5" t="s">
        <v>849</v>
      </c>
    </row>
    <row r="890" customFormat="false" ht="15" hidden="false" customHeight="false" outlineLevel="0" collapsed="false">
      <c r="A890" s="14" t="s">
        <v>2771</v>
      </c>
      <c r="B890" s="14" t="n">
        <v>0</v>
      </c>
      <c r="C890" s="14" t="n">
        <v>8</v>
      </c>
      <c r="D890" s="42" t="n">
        <v>0</v>
      </c>
      <c r="E890" s="41" t="n">
        <v>16.25</v>
      </c>
      <c r="F890" s="5" t="s">
        <v>849</v>
      </c>
    </row>
    <row r="891" customFormat="false" ht="15" hidden="false" customHeight="false" outlineLevel="0" collapsed="false">
      <c r="A891" s="14" t="s">
        <v>2772</v>
      </c>
      <c r="B891" s="14" t="n">
        <v>0</v>
      </c>
      <c r="C891" s="14" t="n">
        <v>8</v>
      </c>
      <c r="D891" s="42" t="n">
        <v>0</v>
      </c>
      <c r="E891" s="41" t="n">
        <v>16.25</v>
      </c>
      <c r="F891" s="5" t="s">
        <v>849</v>
      </c>
    </row>
    <row r="892" customFormat="false" ht="15" hidden="false" customHeight="false" outlineLevel="0" collapsed="false">
      <c r="A892" s="14" t="s">
        <v>2773</v>
      </c>
      <c r="B892" s="14" t="n">
        <v>0</v>
      </c>
      <c r="C892" s="14" t="n">
        <v>8</v>
      </c>
      <c r="D892" s="42" t="n">
        <v>0</v>
      </c>
      <c r="E892" s="41" t="n">
        <v>16.62</v>
      </c>
      <c r="F892" s="5" t="s">
        <v>849</v>
      </c>
    </row>
    <row r="893" customFormat="false" ht="15" hidden="false" customHeight="false" outlineLevel="0" collapsed="false">
      <c r="A893" s="14" t="s">
        <v>2774</v>
      </c>
      <c r="B893" s="14" t="n">
        <v>0</v>
      </c>
      <c r="C893" s="14" t="n">
        <v>8</v>
      </c>
      <c r="D893" s="42" t="n">
        <v>0</v>
      </c>
      <c r="E893" s="41" t="n">
        <v>16.62</v>
      </c>
      <c r="F893" s="5" t="s">
        <v>849</v>
      </c>
    </row>
    <row r="894" customFormat="false" ht="15" hidden="false" customHeight="false" outlineLevel="0" collapsed="false">
      <c r="A894" s="14" t="s">
        <v>2775</v>
      </c>
      <c r="B894" s="14" t="n">
        <v>0</v>
      </c>
      <c r="C894" s="14" t="n">
        <v>8</v>
      </c>
      <c r="D894" s="42" t="n">
        <v>0</v>
      </c>
      <c r="E894" s="41" t="n">
        <v>17.5</v>
      </c>
      <c r="F894" s="5" t="s">
        <v>849</v>
      </c>
    </row>
    <row r="895" customFormat="false" ht="15" hidden="false" customHeight="false" outlineLevel="0" collapsed="false">
      <c r="A895" s="14" t="s">
        <v>2776</v>
      </c>
      <c r="B895" s="14" t="n">
        <v>0</v>
      </c>
      <c r="C895" s="14" t="n">
        <v>8</v>
      </c>
      <c r="D895" s="42" t="n">
        <v>0</v>
      </c>
      <c r="E895" s="41" t="n">
        <v>17.75</v>
      </c>
      <c r="F895" s="5" t="s">
        <v>850</v>
      </c>
    </row>
    <row r="896" customFormat="false" ht="15" hidden="false" customHeight="false" outlineLevel="0" collapsed="false">
      <c r="A896" s="14" t="s">
        <v>2777</v>
      </c>
      <c r="B896" s="14" t="n">
        <v>0</v>
      </c>
      <c r="C896" s="14" t="n">
        <v>8</v>
      </c>
      <c r="D896" s="42" t="n">
        <v>0</v>
      </c>
      <c r="E896" s="41" t="n">
        <v>17.75</v>
      </c>
      <c r="F896" s="5" t="s">
        <v>849</v>
      </c>
    </row>
    <row r="897" customFormat="false" ht="15" hidden="false" customHeight="false" outlineLevel="0" collapsed="false">
      <c r="A897" s="14" t="s">
        <v>2778</v>
      </c>
      <c r="B897" s="14" t="n">
        <v>0</v>
      </c>
      <c r="C897" s="14" t="n">
        <v>8</v>
      </c>
      <c r="D897" s="42" t="n">
        <v>0</v>
      </c>
      <c r="E897" s="41" t="n">
        <v>17.75</v>
      </c>
      <c r="F897" s="5" t="s">
        <v>849</v>
      </c>
    </row>
    <row r="898" customFormat="false" ht="15" hidden="false" customHeight="false" outlineLevel="0" collapsed="false">
      <c r="A898" s="14" t="s">
        <v>2779</v>
      </c>
      <c r="B898" s="14" t="n">
        <v>0</v>
      </c>
      <c r="C898" s="14" t="n">
        <v>8</v>
      </c>
      <c r="D898" s="42" t="n">
        <v>0</v>
      </c>
      <c r="E898" s="41" t="n">
        <v>18.5</v>
      </c>
      <c r="F898" s="5" t="s">
        <v>849</v>
      </c>
    </row>
    <row r="899" customFormat="false" ht="15" hidden="false" customHeight="false" outlineLevel="0" collapsed="false">
      <c r="A899" s="14" t="s">
        <v>2780</v>
      </c>
      <c r="B899" s="14" t="n">
        <v>0</v>
      </c>
      <c r="C899" s="14" t="n">
        <v>8</v>
      </c>
      <c r="D899" s="42" t="n">
        <v>0</v>
      </c>
      <c r="E899" s="41" t="n">
        <v>18.62</v>
      </c>
      <c r="F899" s="5" t="s">
        <v>849</v>
      </c>
    </row>
    <row r="900" customFormat="false" ht="15" hidden="false" customHeight="false" outlineLevel="0" collapsed="false">
      <c r="A900" s="14" t="s">
        <v>2781</v>
      </c>
      <c r="B900" s="14" t="n">
        <v>0</v>
      </c>
      <c r="C900" s="14" t="n">
        <v>8</v>
      </c>
      <c r="D900" s="42" t="n">
        <v>0</v>
      </c>
      <c r="E900" s="41" t="n">
        <v>18.75</v>
      </c>
      <c r="F900" s="5" t="s">
        <v>849</v>
      </c>
    </row>
    <row r="901" customFormat="false" ht="15" hidden="false" customHeight="false" outlineLevel="0" collapsed="false">
      <c r="A901" s="14" t="s">
        <v>2782</v>
      </c>
      <c r="B901" s="14" t="n">
        <v>0</v>
      </c>
      <c r="C901" s="14" t="n">
        <v>8</v>
      </c>
      <c r="D901" s="42" t="n">
        <v>0</v>
      </c>
      <c r="E901" s="41" t="n">
        <v>19.25</v>
      </c>
      <c r="F901" s="5" t="s">
        <v>849</v>
      </c>
    </row>
    <row r="902" customFormat="false" ht="15" hidden="false" customHeight="false" outlineLevel="0" collapsed="false">
      <c r="A902" s="14" t="s">
        <v>2783</v>
      </c>
      <c r="B902" s="14" t="n">
        <v>0</v>
      </c>
      <c r="C902" s="14" t="n">
        <v>8</v>
      </c>
      <c r="D902" s="42" t="n">
        <v>0</v>
      </c>
      <c r="E902" s="41" t="n">
        <v>19.5</v>
      </c>
      <c r="F902" s="5" t="s">
        <v>849</v>
      </c>
    </row>
    <row r="903" customFormat="false" ht="15" hidden="false" customHeight="false" outlineLevel="0" collapsed="false">
      <c r="A903" s="14" t="s">
        <v>2784</v>
      </c>
      <c r="B903" s="14" t="n">
        <v>0</v>
      </c>
      <c r="C903" s="14" t="n">
        <v>8</v>
      </c>
      <c r="D903" s="42" t="n">
        <v>0</v>
      </c>
      <c r="E903" s="41" t="n">
        <v>19.62</v>
      </c>
      <c r="F903" s="5" t="s">
        <v>849</v>
      </c>
    </row>
    <row r="904" customFormat="false" ht="15" hidden="false" customHeight="false" outlineLevel="0" collapsed="false">
      <c r="A904" s="14" t="s">
        <v>2785</v>
      </c>
      <c r="B904" s="14" t="n">
        <v>0</v>
      </c>
      <c r="C904" s="14" t="n">
        <v>8</v>
      </c>
      <c r="D904" s="42" t="n">
        <v>0</v>
      </c>
      <c r="E904" s="41" t="n">
        <v>19.62</v>
      </c>
      <c r="F904" s="5" t="s">
        <v>849</v>
      </c>
    </row>
    <row r="905" customFormat="false" ht="15" hidden="false" customHeight="false" outlineLevel="0" collapsed="false">
      <c r="A905" s="14" t="s">
        <v>2786</v>
      </c>
      <c r="B905" s="14" t="n">
        <v>0</v>
      </c>
      <c r="C905" s="14" t="n">
        <v>8</v>
      </c>
      <c r="D905" s="42" t="n">
        <v>0</v>
      </c>
      <c r="E905" s="41" t="n">
        <v>20</v>
      </c>
      <c r="F905" s="5" t="s">
        <v>849</v>
      </c>
    </row>
    <row r="906" customFormat="false" ht="15" hidden="false" customHeight="false" outlineLevel="0" collapsed="false">
      <c r="A906" s="14" t="s">
        <v>2787</v>
      </c>
      <c r="B906" s="14" t="n">
        <v>0</v>
      </c>
      <c r="C906" s="14" t="n">
        <v>8</v>
      </c>
      <c r="D906" s="42" t="n">
        <v>0</v>
      </c>
      <c r="E906" s="41" t="n">
        <v>21.5</v>
      </c>
      <c r="F906" s="5" t="s">
        <v>849</v>
      </c>
    </row>
    <row r="907" customFormat="false" ht="15" hidden="false" customHeight="false" outlineLevel="0" collapsed="false">
      <c r="A907" s="14" t="s">
        <v>2788</v>
      </c>
      <c r="B907" s="14" t="n">
        <v>0</v>
      </c>
      <c r="C907" s="14" t="n">
        <v>8</v>
      </c>
      <c r="D907" s="42" t="n">
        <v>0</v>
      </c>
      <c r="E907" s="41" t="n">
        <v>21.75</v>
      </c>
      <c r="F907" s="5" t="s">
        <v>849</v>
      </c>
    </row>
    <row r="908" customFormat="false" ht="15" hidden="false" customHeight="false" outlineLevel="0" collapsed="false">
      <c r="A908" s="14" t="s">
        <v>2789</v>
      </c>
      <c r="B908" s="14" t="n">
        <v>0</v>
      </c>
      <c r="C908" s="14" t="n">
        <v>8</v>
      </c>
      <c r="D908" s="42" t="n">
        <v>0</v>
      </c>
      <c r="E908" s="41" t="n">
        <v>21.88</v>
      </c>
      <c r="F908" s="5" t="s">
        <v>849</v>
      </c>
    </row>
    <row r="909" customFormat="false" ht="15" hidden="false" customHeight="false" outlineLevel="0" collapsed="false">
      <c r="A909" s="14" t="s">
        <v>2790</v>
      </c>
      <c r="B909" s="14" t="n">
        <v>0</v>
      </c>
      <c r="C909" s="14" t="n">
        <v>8</v>
      </c>
      <c r="D909" s="42" t="n">
        <v>0</v>
      </c>
      <c r="E909" s="41" t="n">
        <v>22.12</v>
      </c>
      <c r="F909" s="5" t="s">
        <v>849</v>
      </c>
    </row>
    <row r="910" customFormat="false" ht="15" hidden="false" customHeight="false" outlineLevel="0" collapsed="false">
      <c r="A910" s="14" t="s">
        <v>2791</v>
      </c>
      <c r="B910" s="14" t="n">
        <v>0</v>
      </c>
      <c r="C910" s="14" t="n">
        <v>8</v>
      </c>
      <c r="D910" s="42" t="n">
        <v>0</v>
      </c>
      <c r="E910" s="41" t="n">
        <v>22.12</v>
      </c>
      <c r="F910" s="5" t="s">
        <v>849</v>
      </c>
    </row>
    <row r="911" customFormat="false" ht="15" hidden="false" customHeight="false" outlineLevel="0" collapsed="false">
      <c r="A911" s="14" t="s">
        <v>2792</v>
      </c>
      <c r="B911" s="14" t="n">
        <v>0</v>
      </c>
      <c r="C911" s="14" t="n">
        <v>8</v>
      </c>
      <c r="D911" s="42" t="n">
        <v>0</v>
      </c>
      <c r="E911" s="41" t="n">
        <v>22.25</v>
      </c>
      <c r="F911" s="5" t="s">
        <v>849</v>
      </c>
    </row>
    <row r="912" customFormat="false" ht="15" hidden="false" customHeight="false" outlineLevel="0" collapsed="false">
      <c r="A912" s="14" t="s">
        <v>2793</v>
      </c>
      <c r="B912" s="14" t="n">
        <v>0</v>
      </c>
      <c r="C912" s="14" t="n">
        <v>8</v>
      </c>
      <c r="D912" s="42" t="n">
        <v>0</v>
      </c>
      <c r="E912" s="41" t="n">
        <v>22.38</v>
      </c>
      <c r="F912" s="5" t="s">
        <v>849</v>
      </c>
    </row>
    <row r="913" customFormat="false" ht="15" hidden="false" customHeight="false" outlineLevel="0" collapsed="false">
      <c r="A913" s="14" t="s">
        <v>2794</v>
      </c>
      <c r="B913" s="14" t="n">
        <v>0</v>
      </c>
      <c r="C913" s="14" t="n">
        <v>8</v>
      </c>
      <c r="D913" s="42" t="n">
        <v>0</v>
      </c>
      <c r="E913" s="41" t="n">
        <v>22.5</v>
      </c>
      <c r="F913" s="5" t="s">
        <v>849</v>
      </c>
    </row>
    <row r="914" customFormat="false" ht="15" hidden="false" customHeight="false" outlineLevel="0" collapsed="false">
      <c r="A914" s="14" t="s">
        <v>2795</v>
      </c>
      <c r="B914" s="14" t="n">
        <v>0</v>
      </c>
      <c r="C914" s="14" t="n">
        <v>8</v>
      </c>
      <c r="D914" s="42" t="n">
        <v>0</v>
      </c>
      <c r="E914" s="41" t="n">
        <v>22.62</v>
      </c>
      <c r="F914" s="5" t="s">
        <v>849</v>
      </c>
    </row>
    <row r="915" customFormat="false" ht="15" hidden="false" customHeight="false" outlineLevel="0" collapsed="false">
      <c r="A915" s="14" t="s">
        <v>2796</v>
      </c>
      <c r="B915" s="14" t="n">
        <v>0</v>
      </c>
      <c r="C915" s="14" t="n">
        <v>8</v>
      </c>
      <c r="D915" s="42" t="n">
        <v>0</v>
      </c>
      <c r="E915" s="41" t="n">
        <v>22.75</v>
      </c>
      <c r="F915" s="5" t="s">
        <v>849</v>
      </c>
    </row>
    <row r="916" customFormat="false" ht="15" hidden="false" customHeight="false" outlineLevel="0" collapsed="false">
      <c r="A916" s="14" t="s">
        <v>2797</v>
      </c>
      <c r="B916" s="14" t="n">
        <v>0</v>
      </c>
      <c r="C916" s="14" t="n">
        <v>8</v>
      </c>
      <c r="D916" s="42" t="n">
        <v>0</v>
      </c>
      <c r="E916" s="41" t="n">
        <v>23</v>
      </c>
      <c r="F916" s="5" t="s">
        <v>849</v>
      </c>
    </row>
    <row r="917" customFormat="false" ht="15" hidden="false" customHeight="false" outlineLevel="0" collapsed="false">
      <c r="A917" s="14" t="s">
        <v>2798</v>
      </c>
      <c r="B917" s="14" t="n">
        <v>0</v>
      </c>
      <c r="C917" s="14" t="n">
        <v>8</v>
      </c>
      <c r="D917" s="42" t="n">
        <v>0</v>
      </c>
      <c r="E917" s="41" t="n">
        <v>23.12</v>
      </c>
      <c r="F917" s="5" t="s">
        <v>849</v>
      </c>
    </row>
    <row r="918" customFormat="false" ht="15" hidden="false" customHeight="false" outlineLevel="0" collapsed="false">
      <c r="A918" s="14" t="s">
        <v>2799</v>
      </c>
      <c r="B918" s="14" t="n">
        <v>0</v>
      </c>
      <c r="C918" s="14" t="n">
        <v>8</v>
      </c>
      <c r="D918" s="42" t="n">
        <v>0</v>
      </c>
      <c r="E918" s="41" t="n">
        <v>23.25</v>
      </c>
      <c r="F918" s="5" t="s">
        <v>849</v>
      </c>
    </row>
    <row r="919" customFormat="false" ht="15" hidden="false" customHeight="false" outlineLevel="0" collapsed="false">
      <c r="A919" s="14" t="s">
        <v>2800</v>
      </c>
      <c r="B919" s="14" t="n">
        <v>0</v>
      </c>
      <c r="C919" s="14" t="n">
        <v>8</v>
      </c>
      <c r="D919" s="42" t="n">
        <v>0</v>
      </c>
      <c r="E919" s="41" t="n">
        <v>23.38</v>
      </c>
      <c r="F919" s="5" t="s">
        <v>849</v>
      </c>
    </row>
    <row r="920" customFormat="false" ht="15" hidden="false" customHeight="false" outlineLevel="0" collapsed="false">
      <c r="A920" s="14" t="s">
        <v>2801</v>
      </c>
      <c r="B920" s="14" t="n">
        <v>0</v>
      </c>
      <c r="C920" s="14" t="n">
        <v>8</v>
      </c>
      <c r="D920" s="42" t="n">
        <v>0</v>
      </c>
      <c r="E920" s="41" t="n">
        <v>23.38</v>
      </c>
      <c r="F920" s="5" t="s">
        <v>849</v>
      </c>
    </row>
    <row r="921" customFormat="false" ht="15" hidden="false" customHeight="false" outlineLevel="0" collapsed="false">
      <c r="A921" s="14" t="s">
        <v>2802</v>
      </c>
      <c r="B921" s="14" t="n">
        <v>0</v>
      </c>
      <c r="C921" s="14" t="n">
        <v>8</v>
      </c>
      <c r="D921" s="42" t="n">
        <v>0</v>
      </c>
      <c r="E921" s="41" t="n">
        <v>24.38</v>
      </c>
      <c r="F921" s="5" t="s">
        <v>849</v>
      </c>
    </row>
    <row r="922" customFormat="false" ht="15" hidden="false" customHeight="false" outlineLevel="0" collapsed="false">
      <c r="A922" s="14" t="s">
        <v>2803</v>
      </c>
      <c r="B922" s="14" t="n">
        <v>0</v>
      </c>
      <c r="C922" s="14" t="n">
        <v>8</v>
      </c>
      <c r="D922" s="42" t="n">
        <v>0</v>
      </c>
      <c r="E922" s="41" t="n">
        <v>24.38</v>
      </c>
      <c r="F922" s="5" t="s">
        <v>849</v>
      </c>
    </row>
    <row r="923" customFormat="false" ht="15" hidden="false" customHeight="false" outlineLevel="0" collapsed="false">
      <c r="A923" s="14" t="s">
        <v>2804</v>
      </c>
      <c r="B923" s="14" t="n">
        <v>0</v>
      </c>
      <c r="C923" s="14" t="n">
        <v>8</v>
      </c>
      <c r="D923" s="42" t="n">
        <v>0</v>
      </c>
      <c r="E923" s="41" t="n">
        <v>25.12</v>
      </c>
      <c r="F923" s="5" t="s">
        <v>849</v>
      </c>
    </row>
    <row r="924" customFormat="false" ht="15" hidden="false" customHeight="false" outlineLevel="0" collapsed="false">
      <c r="A924" s="14" t="s">
        <v>2805</v>
      </c>
      <c r="B924" s="14" t="n">
        <v>0</v>
      </c>
      <c r="C924" s="14" t="n">
        <v>8</v>
      </c>
      <c r="D924" s="42" t="n">
        <v>0</v>
      </c>
      <c r="E924" s="41" t="n">
        <v>25.38</v>
      </c>
      <c r="F924" s="5" t="s">
        <v>849</v>
      </c>
    </row>
    <row r="925" customFormat="false" ht="15" hidden="false" customHeight="false" outlineLevel="0" collapsed="false">
      <c r="A925" s="14" t="s">
        <v>2806</v>
      </c>
      <c r="B925" s="14" t="n">
        <v>0</v>
      </c>
      <c r="C925" s="14" t="n">
        <v>8</v>
      </c>
      <c r="D925" s="42" t="n">
        <v>0</v>
      </c>
      <c r="E925" s="41" t="n">
        <v>25.5</v>
      </c>
      <c r="F925" s="5" t="s">
        <v>849</v>
      </c>
    </row>
    <row r="926" customFormat="false" ht="15" hidden="false" customHeight="false" outlineLevel="0" collapsed="false">
      <c r="A926" s="14" t="s">
        <v>2807</v>
      </c>
      <c r="B926" s="14" t="n">
        <v>0</v>
      </c>
      <c r="C926" s="14" t="n">
        <v>8</v>
      </c>
      <c r="D926" s="42" t="n">
        <v>0</v>
      </c>
      <c r="E926" s="41" t="n">
        <v>25.75</v>
      </c>
      <c r="F926" s="5" t="s">
        <v>849</v>
      </c>
    </row>
    <row r="927" customFormat="false" ht="15" hidden="false" customHeight="false" outlineLevel="0" collapsed="false">
      <c r="A927" s="14" t="s">
        <v>2808</v>
      </c>
      <c r="B927" s="14" t="n">
        <v>0</v>
      </c>
      <c r="C927" s="14" t="n">
        <v>8</v>
      </c>
      <c r="D927" s="42" t="n">
        <v>0</v>
      </c>
      <c r="E927" s="41" t="n">
        <v>25.75</v>
      </c>
      <c r="F927" s="5" t="s">
        <v>849</v>
      </c>
    </row>
    <row r="928" customFormat="false" ht="15" hidden="false" customHeight="false" outlineLevel="0" collapsed="false">
      <c r="A928" s="14" t="s">
        <v>2809</v>
      </c>
      <c r="B928" s="14" t="n">
        <v>0</v>
      </c>
      <c r="C928" s="14" t="n">
        <v>8</v>
      </c>
      <c r="D928" s="42" t="n">
        <v>0</v>
      </c>
      <c r="E928" s="41" t="n">
        <v>26</v>
      </c>
      <c r="F928" s="5" t="s">
        <v>849</v>
      </c>
    </row>
    <row r="929" customFormat="false" ht="15" hidden="false" customHeight="false" outlineLevel="0" collapsed="false">
      <c r="A929" s="14" t="s">
        <v>2810</v>
      </c>
      <c r="B929" s="14" t="n">
        <v>0</v>
      </c>
      <c r="C929" s="14" t="n">
        <v>8</v>
      </c>
      <c r="D929" s="42" t="n">
        <v>0</v>
      </c>
      <c r="E929" s="41" t="n">
        <v>26.25</v>
      </c>
      <c r="F929" s="5" t="s">
        <v>849</v>
      </c>
    </row>
    <row r="930" customFormat="false" ht="15" hidden="false" customHeight="false" outlineLevel="0" collapsed="false">
      <c r="A930" s="14" t="s">
        <v>2811</v>
      </c>
      <c r="B930" s="14" t="n">
        <v>0</v>
      </c>
      <c r="C930" s="14" t="n">
        <v>8</v>
      </c>
      <c r="D930" s="42" t="n">
        <v>0</v>
      </c>
      <c r="E930" s="41" t="n">
        <v>26.5</v>
      </c>
      <c r="F930" s="5" t="s">
        <v>849</v>
      </c>
    </row>
    <row r="931" customFormat="false" ht="15" hidden="false" customHeight="false" outlineLevel="0" collapsed="false">
      <c r="A931" s="14" t="s">
        <v>2812</v>
      </c>
      <c r="B931" s="14" t="n">
        <v>0</v>
      </c>
      <c r="C931" s="14" t="n">
        <v>8</v>
      </c>
      <c r="D931" s="42" t="n">
        <v>0</v>
      </c>
      <c r="E931" s="41" t="n">
        <v>26.88</v>
      </c>
      <c r="F931" s="5" t="s">
        <v>849</v>
      </c>
    </row>
    <row r="932" customFormat="false" ht="15" hidden="false" customHeight="false" outlineLevel="0" collapsed="false">
      <c r="A932" s="14" t="s">
        <v>2813</v>
      </c>
      <c r="B932" s="14" t="n">
        <v>0</v>
      </c>
      <c r="C932" s="14" t="n">
        <v>8</v>
      </c>
      <c r="D932" s="42" t="n">
        <v>0</v>
      </c>
      <c r="E932" s="41" t="n">
        <v>27.12</v>
      </c>
      <c r="F932" s="5" t="s">
        <v>849</v>
      </c>
    </row>
    <row r="933" customFormat="false" ht="15" hidden="false" customHeight="false" outlineLevel="0" collapsed="false">
      <c r="A933" s="14" t="s">
        <v>2814</v>
      </c>
      <c r="B933" s="14" t="n">
        <v>0</v>
      </c>
      <c r="C933" s="14" t="n">
        <v>8</v>
      </c>
      <c r="D933" s="42" t="n">
        <v>0</v>
      </c>
      <c r="E933" s="41" t="n">
        <v>31.75</v>
      </c>
      <c r="F933" s="5" t="s">
        <v>849</v>
      </c>
    </row>
    <row r="934" customFormat="false" ht="15" hidden="false" customHeight="false" outlineLevel="0" collapsed="false">
      <c r="A934" s="14" t="s">
        <v>2815</v>
      </c>
      <c r="B934" s="14" t="n">
        <v>0</v>
      </c>
      <c r="C934" s="14" t="n">
        <v>8</v>
      </c>
      <c r="D934" s="42" t="n">
        <v>0</v>
      </c>
      <c r="E934" s="41" t="n">
        <v>32.12</v>
      </c>
      <c r="F934" s="5" t="s">
        <v>849</v>
      </c>
    </row>
    <row r="935" customFormat="false" ht="15" hidden="false" customHeight="false" outlineLevel="0" collapsed="false">
      <c r="A935" s="14" t="s">
        <v>2816</v>
      </c>
      <c r="B935" s="14" t="n">
        <v>0</v>
      </c>
      <c r="C935" s="14" t="n">
        <v>8</v>
      </c>
      <c r="D935" s="42" t="n">
        <v>0</v>
      </c>
      <c r="E935" s="41" t="n">
        <v>33</v>
      </c>
      <c r="F935" s="5" t="s">
        <v>849</v>
      </c>
    </row>
    <row r="936" customFormat="false" ht="15" hidden="false" customHeight="false" outlineLevel="0" collapsed="false">
      <c r="A936" s="14" t="s">
        <v>2817</v>
      </c>
      <c r="B936" s="14" t="n">
        <v>0</v>
      </c>
      <c r="C936" s="14" t="n">
        <v>8</v>
      </c>
      <c r="D936" s="42" t="n">
        <v>0</v>
      </c>
      <c r="E936" s="41" t="n">
        <v>33.25</v>
      </c>
      <c r="F936" s="5" t="s">
        <v>849</v>
      </c>
    </row>
    <row r="937" customFormat="false" ht="15" hidden="false" customHeight="false" outlineLevel="0" collapsed="false">
      <c r="A937" s="14" t="s">
        <v>2818</v>
      </c>
      <c r="B937" s="14" t="n">
        <v>0</v>
      </c>
      <c r="C937" s="14" t="n">
        <v>8</v>
      </c>
      <c r="D937" s="42" t="n">
        <v>0</v>
      </c>
      <c r="E937" s="41" t="n">
        <v>36.88</v>
      </c>
      <c r="F937" s="5" t="s">
        <v>849</v>
      </c>
    </row>
    <row r="938" customFormat="false" ht="15" hidden="false" customHeight="false" outlineLevel="0" collapsed="false">
      <c r="A938" s="14" t="s">
        <v>2819</v>
      </c>
      <c r="B938" s="14" t="n">
        <v>0</v>
      </c>
      <c r="C938" s="14" t="n">
        <v>8</v>
      </c>
      <c r="D938" s="42" t="n">
        <v>0</v>
      </c>
      <c r="E938" s="41" t="n">
        <v>44.12</v>
      </c>
      <c r="F938" s="5" t="s">
        <v>849</v>
      </c>
    </row>
    <row r="939" customFormat="false" ht="15" hidden="false" customHeight="false" outlineLevel="0" collapsed="false">
      <c r="A939" s="14" t="s">
        <v>2820</v>
      </c>
      <c r="B939" s="14" t="n">
        <v>0</v>
      </c>
      <c r="C939" s="14" t="n">
        <v>7</v>
      </c>
      <c r="D939" s="42" t="n">
        <v>0</v>
      </c>
      <c r="E939" s="41" t="n">
        <v>5.57</v>
      </c>
      <c r="F939" s="5" t="s">
        <v>849</v>
      </c>
    </row>
    <row r="940" customFormat="false" ht="15" hidden="false" customHeight="false" outlineLevel="0" collapsed="false">
      <c r="A940" s="14" t="s">
        <v>2821</v>
      </c>
      <c r="B940" s="14" t="n">
        <v>0</v>
      </c>
      <c r="C940" s="14" t="n">
        <v>7</v>
      </c>
      <c r="D940" s="42" t="n">
        <v>0</v>
      </c>
      <c r="E940" s="41" t="n">
        <v>6.14</v>
      </c>
      <c r="F940" s="5" t="s">
        <v>849</v>
      </c>
    </row>
    <row r="941" customFormat="false" ht="15" hidden="false" customHeight="false" outlineLevel="0" collapsed="false">
      <c r="A941" s="14" t="s">
        <v>2822</v>
      </c>
      <c r="B941" s="14" t="n">
        <v>0</v>
      </c>
      <c r="C941" s="14" t="n">
        <v>7</v>
      </c>
      <c r="D941" s="42" t="n">
        <v>0</v>
      </c>
      <c r="E941" s="41" t="n">
        <v>6.14</v>
      </c>
      <c r="F941" s="5" t="s">
        <v>849</v>
      </c>
    </row>
    <row r="942" customFormat="false" ht="15" hidden="false" customHeight="false" outlineLevel="0" collapsed="false">
      <c r="A942" s="14" t="s">
        <v>2823</v>
      </c>
      <c r="B942" s="14" t="n">
        <v>0</v>
      </c>
      <c r="C942" s="14" t="n">
        <v>7</v>
      </c>
      <c r="D942" s="42" t="n">
        <v>0</v>
      </c>
      <c r="E942" s="41" t="n">
        <v>6.71</v>
      </c>
      <c r="F942" s="5" t="s">
        <v>849</v>
      </c>
    </row>
    <row r="943" customFormat="false" ht="15" hidden="false" customHeight="false" outlineLevel="0" collapsed="false">
      <c r="A943" s="14" t="s">
        <v>2824</v>
      </c>
      <c r="B943" s="14" t="n">
        <v>0</v>
      </c>
      <c r="C943" s="14" t="n">
        <v>7</v>
      </c>
      <c r="D943" s="42" t="n">
        <v>0</v>
      </c>
      <c r="E943" s="41" t="n">
        <v>6.86</v>
      </c>
      <c r="F943" s="5" t="s">
        <v>849</v>
      </c>
    </row>
    <row r="944" customFormat="false" ht="15" hidden="false" customHeight="false" outlineLevel="0" collapsed="false">
      <c r="A944" s="14" t="s">
        <v>2825</v>
      </c>
      <c r="B944" s="14" t="n">
        <v>0</v>
      </c>
      <c r="C944" s="14" t="n">
        <v>7</v>
      </c>
      <c r="D944" s="42" t="n">
        <v>0</v>
      </c>
      <c r="E944" s="41" t="n">
        <v>6.86</v>
      </c>
      <c r="F944" s="5" t="s">
        <v>849</v>
      </c>
    </row>
    <row r="945" customFormat="false" ht="15" hidden="false" customHeight="false" outlineLevel="0" collapsed="false">
      <c r="A945" s="14" t="s">
        <v>2826</v>
      </c>
      <c r="B945" s="14" t="n">
        <v>0</v>
      </c>
      <c r="C945" s="14" t="n">
        <v>7</v>
      </c>
      <c r="D945" s="42" t="n">
        <v>0</v>
      </c>
      <c r="E945" s="41" t="n">
        <v>6.86</v>
      </c>
      <c r="F945" s="5" t="s">
        <v>849</v>
      </c>
    </row>
    <row r="946" customFormat="false" ht="15" hidden="false" customHeight="false" outlineLevel="0" collapsed="false">
      <c r="A946" s="14" t="s">
        <v>2827</v>
      </c>
      <c r="B946" s="14" t="n">
        <v>0</v>
      </c>
      <c r="C946" s="14" t="n">
        <v>7</v>
      </c>
      <c r="D946" s="42" t="n">
        <v>0</v>
      </c>
      <c r="E946" s="41" t="n">
        <v>7.14</v>
      </c>
      <c r="F946" s="5" t="s">
        <v>849</v>
      </c>
    </row>
    <row r="947" customFormat="false" ht="15" hidden="false" customHeight="false" outlineLevel="0" collapsed="false">
      <c r="A947" s="14" t="s">
        <v>2828</v>
      </c>
      <c r="B947" s="14" t="n">
        <v>0</v>
      </c>
      <c r="C947" s="14" t="n">
        <v>7</v>
      </c>
      <c r="D947" s="42" t="n">
        <v>0</v>
      </c>
      <c r="E947" s="41" t="n">
        <v>7.43</v>
      </c>
      <c r="F947" s="5" t="s">
        <v>852</v>
      </c>
    </row>
    <row r="948" customFormat="false" ht="15" hidden="false" customHeight="false" outlineLevel="0" collapsed="false">
      <c r="A948" s="14" t="s">
        <v>2829</v>
      </c>
      <c r="B948" s="14" t="n">
        <v>0</v>
      </c>
      <c r="C948" s="14" t="n">
        <v>7</v>
      </c>
      <c r="D948" s="42" t="n">
        <v>0</v>
      </c>
      <c r="E948" s="41" t="n">
        <v>7.57</v>
      </c>
      <c r="F948" s="5" t="s">
        <v>849</v>
      </c>
    </row>
    <row r="949" customFormat="false" ht="15" hidden="false" customHeight="false" outlineLevel="0" collapsed="false">
      <c r="A949" s="14" t="s">
        <v>2830</v>
      </c>
      <c r="B949" s="14" t="n">
        <v>0</v>
      </c>
      <c r="C949" s="14" t="n">
        <v>7</v>
      </c>
      <c r="D949" s="42" t="n">
        <v>0</v>
      </c>
      <c r="E949" s="41" t="n">
        <v>8</v>
      </c>
      <c r="F949" s="5" t="s">
        <v>849</v>
      </c>
    </row>
    <row r="950" customFormat="false" ht="15" hidden="false" customHeight="false" outlineLevel="0" collapsed="false">
      <c r="A950" s="14" t="s">
        <v>2831</v>
      </c>
      <c r="B950" s="14" t="n">
        <v>0</v>
      </c>
      <c r="C950" s="14" t="n">
        <v>7</v>
      </c>
      <c r="D950" s="42" t="n">
        <v>0</v>
      </c>
      <c r="E950" s="41" t="n">
        <v>8.29</v>
      </c>
      <c r="F950" s="5" t="s">
        <v>849</v>
      </c>
    </row>
    <row r="951" customFormat="false" ht="15" hidden="false" customHeight="false" outlineLevel="0" collapsed="false">
      <c r="A951" s="14" t="s">
        <v>2832</v>
      </c>
      <c r="B951" s="14" t="n">
        <v>0</v>
      </c>
      <c r="C951" s="14" t="n">
        <v>7</v>
      </c>
      <c r="D951" s="42" t="n">
        <v>0</v>
      </c>
      <c r="E951" s="41" t="n">
        <v>8.29</v>
      </c>
      <c r="F951" s="5" t="s">
        <v>849</v>
      </c>
    </row>
    <row r="952" customFormat="false" ht="15" hidden="false" customHeight="false" outlineLevel="0" collapsed="false">
      <c r="A952" s="14" t="s">
        <v>2833</v>
      </c>
      <c r="B952" s="14" t="n">
        <v>0</v>
      </c>
      <c r="C952" s="14" t="n">
        <v>7</v>
      </c>
      <c r="D952" s="42" t="n">
        <v>0</v>
      </c>
      <c r="E952" s="41" t="n">
        <v>8.43</v>
      </c>
      <c r="F952" s="5" t="s">
        <v>849</v>
      </c>
    </row>
    <row r="953" customFormat="false" ht="15" hidden="false" customHeight="false" outlineLevel="0" collapsed="false">
      <c r="A953" s="14" t="s">
        <v>2834</v>
      </c>
      <c r="B953" s="14" t="n">
        <v>0</v>
      </c>
      <c r="C953" s="14" t="n">
        <v>7</v>
      </c>
      <c r="D953" s="42" t="n">
        <v>0</v>
      </c>
      <c r="E953" s="41" t="n">
        <v>8.43</v>
      </c>
      <c r="F953" s="5" t="s">
        <v>849</v>
      </c>
    </row>
    <row r="954" customFormat="false" ht="15" hidden="false" customHeight="false" outlineLevel="0" collapsed="false">
      <c r="A954" s="14" t="s">
        <v>2835</v>
      </c>
      <c r="B954" s="14" t="n">
        <v>0</v>
      </c>
      <c r="C954" s="14" t="n">
        <v>7</v>
      </c>
      <c r="D954" s="42" t="n">
        <v>0</v>
      </c>
      <c r="E954" s="41" t="n">
        <v>8.86</v>
      </c>
      <c r="F954" s="5" t="s">
        <v>849</v>
      </c>
    </row>
    <row r="955" customFormat="false" ht="15" hidden="false" customHeight="false" outlineLevel="0" collapsed="false">
      <c r="A955" s="14" t="s">
        <v>2836</v>
      </c>
      <c r="B955" s="14" t="n">
        <v>0</v>
      </c>
      <c r="C955" s="14" t="n">
        <v>7</v>
      </c>
      <c r="D955" s="42" t="n">
        <v>0</v>
      </c>
      <c r="E955" s="41" t="n">
        <v>9</v>
      </c>
      <c r="F955" s="5" t="s">
        <v>852</v>
      </c>
    </row>
    <row r="956" customFormat="false" ht="15" hidden="false" customHeight="false" outlineLevel="0" collapsed="false">
      <c r="A956" s="14" t="s">
        <v>2837</v>
      </c>
      <c r="B956" s="14" t="n">
        <v>0</v>
      </c>
      <c r="C956" s="14" t="n">
        <v>7</v>
      </c>
      <c r="D956" s="42" t="n">
        <v>0</v>
      </c>
      <c r="E956" s="41" t="n">
        <v>9</v>
      </c>
      <c r="F956" s="5" t="s">
        <v>849</v>
      </c>
    </row>
    <row r="957" customFormat="false" ht="15" hidden="false" customHeight="false" outlineLevel="0" collapsed="false">
      <c r="A957" s="14" t="s">
        <v>2838</v>
      </c>
      <c r="B957" s="14" t="n">
        <v>0</v>
      </c>
      <c r="C957" s="14" t="n">
        <v>7</v>
      </c>
      <c r="D957" s="42" t="n">
        <v>0</v>
      </c>
      <c r="E957" s="41" t="n">
        <v>9</v>
      </c>
      <c r="F957" s="5" t="s">
        <v>849</v>
      </c>
    </row>
    <row r="958" customFormat="false" ht="15" hidden="false" customHeight="false" outlineLevel="0" collapsed="false">
      <c r="A958" s="14" t="s">
        <v>2839</v>
      </c>
      <c r="B958" s="14" t="n">
        <v>0</v>
      </c>
      <c r="C958" s="14" t="n">
        <v>7</v>
      </c>
      <c r="D958" s="42" t="n">
        <v>0</v>
      </c>
      <c r="E958" s="41" t="n">
        <v>9</v>
      </c>
      <c r="F958" s="5" t="s">
        <v>847</v>
      </c>
    </row>
    <row r="959" customFormat="false" ht="15" hidden="false" customHeight="false" outlineLevel="0" collapsed="false">
      <c r="A959" s="14" t="s">
        <v>2840</v>
      </c>
      <c r="B959" s="14" t="n">
        <v>0</v>
      </c>
      <c r="C959" s="14" t="n">
        <v>7</v>
      </c>
      <c r="D959" s="42" t="n">
        <v>0</v>
      </c>
      <c r="E959" s="41" t="n">
        <v>9.29</v>
      </c>
      <c r="F959" s="5" t="s">
        <v>850</v>
      </c>
    </row>
    <row r="960" customFormat="false" ht="15" hidden="false" customHeight="false" outlineLevel="0" collapsed="false">
      <c r="A960" s="14" t="s">
        <v>2841</v>
      </c>
      <c r="B960" s="14" t="n">
        <v>0</v>
      </c>
      <c r="C960" s="14" t="n">
        <v>7</v>
      </c>
      <c r="D960" s="42" t="n">
        <v>0</v>
      </c>
      <c r="E960" s="41" t="n">
        <v>9.43</v>
      </c>
      <c r="F960" s="5" t="s">
        <v>849</v>
      </c>
    </row>
    <row r="961" customFormat="false" ht="15" hidden="false" customHeight="false" outlineLevel="0" collapsed="false">
      <c r="A961" s="14" t="s">
        <v>2842</v>
      </c>
      <c r="B961" s="14" t="n">
        <v>0</v>
      </c>
      <c r="C961" s="14" t="n">
        <v>7</v>
      </c>
      <c r="D961" s="42" t="n">
        <v>0</v>
      </c>
      <c r="E961" s="41" t="n">
        <v>9.43</v>
      </c>
      <c r="F961" s="5" t="s">
        <v>849</v>
      </c>
    </row>
    <row r="962" customFormat="false" ht="15" hidden="false" customHeight="false" outlineLevel="0" collapsed="false">
      <c r="A962" s="14" t="s">
        <v>2843</v>
      </c>
      <c r="B962" s="14" t="n">
        <v>0</v>
      </c>
      <c r="C962" s="14" t="n">
        <v>7</v>
      </c>
      <c r="D962" s="42" t="n">
        <v>0</v>
      </c>
      <c r="E962" s="41" t="n">
        <v>9.57</v>
      </c>
      <c r="F962" s="5" t="s">
        <v>849</v>
      </c>
    </row>
    <row r="963" customFormat="false" ht="15" hidden="false" customHeight="false" outlineLevel="0" collapsed="false">
      <c r="A963" s="14" t="s">
        <v>2844</v>
      </c>
      <c r="B963" s="14" t="n">
        <v>0</v>
      </c>
      <c r="C963" s="14" t="n">
        <v>7</v>
      </c>
      <c r="D963" s="42" t="n">
        <v>0</v>
      </c>
      <c r="E963" s="41" t="n">
        <v>9.71</v>
      </c>
      <c r="F963" s="5" t="s">
        <v>852</v>
      </c>
    </row>
    <row r="964" customFormat="false" ht="15" hidden="false" customHeight="false" outlineLevel="0" collapsed="false">
      <c r="A964" s="14" t="s">
        <v>2845</v>
      </c>
      <c r="B964" s="14" t="n">
        <v>0</v>
      </c>
      <c r="C964" s="14" t="n">
        <v>7</v>
      </c>
      <c r="D964" s="42" t="n">
        <v>0</v>
      </c>
      <c r="E964" s="41" t="n">
        <v>10.14</v>
      </c>
      <c r="F964" s="5" t="s">
        <v>852</v>
      </c>
    </row>
    <row r="965" customFormat="false" ht="15" hidden="false" customHeight="false" outlineLevel="0" collapsed="false">
      <c r="A965" s="14" t="s">
        <v>2846</v>
      </c>
      <c r="B965" s="14" t="n">
        <v>0</v>
      </c>
      <c r="C965" s="14" t="n">
        <v>7</v>
      </c>
      <c r="D965" s="42" t="n">
        <v>0</v>
      </c>
      <c r="E965" s="41" t="n">
        <v>10.14</v>
      </c>
      <c r="F965" s="5" t="s">
        <v>849</v>
      </c>
    </row>
    <row r="966" customFormat="false" ht="15" hidden="false" customHeight="false" outlineLevel="0" collapsed="false">
      <c r="A966" s="14" t="s">
        <v>2847</v>
      </c>
      <c r="B966" s="14" t="n">
        <v>0</v>
      </c>
      <c r="C966" s="14" t="n">
        <v>7</v>
      </c>
      <c r="D966" s="42" t="n">
        <v>0</v>
      </c>
      <c r="E966" s="41" t="n">
        <v>10.29</v>
      </c>
      <c r="F966" s="5" t="s">
        <v>849</v>
      </c>
    </row>
    <row r="967" customFormat="false" ht="15" hidden="false" customHeight="false" outlineLevel="0" collapsed="false">
      <c r="A967" s="14" t="s">
        <v>2848</v>
      </c>
      <c r="B967" s="14" t="n">
        <v>0</v>
      </c>
      <c r="C967" s="14" t="n">
        <v>7</v>
      </c>
      <c r="D967" s="42" t="n">
        <v>0</v>
      </c>
      <c r="E967" s="41" t="n">
        <v>10.43</v>
      </c>
      <c r="F967" s="5" t="s">
        <v>849</v>
      </c>
    </row>
    <row r="968" customFormat="false" ht="15" hidden="false" customHeight="false" outlineLevel="0" collapsed="false">
      <c r="A968" s="14" t="s">
        <v>2849</v>
      </c>
      <c r="B968" s="14" t="n">
        <v>0</v>
      </c>
      <c r="C968" s="14" t="n">
        <v>7</v>
      </c>
      <c r="D968" s="42" t="n">
        <v>0</v>
      </c>
      <c r="E968" s="41" t="n">
        <v>10.43</v>
      </c>
      <c r="F968" s="5" t="s">
        <v>849</v>
      </c>
    </row>
    <row r="969" customFormat="false" ht="15" hidden="false" customHeight="false" outlineLevel="0" collapsed="false">
      <c r="A969" s="14" t="s">
        <v>2850</v>
      </c>
      <c r="B969" s="14" t="n">
        <v>0</v>
      </c>
      <c r="C969" s="14" t="n">
        <v>7</v>
      </c>
      <c r="D969" s="42" t="n">
        <v>0</v>
      </c>
      <c r="E969" s="41" t="n">
        <v>10.43</v>
      </c>
      <c r="F969" s="5" t="s">
        <v>849</v>
      </c>
    </row>
    <row r="970" customFormat="false" ht="15" hidden="false" customHeight="false" outlineLevel="0" collapsed="false">
      <c r="A970" s="14" t="s">
        <v>2851</v>
      </c>
      <c r="B970" s="14" t="n">
        <v>0</v>
      </c>
      <c r="C970" s="14" t="n">
        <v>7</v>
      </c>
      <c r="D970" s="42" t="n">
        <v>0</v>
      </c>
      <c r="E970" s="41" t="n">
        <v>10.57</v>
      </c>
      <c r="F970" s="5" t="s">
        <v>852</v>
      </c>
    </row>
    <row r="971" customFormat="false" ht="15" hidden="false" customHeight="false" outlineLevel="0" collapsed="false">
      <c r="A971" s="14" t="s">
        <v>2852</v>
      </c>
      <c r="B971" s="14" t="n">
        <v>0</v>
      </c>
      <c r="C971" s="14" t="n">
        <v>7</v>
      </c>
      <c r="D971" s="42" t="n">
        <v>0</v>
      </c>
      <c r="E971" s="41" t="n">
        <v>10.57</v>
      </c>
      <c r="F971" s="5" t="s">
        <v>849</v>
      </c>
    </row>
    <row r="972" customFormat="false" ht="15" hidden="false" customHeight="false" outlineLevel="0" collapsed="false">
      <c r="A972" s="14" t="s">
        <v>2853</v>
      </c>
      <c r="B972" s="14" t="n">
        <v>0</v>
      </c>
      <c r="C972" s="14" t="n">
        <v>7</v>
      </c>
      <c r="D972" s="42" t="n">
        <v>0</v>
      </c>
      <c r="E972" s="41" t="n">
        <v>10.71</v>
      </c>
      <c r="F972" s="5" t="s">
        <v>849</v>
      </c>
    </row>
    <row r="973" customFormat="false" ht="15" hidden="false" customHeight="false" outlineLevel="0" collapsed="false">
      <c r="A973" s="14" t="s">
        <v>2854</v>
      </c>
      <c r="B973" s="14" t="n">
        <v>0</v>
      </c>
      <c r="C973" s="14" t="n">
        <v>7</v>
      </c>
      <c r="D973" s="42" t="n">
        <v>0</v>
      </c>
      <c r="E973" s="41" t="n">
        <v>10.71</v>
      </c>
      <c r="F973" s="5" t="s">
        <v>849</v>
      </c>
    </row>
    <row r="974" customFormat="false" ht="15" hidden="false" customHeight="false" outlineLevel="0" collapsed="false">
      <c r="A974" s="14" t="s">
        <v>2855</v>
      </c>
      <c r="B974" s="14" t="n">
        <v>0</v>
      </c>
      <c r="C974" s="14" t="n">
        <v>7</v>
      </c>
      <c r="D974" s="42" t="n">
        <v>0</v>
      </c>
      <c r="E974" s="41" t="n">
        <v>10.86</v>
      </c>
      <c r="F974" s="5" t="s">
        <v>849</v>
      </c>
    </row>
    <row r="975" customFormat="false" ht="15" hidden="false" customHeight="false" outlineLevel="0" collapsed="false">
      <c r="A975" s="14" t="s">
        <v>2856</v>
      </c>
      <c r="B975" s="14" t="n">
        <v>0</v>
      </c>
      <c r="C975" s="14" t="n">
        <v>7</v>
      </c>
      <c r="D975" s="42" t="n">
        <v>0</v>
      </c>
      <c r="E975" s="41" t="n">
        <v>10.86</v>
      </c>
      <c r="F975" s="5" t="s">
        <v>849</v>
      </c>
    </row>
    <row r="976" customFormat="false" ht="15" hidden="false" customHeight="false" outlineLevel="0" collapsed="false">
      <c r="A976" s="14" t="s">
        <v>2857</v>
      </c>
      <c r="B976" s="14" t="n">
        <v>0</v>
      </c>
      <c r="C976" s="14" t="n">
        <v>7</v>
      </c>
      <c r="D976" s="42" t="n">
        <v>0</v>
      </c>
      <c r="E976" s="41" t="n">
        <v>11.14</v>
      </c>
      <c r="F976" s="5" t="s">
        <v>852</v>
      </c>
    </row>
    <row r="977" customFormat="false" ht="15" hidden="false" customHeight="false" outlineLevel="0" collapsed="false">
      <c r="A977" s="14" t="s">
        <v>2858</v>
      </c>
      <c r="B977" s="14" t="n">
        <v>0</v>
      </c>
      <c r="C977" s="14" t="n">
        <v>7</v>
      </c>
      <c r="D977" s="42" t="n">
        <v>0</v>
      </c>
      <c r="E977" s="41" t="n">
        <v>11.14</v>
      </c>
      <c r="F977" s="5" t="s">
        <v>851</v>
      </c>
    </row>
    <row r="978" customFormat="false" ht="15" hidden="false" customHeight="false" outlineLevel="0" collapsed="false">
      <c r="A978" s="14" t="s">
        <v>2859</v>
      </c>
      <c r="B978" s="14" t="n">
        <v>0</v>
      </c>
      <c r="C978" s="14" t="n">
        <v>7</v>
      </c>
      <c r="D978" s="42" t="n">
        <v>0</v>
      </c>
      <c r="E978" s="41" t="n">
        <v>11.14</v>
      </c>
      <c r="F978" s="5" t="s">
        <v>849</v>
      </c>
    </row>
    <row r="979" customFormat="false" ht="15" hidden="false" customHeight="false" outlineLevel="0" collapsed="false">
      <c r="A979" s="14" t="s">
        <v>2860</v>
      </c>
      <c r="B979" s="14" t="n">
        <v>0</v>
      </c>
      <c r="C979" s="14" t="n">
        <v>7</v>
      </c>
      <c r="D979" s="42" t="n">
        <v>0</v>
      </c>
      <c r="E979" s="41" t="n">
        <v>11.57</v>
      </c>
      <c r="F979" s="5" t="s">
        <v>849</v>
      </c>
    </row>
    <row r="980" customFormat="false" ht="15" hidden="false" customHeight="false" outlineLevel="0" collapsed="false">
      <c r="A980" s="14" t="s">
        <v>2861</v>
      </c>
      <c r="B980" s="14" t="n">
        <v>0</v>
      </c>
      <c r="C980" s="14" t="n">
        <v>7</v>
      </c>
      <c r="D980" s="42" t="n">
        <v>0</v>
      </c>
      <c r="E980" s="41" t="n">
        <v>11.71</v>
      </c>
      <c r="F980" s="5" t="s">
        <v>849</v>
      </c>
    </row>
    <row r="981" customFormat="false" ht="15" hidden="false" customHeight="false" outlineLevel="0" collapsed="false">
      <c r="A981" s="14" t="s">
        <v>2862</v>
      </c>
      <c r="B981" s="14" t="n">
        <v>0</v>
      </c>
      <c r="C981" s="14" t="n">
        <v>7</v>
      </c>
      <c r="D981" s="42" t="n">
        <v>0</v>
      </c>
      <c r="E981" s="41" t="n">
        <v>11.71</v>
      </c>
      <c r="F981" s="5" t="s">
        <v>849</v>
      </c>
    </row>
    <row r="982" customFormat="false" ht="15" hidden="false" customHeight="false" outlineLevel="0" collapsed="false">
      <c r="A982" s="14" t="s">
        <v>2863</v>
      </c>
      <c r="B982" s="14" t="n">
        <v>0</v>
      </c>
      <c r="C982" s="14" t="n">
        <v>7</v>
      </c>
      <c r="D982" s="42" t="n">
        <v>0</v>
      </c>
      <c r="E982" s="41" t="n">
        <v>12</v>
      </c>
      <c r="F982" s="5" t="s">
        <v>849</v>
      </c>
    </row>
    <row r="983" customFormat="false" ht="15" hidden="false" customHeight="false" outlineLevel="0" collapsed="false">
      <c r="A983" s="14" t="s">
        <v>2864</v>
      </c>
      <c r="B983" s="14" t="n">
        <v>0</v>
      </c>
      <c r="C983" s="14" t="n">
        <v>7</v>
      </c>
      <c r="D983" s="42" t="n">
        <v>0</v>
      </c>
      <c r="E983" s="41" t="n">
        <v>12.14</v>
      </c>
      <c r="F983" s="5" t="s">
        <v>849</v>
      </c>
    </row>
    <row r="984" customFormat="false" ht="15" hidden="false" customHeight="false" outlineLevel="0" collapsed="false">
      <c r="A984" s="14" t="s">
        <v>2865</v>
      </c>
      <c r="B984" s="14" t="n">
        <v>0</v>
      </c>
      <c r="C984" s="14" t="n">
        <v>7</v>
      </c>
      <c r="D984" s="42" t="n">
        <v>0</v>
      </c>
      <c r="E984" s="41" t="n">
        <v>12.29</v>
      </c>
      <c r="F984" s="5" t="s">
        <v>849</v>
      </c>
    </row>
    <row r="985" customFormat="false" ht="15" hidden="false" customHeight="false" outlineLevel="0" collapsed="false">
      <c r="A985" s="14" t="s">
        <v>2866</v>
      </c>
      <c r="B985" s="14" t="n">
        <v>0</v>
      </c>
      <c r="C985" s="14" t="n">
        <v>7</v>
      </c>
      <c r="D985" s="42" t="n">
        <v>0</v>
      </c>
      <c r="E985" s="41" t="n">
        <v>12.29</v>
      </c>
      <c r="F985" s="5" t="s">
        <v>849</v>
      </c>
    </row>
    <row r="986" customFormat="false" ht="15" hidden="false" customHeight="false" outlineLevel="0" collapsed="false">
      <c r="A986" s="14" t="s">
        <v>2867</v>
      </c>
      <c r="B986" s="14" t="n">
        <v>0</v>
      </c>
      <c r="C986" s="14" t="n">
        <v>7</v>
      </c>
      <c r="D986" s="42" t="n">
        <v>0</v>
      </c>
      <c r="E986" s="41" t="n">
        <v>12.43</v>
      </c>
      <c r="F986" s="5" t="s">
        <v>851</v>
      </c>
    </row>
    <row r="987" customFormat="false" ht="15" hidden="false" customHeight="false" outlineLevel="0" collapsed="false">
      <c r="A987" s="14" t="s">
        <v>2868</v>
      </c>
      <c r="B987" s="14" t="n">
        <v>0</v>
      </c>
      <c r="C987" s="14" t="n">
        <v>7</v>
      </c>
      <c r="D987" s="42" t="n">
        <v>0</v>
      </c>
      <c r="E987" s="41" t="n">
        <v>13</v>
      </c>
      <c r="F987" s="5" t="s">
        <v>849</v>
      </c>
    </row>
    <row r="988" customFormat="false" ht="15" hidden="false" customHeight="false" outlineLevel="0" collapsed="false">
      <c r="A988" s="14" t="s">
        <v>2869</v>
      </c>
      <c r="B988" s="14" t="n">
        <v>0</v>
      </c>
      <c r="C988" s="14" t="n">
        <v>7</v>
      </c>
      <c r="D988" s="42" t="n">
        <v>0</v>
      </c>
      <c r="E988" s="41" t="n">
        <v>14</v>
      </c>
      <c r="F988" s="5" t="s">
        <v>849</v>
      </c>
    </row>
    <row r="989" customFormat="false" ht="15" hidden="false" customHeight="false" outlineLevel="0" collapsed="false">
      <c r="A989" s="14" t="s">
        <v>2870</v>
      </c>
      <c r="B989" s="14" t="n">
        <v>0</v>
      </c>
      <c r="C989" s="14" t="n">
        <v>7</v>
      </c>
      <c r="D989" s="42" t="n">
        <v>0</v>
      </c>
      <c r="E989" s="41" t="n">
        <v>14.43</v>
      </c>
      <c r="F989" s="5" t="s">
        <v>849</v>
      </c>
    </row>
    <row r="990" customFormat="false" ht="15" hidden="false" customHeight="false" outlineLevel="0" collapsed="false">
      <c r="A990" s="14" t="s">
        <v>2871</v>
      </c>
      <c r="B990" s="14" t="n">
        <v>0</v>
      </c>
      <c r="C990" s="14" t="n">
        <v>7</v>
      </c>
      <c r="D990" s="42" t="n">
        <v>0</v>
      </c>
      <c r="E990" s="41" t="n">
        <v>14.57</v>
      </c>
      <c r="F990" s="5" t="s">
        <v>849</v>
      </c>
    </row>
    <row r="991" customFormat="false" ht="15" hidden="false" customHeight="false" outlineLevel="0" collapsed="false">
      <c r="A991" s="14" t="s">
        <v>2872</v>
      </c>
      <c r="B991" s="14" t="n">
        <v>0</v>
      </c>
      <c r="C991" s="14" t="n">
        <v>7</v>
      </c>
      <c r="D991" s="42" t="n">
        <v>0</v>
      </c>
      <c r="E991" s="41" t="n">
        <v>15</v>
      </c>
      <c r="F991" s="5" t="s">
        <v>849</v>
      </c>
    </row>
    <row r="992" customFormat="false" ht="15" hidden="false" customHeight="false" outlineLevel="0" collapsed="false">
      <c r="A992" s="14" t="s">
        <v>2873</v>
      </c>
      <c r="B992" s="14" t="n">
        <v>0</v>
      </c>
      <c r="C992" s="14" t="n">
        <v>7</v>
      </c>
      <c r="D992" s="42" t="n">
        <v>0</v>
      </c>
      <c r="E992" s="41" t="n">
        <v>15.14</v>
      </c>
      <c r="F992" s="5" t="s">
        <v>849</v>
      </c>
    </row>
    <row r="993" customFormat="false" ht="15" hidden="false" customHeight="false" outlineLevel="0" collapsed="false">
      <c r="A993" s="14" t="s">
        <v>2874</v>
      </c>
      <c r="B993" s="14" t="n">
        <v>0</v>
      </c>
      <c r="C993" s="14" t="n">
        <v>7</v>
      </c>
      <c r="D993" s="42" t="n">
        <v>0</v>
      </c>
      <c r="E993" s="41" t="n">
        <v>15.29</v>
      </c>
      <c r="F993" s="5" t="s">
        <v>849</v>
      </c>
    </row>
    <row r="994" customFormat="false" ht="15" hidden="false" customHeight="false" outlineLevel="0" collapsed="false">
      <c r="A994" s="14" t="s">
        <v>2875</v>
      </c>
      <c r="B994" s="14" t="n">
        <v>0</v>
      </c>
      <c r="C994" s="14" t="n">
        <v>7</v>
      </c>
      <c r="D994" s="42" t="n">
        <v>0</v>
      </c>
      <c r="E994" s="41" t="n">
        <v>15.29</v>
      </c>
      <c r="F994" s="5" t="s">
        <v>849</v>
      </c>
    </row>
    <row r="995" customFormat="false" ht="15" hidden="false" customHeight="false" outlineLevel="0" collapsed="false">
      <c r="A995" s="14" t="s">
        <v>2876</v>
      </c>
      <c r="B995" s="14" t="n">
        <v>0</v>
      </c>
      <c r="C995" s="14" t="n">
        <v>7</v>
      </c>
      <c r="D995" s="42" t="n">
        <v>0</v>
      </c>
      <c r="E995" s="41" t="n">
        <v>15.43</v>
      </c>
      <c r="F995" s="5" t="s">
        <v>850</v>
      </c>
    </row>
    <row r="996" customFormat="false" ht="15" hidden="false" customHeight="false" outlineLevel="0" collapsed="false">
      <c r="A996" s="14" t="s">
        <v>2877</v>
      </c>
      <c r="B996" s="14" t="n">
        <v>0</v>
      </c>
      <c r="C996" s="14" t="n">
        <v>7</v>
      </c>
      <c r="D996" s="42" t="n">
        <v>0</v>
      </c>
      <c r="E996" s="41" t="n">
        <v>15.43</v>
      </c>
      <c r="F996" s="5" t="s">
        <v>849</v>
      </c>
    </row>
    <row r="997" customFormat="false" ht="15" hidden="false" customHeight="false" outlineLevel="0" collapsed="false">
      <c r="A997" s="14" t="s">
        <v>2878</v>
      </c>
      <c r="B997" s="14" t="n">
        <v>0</v>
      </c>
      <c r="C997" s="14" t="n">
        <v>7</v>
      </c>
      <c r="D997" s="42" t="n">
        <v>0</v>
      </c>
      <c r="E997" s="41" t="n">
        <v>15.71</v>
      </c>
      <c r="F997" s="5" t="s">
        <v>849</v>
      </c>
    </row>
    <row r="998" customFormat="false" ht="15" hidden="false" customHeight="false" outlineLevel="0" collapsed="false">
      <c r="A998" s="14" t="s">
        <v>2879</v>
      </c>
      <c r="B998" s="14" t="n">
        <v>0</v>
      </c>
      <c r="C998" s="14" t="n">
        <v>7</v>
      </c>
      <c r="D998" s="42" t="n">
        <v>0</v>
      </c>
      <c r="E998" s="41" t="n">
        <v>16.43</v>
      </c>
      <c r="F998" s="5" t="s">
        <v>849</v>
      </c>
    </row>
    <row r="999" customFormat="false" ht="15" hidden="false" customHeight="false" outlineLevel="0" collapsed="false">
      <c r="A999" s="14" t="s">
        <v>2880</v>
      </c>
      <c r="B999" s="14" t="n">
        <v>0</v>
      </c>
      <c r="C999" s="14" t="n">
        <v>7</v>
      </c>
      <c r="D999" s="42" t="n">
        <v>0</v>
      </c>
      <c r="E999" s="41" t="n">
        <v>16.71</v>
      </c>
      <c r="F999" s="5" t="s">
        <v>849</v>
      </c>
    </row>
    <row r="1000" customFormat="false" ht="15" hidden="false" customHeight="false" outlineLevel="0" collapsed="false">
      <c r="A1000" s="14" t="s">
        <v>2881</v>
      </c>
      <c r="B1000" s="14" t="n">
        <v>0</v>
      </c>
      <c r="C1000" s="14" t="n">
        <v>7</v>
      </c>
      <c r="D1000" s="42" t="n">
        <v>0</v>
      </c>
      <c r="E1000" s="41" t="n">
        <v>16.71</v>
      </c>
      <c r="F1000" s="5" t="s">
        <v>849</v>
      </c>
    </row>
    <row r="1001" customFormat="false" ht="15" hidden="false" customHeight="false" outlineLevel="0" collapsed="false">
      <c r="A1001" s="14" t="s">
        <v>2882</v>
      </c>
      <c r="B1001" s="14" t="n">
        <v>0</v>
      </c>
      <c r="C1001" s="14" t="n">
        <v>7</v>
      </c>
      <c r="D1001" s="42" t="n">
        <v>0</v>
      </c>
      <c r="E1001" s="41" t="n">
        <v>16.71</v>
      </c>
      <c r="F1001" s="5" t="s">
        <v>849</v>
      </c>
    </row>
    <row r="1002" customFormat="false" ht="15" hidden="false" customHeight="false" outlineLevel="0" collapsed="false">
      <c r="A1002" s="14" t="s">
        <v>2883</v>
      </c>
      <c r="B1002" s="14" t="n">
        <v>0</v>
      </c>
      <c r="C1002" s="14" t="n">
        <v>7</v>
      </c>
      <c r="D1002" s="42" t="n">
        <v>0</v>
      </c>
      <c r="E1002" s="41" t="n">
        <v>16.86</v>
      </c>
      <c r="F1002" s="5" t="s">
        <v>849</v>
      </c>
    </row>
    <row r="1003" customFormat="false" ht="15" hidden="false" customHeight="false" outlineLevel="0" collapsed="false">
      <c r="A1003" s="14" t="s">
        <v>2884</v>
      </c>
      <c r="B1003" s="14" t="n">
        <v>0</v>
      </c>
      <c r="C1003" s="14" t="n">
        <v>7</v>
      </c>
      <c r="D1003" s="42" t="n">
        <v>0</v>
      </c>
      <c r="E1003" s="41" t="n">
        <v>16.86</v>
      </c>
      <c r="F1003" s="5" t="s">
        <v>849</v>
      </c>
    </row>
    <row r="1004" customFormat="false" ht="15" hidden="false" customHeight="false" outlineLevel="0" collapsed="false">
      <c r="A1004" s="14" t="s">
        <v>2885</v>
      </c>
      <c r="B1004" s="14" t="n">
        <v>0</v>
      </c>
      <c r="C1004" s="14" t="n">
        <v>7</v>
      </c>
      <c r="D1004" s="42" t="n">
        <v>0</v>
      </c>
      <c r="E1004" s="41" t="n">
        <v>17</v>
      </c>
      <c r="F1004" s="5" t="s">
        <v>849</v>
      </c>
    </row>
  </sheetData>
  <autoFilter ref="A4:F1004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9" min="1" style="0" width="24"/>
  </cols>
  <sheetData>
    <row r="1" customFormat="false" ht="15" hidden="false" customHeight="false" outlineLevel="0" collapsed="false">
      <c r="A1" s="44" t="s">
        <v>34</v>
      </c>
      <c r="B1" s="44" t="s">
        <v>36</v>
      </c>
      <c r="C1" s="44" t="s">
        <v>124</v>
      </c>
      <c r="D1" s="44" t="s">
        <v>125</v>
      </c>
      <c r="E1" s="44" t="s">
        <v>38</v>
      </c>
      <c r="F1" s="44" t="s">
        <v>112</v>
      </c>
      <c r="G1" s="44" t="s">
        <v>535</v>
      </c>
      <c r="H1" s="44" t="s">
        <v>2886</v>
      </c>
      <c r="I1" s="44" t="s">
        <v>460</v>
      </c>
    </row>
    <row r="2" customFormat="false" ht="15" hidden="false" customHeight="false" outlineLevel="0" collapsed="false">
      <c r="A2" s="5" t="s">
        <v>39</v>
      </c>
      <c r="B2" s="5" t="s">
        <v>40</v>
      </c>
      <c r="C2" s="5" t="s">
        <v>43</v>
      </c>
      <c r="D2" s="5" t="s">
        <v>146</v>
      </c>
      <c r="E2" s="5" t="s">
        <v>41</v>
      </c>
      <c r="F2" s="5" t="s">
        <v>140</v>
      </c>
      <c r="G2" s="5" t="s">
        <v>2887</v>
      </c>
      <c r="H2" s="5" t="s">
        <v>144</v>
      </c>
      <c r="I2" s="5" t="s">
        <v>316</v>
      </c>
    </row>
    <row r="3" customFormat="false" ht="15" hidden="false" customHeight="false" outlineLevel="0" collapsed="false">
      <c r="A3" s="5" t="s">
        <v>42</v>
      </c>
      <c r="B3" s="5" t="s">
        <v>43</v>
      </c>
      <c r="C3" s="5" t="s">
        <v>46</v>
      </c>
      <c r="D3" s="5" t="s">
        <v>160</v>
      </c>
      <c r="E3" s="5" t="s">
        <v>44</v>
      </c>
      <c r="F3" s="5" t="s">
        <v>285</v>
      </c>
      <c r="G3" s="5" t="s">
        <v>563</v>
      </c>
      <c r="H3" s="5" t="s">
        <v>845</v>
      </c>
      <c r="I3" s="5" t="s">
        <v>148</v>
      </c>
    </row>
    <row r="4" customFormat="false" ht="15" hidden="false" customHeight="false" outlineLevel="0" collapsed="false">
      <c r="A4" s="5" t="s">
        <v>45</v>
      </c>
      <c r="B4" s="5" t="s">
        <v>46</v>
      </c>
      <c r="C4" s="5" t="s">
        <v>49</v>
      </c>
      <c r="D4" s="5" t="s">
        <v>368</v>
      </c>
      <c r="E4" s="5" t="s">
        <v>47</v>
      </c>
      <c r="F4" s="5" t="s">
        <v>249</v>
      </c>
      <c r="G4" s="5" t="s">
        <v>560</v>
      </c>
      <c r="H4" s="5" t="s">
        <v>235</v>
      </c>
      <c r="I4" s="5" t="s">
        <v>321</v>
      </c>
    </row>
    <row r="5" customFormat="false" ht="15" hidden="false" customHeight="false" outlineLevel="0" collapsed="false">
      <c r="A5" s="5" t="s">
        <v>48</v>
      </c>
      <c r="B5" s="5" t="s">
        <v>49</v>
      </c>
      <c r="E5" s="5" t="s">
        <v>50</v>
      </c>
      <c r="F5" s="5" t="s">
        <v>384</v>
      </c>
      <c r="G5" s="5" t="s">
        <v>396</v>
      </c>
      <c r="H5" s="5" t="s">
        <v>158</v>
      </c>
      <c r="I5" s="5" t="s">
        <v>217</v>
      </c>
    </row>
    <row r="6" customFormat="false" ht="15" hidden="false" customHeight="false" outlineLevel="0" collapsed="false">
      <c r="A6" s="5" t="s">
        <v>51</v>
      </c>
      <c r="E6" s="5" t="s">
        <v>52</v>
      </c>
      <c r="F6" s="5" t="s">
        <v>672</v>
      </c>
      <c r="G6" s="5" t="s">
        <v>549</v>
      </c>
      <c r="H6" s="5" t="s">
        <v>113</v>
      </c>
      <c r="I6" s="5" t="s">
        <v>358</v>
      </c>
    </row>
    <row r="7" customFormat="false" ht="15" hidden="false" customHeight="false" outlineLevel="0" collapsed="false">
      <c r="A7" s="5" t="s">
        <v>53</v>
      </c>
      <c r="E7" s="5" t="s">
        <v>54</v>
      </c>
      <c r="F7" s="5" t="s">
        <v>668</v>
      </c>
      <c r="G7" s="5" t="s">
        <v>2888</v>
      </c>
      <c r="H7" s="5" t="s">
        <v>196</v>
      </c>
      <c r="I7" s="5" t="s">
        <v>282</v>
      </c>
    </row>
    <row r="8" customFormat="false" ht="15" hidden="false" customHeight="false" outlineLevel="0" collapsed="false">
      <c r="A8" s="5" t="s">
        <v>55</v>
      </c>
      <c r="E8" s="5" t="s">
        <v>56</v>
      </c>
      <c r="F8" s="5" t="s">
        <v>674</v>
      </c>
      <c r="H8" s="5" t="s">
        <v>302</v>
      </c>
    </row>
    <row r="9" customFormat="false" ht="15" hidden="false" customHeight="false" outlineLevel="0" collapsed="false">
      <c r="A9" s="5" t="s">
        <v>57</v>
      </c>
      <c r="E9" s="5" t="s">
        <v>58</v>
      </c>
      <c r="F9" s="5" t="s">
        <v>670</v>
      </c>
      <c r="H9" s="5" t="s">
        <v>176</v>
      </c>
    </row>
    <row r="10" customFormat="false" ht="15" hidden="false" customHeight="false" outlineLevel="0" collapsed="false">
      <c r="A10" s="5" t="s">
        <v>59</v>
      </c>
      <c r="E10" s="5" t="s">
        <v>60</v>
      </c>
      <c r="F10" s="5" t="s">
        <v>680</v>
      </c>
      <c r="H10" s="5" t="s">
        <v>2889</v>
      </c>
    </row>
    <row r="11" customFormat="false" ht="15" hidden="false" customHeight="false" outlineLevel="0" collapsed="false">
      <c r="E11" s="5" t="s">
        <v>62</v>
      </c>
      <c r="F11" s="5" t="s">
        <v>2890</v>
      </c>
      <c r="H11" s="5" t="s">
        <v>2891</v>
      </c>
    </row>
    <row r="12" customFormat="false" ht="15" hidden="false" customHeight="false" outlineLevel="0" collapsed="false">
      <c r="E12" s="5" t="s">
        <v>64</v>
      </c>
      <c r="F12" s="5" t="s">
        <v>847</v>
      </c>
      <c r="H12" s="5" t="s">
        <v>308</v>
      </c>
    </row>
    <row r="13" customFormat="false" ht="15" hidden="false" customHeight="false" outlineLevel="0" collapsed="false">
      <c r="E13" s="5" t="s">
        <v>66</v>
      </c>
      <c r="H13" s="5" t="s">
        <v>279</v>
      </c>
    </row>
    <row r="14" customFormat="false" ht="15" hidden="false" customHeight="false" outlineLevel="0" collapsed="false">
      <c r="E14" s="5" t="s">
        <v>67</v>
      </c>
      <c r="H14" s="5" t="s">
        <v>591</v>
      </c>
    </row>
    <row r="15" customFormat="false" ht="15" hidden="false" customHeight="false" outlineLevel="0" collapsed="false">
      <c r="E15" s="5" t="s">
        <v>68</v>
      </c>
      <c r="H15" s="5" t="s">
        <v>337</v>
      </c>
    </row>
    <row r="16" customFormat="false" ht="15" hidden="false" customHeight="false" outlineLevel="0" collapsed="false">
      <c r="H16" s="5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2026-10-06T07:36:14Z</dcterms:created>
  <dc:creator>openpyxl</dc:creator>
  <dc:description/>
  <dc:language>en-US</dc:language>
  <cp:lastModifiedBy/>
  <dcterms:modified xsi:type="dcterms:W3CDTF">2026-10-06T07:36:15Z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